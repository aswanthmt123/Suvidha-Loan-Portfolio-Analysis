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drawings/drawing3.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Ex1.xml" ContentType="application/vnd.ms-office.chartex+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slicers/slicer3.xml" ContentType="application/vnd.ms-excel.slicer+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13.xml" ContentType="application/vnd.openxmlformats-officedocument.drawingml.chart+xml"/>
  <Override PartName="/xl/charts/style14.xml" ContentType="application/vnd.ms-office.chartstyle+xml"/>
  <Override PartName="/xl/charts/colors14.xml" ContentType="application/vnd.ms-office.chartcolorstyle+xml"/>
  <Override PartName="/xl/charts/chartEx2.xml" ContentType="application/vnd.ms-office.chartex+xml"/>
  <Override PartName="/xl/charts/style15.xml" ContentType="application/vnd.ms-office.chartstyle+xml"/>
  <Override PartName="/xl/charts/colors15.xml" ContentType="application/vnd.ms-office.chartcolorstyle+xml"/>
  <Override PartName="/xl/charts/chart14.xml" ContentType="application/vnd.openxmlformats-officedocument.drawingml.chart+xml"/>
  <Override PartName="/xl/charts/style16.xml" ContentType="application/vnd.ms-office.chartstyle+xml"/>
  <Override PartName="/xl/charts/colors16.xml" ContentType="application/vnd.ms-office.chartcolorstyle+xml"/>
  <Override PartName="/xl/charts/chart15.xml" ContentType="application/vnd.openxmlformats-officedocument.drawingml.chart+xml"/>
  <Override PartName="/xl/charts/style17.xml" ContentType="application/vnd.ms-office.chartstyle+xml"/>
  <Override PartName="/xl/charts/colors17.xml" ContentType="application/vnd.ms-office.chartcolorstyle+xml"/>
  <Override PartName="/xl/charts/chart16.xml" ContentType="application/vnd.openxmlformats-officedocument.drawingml.chart+xml"/>
  <Override PartName="/xl/charts/style18.xml" ContentType="application/vnd.ms-office.chartstyle+xml"/>
  <Override PartName="/xl/charts/colors18.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166925"/>
  <mc:AlternateContent xmlns:mc="http://schemas.openxmlformats.org/markup-compatibility/2006">
    <mc:Choice Requires="x15">
      <x15ac:absPath xmlns:x15ac="http://schemas.microsoft.com/office/spreadsheetml/2010/11/ac" url="C:\Users\aswan\OneDrive\Desktop\Excel DashBoards\"/>
    </mc:Choice>
  </mc:AlternateContent>
  <xr:revisionPtr revIDLastSave="0" documentId="8_{7336E88D-EA19-435E-B0D7-8F5B6798A954}" xr6:coauthVersionLast="47" xr6:coauthVersionMax="47" xr10:uidLastSave="{00000000-0000-0000-0000-000000000000}"/>
  <bookViews>
    <workbookView xWindow="-108" yWindow="-108" windowWidth="23256" windowHeight="12456" firstSheet="6" activeTab="7" xr2:uid="{AD2F650C-74A7-491D-9F98-181552D4A588}"/>
  </bookViews>
  <sheets>
    <sheet name="FieldDetails" sheetId="3" r:id="rId1"/>
    <sheet name="Detail1" sheetId="7" state="hidden" r:id="rId2"/>
    <sheet name="LoanData" sheetId="1" r:id="rId3"/>
    <sheet name="PivotProblems" sheetId="5" state="hidden" r:id="rId4"/>
    <sheet name="PIVOT TABLES" sheetId="6" r:id="rId5"/>
    <sheet name="MAIN DASHBOARD PIVOTS" sheetId="10" r:id="rId6"/>
    <sheet name="RISK ANALYSE DASHBOARD" sheetId="8" r:id="rId7"/>
    <sheet name="SUVIDHA FINANCE  DASHBOARD" sheetId="11" r:id="rId8"/>
    <sheet name="DASHBOARD REPORT" sheetId="17" r:id="rId9"/>
  </sheets>
  <definedNames>
    <definedName name="_xlnm._FilterDatabase" localSheetId="2" hidden="1">LoanData!$A$1:$T$201</definedName>
    <definedName name="_xlchart.v2.0" hidden="1">'PIVOT TABLES'!$G$74:$G$76</definedName>
    <definedName name="_xlchart.v2.1" hidden="1">'PIVOT TABLES'!$H$74:$H$76</definedName>
    <definedName name="_xlchart.v2.2" hidden="1">'MAIN DASHBOARD PIVOTS'!$G$59:$G$61</definedName>
    <definedName name="_xlchart.v2.3" hidden="1">'MAIN DASHBOARD PIVOTS'!$H$59:$H$61</definedName>
    <definedName name="Slicer_LoanProduct">#N/A</definedName>
    <definedName name="Slicer_LoanProduct1">#N/A</definedName>
    <definedName name="Slicer_LoanStatus">#N/A</definedName>
    <definedName name="Slicer_Region">#N/A</definedName>
    <definedName name="Slicer_Region1">#N/A</definedName>
  </definedNames>
  <calcPr calcId="191029"/>
  <pivotCaches>
    <pivotCache cacheId="0" r:id="rId10"/>
  </pivotCaches>
  <extLst>
    <ext xmlns:x14="http://schemas.microsoft.com/office/spreadsheetml/2009/9/main" uri="{BBE1A952-AA13-448e-AADC-164F8A28A991}">
      <x14:slicerCaches>
        <x14:slicerCache r:id="rId11"/>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9" i="10" l="1"/>
  <c r="GA9" i="11"/>
  <c r="FU3" i="11"/>
  <c r="EH2" i="11"/>
  <c r="EI2" i="11"/>
  <c r="EJ1" i="11"/>
  <c r="EJ5" i="11"/>
  <c r="H112" i="10"/>
  <c r="H111" i="10"/>
  <c r="H110" i="10"/>
  <c r="H109" i="10"/>
  <c r="H108" i="10"/>
  <c r="H107" i="10"/>
  <c r="H106" i="10"/>
  <c r="H105" i="10"/>
  <c r="G112" i="10"/>
  <c r="G111" i="10"/>
  <c r="G110" i="10"/>
  <c r="G109" i="10"/>
  <c r="G108" i="10"/>
  <c r="G107" i="10"/>
  <c r="G106" i="10"/>
  <c r="G105" i="10"/>
  <c r="H75" i="10"/>
  <c r="H74" i="10"/>
  <c r="H73" i="10"/>
  <c r="H72" i="10"/>
  <c r="G75" i="10"/>
  <c r="G74" i="10"/>
  <c r="G73" i="10"/>
  <c r="G72" i="10"/>
  <c r="H59" i="10"/>
  <c r="H61" i="10"/>
  <c r="H60" i="10"/>
  <c r="G61" i="10"/>
  <c r="G60" i="10"/>
  <c r="G59" i="10"/>
  <c r="H48" i="10"/>
  <c r="H47" i="10"/>
  <c r="H46" i="10"/>
  <c r="I37" i="10"/>
  <c r="I36" i="10"/>
  <c r="I35" i="10"/>
  <c r="I34" i="10"/>
  <c r="I33" i="10"/>
  <c r="G37" i="10"/>
  <c r="G36" i="10"/>
  <c r="G35" i="10"/>
  <c r="G34" i="10"/>
  <c r="G33" i="10"/>
  <c r="I25" i="10"/>
  <c r="I24" i="10"/>
  <c r="I23" i="10"/>
  <c r="I22" i="10"/>
  <c r="I21" i="10"/>
  <c r="I20" i="10"/>
  <c r="I19" i="10"/>
  <c r="I18" i="10"/>
  <c r="G25" i="10"/>
  <c r="G24" i="10"/>
  <c r="G23" i="10"/>
  <c r="G22" i="10"/>
  <c r="G21" i="10"/>
  <c r="G20" i="10"/>
  <c r="G19" i="10"/>
  <c r="G18" i="10"/>
  <c r="H76" i="6"/>
  <c r="H75" i="6"/>
  <c r="H74" i="6"/>
  <c r="G76" i="6"/>
  <c r="G75" i="6"/>
  <c r="G74" i="6"/>
  <c r="I53" i="6"/>
  <c r="I52" i="6"/>
  <c r="I51" i="6"/>
  <c r="I50" i="6"/>
  <c r="I49" i="6"/>
  <c r="H53" i="6"/>
  <c r="H52" i="6"/>
  <c r="H51" i="6"/>
  <c r="H50" i="6"/>
  <c r="H49" i="6"/>
  <c r="I42" i="6"/>
  <c r="I41" i="6"/>
  <c r="I40" i="6"/>
  <c r="I39" i="6"/>
  <c r="H40" i="6"/>
  <c r="H41" i="6"/>
  <c r="H42" i="6"/>
  <c r="H39" i="6"/>
  <c r="G203" i="6"/>
  <c r="G204" i="6"/>
  <c r="G205" i="6"/>
  <c r="G206" i="6"/>
  <c r="G207" i="6"/>
  <c r="G208" i="6"/>
  <c r="G209" i="6"/>
  <c r="G202" i="6"/>
  <c r="H202" i="6" a="1"/>
  <c r="BJ9" i="8"/>
  <c r="BJ8" i="8"/>
  <c r="BJ7" i="8"/>
  <c r="BJ6" i="8"/>
  <c r="BJ5" i="8"/>
  <c r="H3" i="1" a="1"/>
  <c r="H4" i="1" a="1"/>
  <c r="H5" i="1" a="1"/>
  <c r="H6" i="1" a="1"/>
  <c r="H7" i="1" a="1"/>
  <c r="H8" i="1" a="1"/>
  <c r="H9" i="1" a="1"/>
  <c r="H10" i="1" a="1"/>
  <c r="H11" i="1" a="1"/>
  <c r="H12" i="1" a="1"/>
  <c r="H13" i="1" a="1"/>
  <c r="H14" i="1" a="1"/>
  <c r="H15" i="1" a="1"/>
  <c r="H16" i="1" a="1"/>
  <c r="H17" i="1" a="1"/>
  <c r="H18" i="1" a="1"/>
  <c r="H19" i="1" a="1"/>
  <c r="H20" i="1" a="1"/>
  <c r="H21" i="1" a="1"/>
  <c r="H22" i="1" a="1"/>
  <c r="H23" i="1" a="1"/>
  <c r="H24" i="1" a="1"/>
  <c r="H25" i="1" a="1"/>
  <c r="H26" i="1" a="1"/>
  <c r="H27" i="1" a="1"/>
  <c r="H28" i="1" a="1"/>
  <c r="H29" i="1" a="1"/>
  <c r="H30" i="1" a="1"/>
  <c r="H31" i="1" a="1"/>
  <c r="H32" i="1" a="1"/>
  <c r="H33" i="1" a="1"/>
  <c r="H34" i="1" a="1"/>
  <c r="H35" i="1" a="1"/>
  <c r="H36" i="1" a="1"/>
  <c r="H37" i="1" a="1"/>
  <c r="H38" i="1" a="1"/>
  <c r="H39" i="1" a="1"/>
  <c r="H40" i="1" a="1"/>
  <c r="H41" i="1" a="1"/>
  <c r="H42" i="1" a="1"/>
  <c r="H43" i="1" a="1"/>
  <c r="H44" i="1" a="1"/>
  <c r="H45" i="1" a="1"/>
  <c r="H46" i="1" a="1"/>
  <c r="H47" i="1" a="1"/>
  <c r="H48" i="1" a="1"/>
  <c r="H49" i="1" a="1"/>
  <c r="H50" i="1" a="1"/>
  <c r="H51" i="1" a="1"/>
  <c r="H52" i="1" a="1"/>
  <c r="H53" i="1" a="1"/>
  <c r="H54" i="1" a="1"/>
  <c r="H55" i="1" a="1"/>
  <c r="H56" i="1" a="1"/>
  <c r="H57" i="1" a="1"/>
  <c r="H58" i="1" a="1"/>
  <c r="H59" i="1" a="1"/>
  <c r="H60" i="1" a="1"/>
  <c r="H61" i="1" a="1"/>
  <c r="H62" i="1" a="1"/>
  <c r="H63" i="1" a="1"/>
  <c r="H64" i="1" a="1"/>
  <c r="H65" i="1" a="1"/>
  <c r="H66" i="1" a="1"/>
  <c r="H67" i="1" a="1"/>
  <c r="H68" i="1" a="1"/>
  <c r="H69" i="1" a="1"/>
  <c r="H70" i="1" a="1"/>
  <c r="H71" i="1" a="1"/>
  <c r="H72" i="1" a="1"/>
  <c r="H73" i="1" a="1"/>
  <c r="H74" i="1" a="1"/>
  <c r="H75" i="1" a="1"/>
  <c r="H76" i="1" a="1"/>
  <c r="H77" i="1" a="1"/>
  <c r="H78" i="1" a="1"/>
  <c r="H79" i="1" a="1"/>
  <c r="H80" i="1" a="1"/>
  <c r="H81" i="1" a="1"/>
  <c r="H82" i="1" a="1"/>
  <c r="H83" i="1" a="1"/>
  <c r="H84" i="1" a="1"/>
  <c r="H85" i="1" a="1"/>
  <c r="H86" i="1" a="1"/>
  <c r="H87" i="1" a="1"/>
  <c r="H88" i="1" a="1"/>
  <c r="H89" i="1" a="1"/>
  <c r="H90" i="1" a="1"/>
  <c r="H91" i="1" a="1"/>
  <c r="H92" i="1" a="1"/>
  <c r="H93" i="1" a="1"/>
  <c r="H94" i="1" a="1"/>
  <c r="H95" i="1" a="1"/>
  <c r="H96" i="1" a="1"/>
  <c r="H97" i="1" a="1"/>
  <c r="H98" i="1" a="1"/>
  <c r="H99" i="1" a="1"/>
  <c r="H100" i="1" a="1"/>
  <c r="H101" i="1" a="1"/>
  <c r="H102" i="1" a="1"/>
  <c r="H103" i="1" a="1"/>
  <c r="H104" i="1" a="1"/>
  <c r="H105" i="1" a="1"/>
  <c r="H106" i="1" a="1"/>
  <c r="H107" i="1" a="1"/>
  <c r="H108" i="1" a="1"/>
  <c r="H109" i="1" a="1"/>
  <c r="H110" i="1" a="1"/>
  <c r="H111" i="1" a="1"/>
  <c r="H112" i="1" a="1"/>
  <c r="H113" i="1" a="1"/>
  <c r="H114" i="1" a="1"/>
  <c r="H115" i="1" a="1"/>
  <c r="H116" i="1" a="1"/>
  <c r="H117" i="1" a="1"/>
  <c r="H118" i="1" a="1"/>
  <c r="H119" i="1" a="1"/>
  <c r="H120" i="1" a="1"/>
  <c r="H121" i="1" a="1"/>
  <c r="H122" i="1" a="1"/>
  <c r="H123" i="1" a="1"/>
  <c r="H124" i="1" a="1"/>
  <c r="H125" i="1" a="1"/>
  <c r="H126" i="1" a="1"/>
  <c r="H127" i="1" a="1"/>
  <c r="H128" i="1" a="1"/>
  <c r="H129" i="1" a="1"/>
  <c r="H130" i="1" a="1"/>
  <c r="H131" i="1" a="1"/>
  <c r="H132" i="1" a="1"/>
  <c r="H133" i="1" a="1"/>
  <c r="H134" i="1" a="1"/>
  <c r="H135" i="1" a="1"/>
  <c r="H136" i="1" a="1"/>
  <c r="H137" i="1" a="1"/>
  <c r="H138" i="1" a="1"/>
  <c r="H139" i="1" a="1"/>
  <c r="H140" i="1" a="1"/>
  <c r="H141" i="1" a="1"/>
  <c r="H142" i="1" a="1"/>
  <c r="H143" i="1" a="1"/>
  <c r="H144" i="1" a="1"/>
  <c r="H145" i="1" a="1"/>
  <c r="H146" i="1" a="1"/>
  <c r="H147" i="1" a="1"/>
  <c r="H148" i="1" a="1"/>
  <c r="H149" i="1" a="1"/>
  <c r="H150" i="1" a="1"/>
  <c r="H151" i="1" a="1"/>
  <c r="H152" i="1" a="1"/>
  <c r="H153" i="1" a="1"/>
  <c r="H154" i="1" a="1"/>
  <c r="H155" i="1" a="1"/>
  <c r="H156" i="1" a="1"/>
  <c r="H157" i="1" a="1"/>
  <c r="H158" i="1" a="1"/>
  <c r="H159" i="1" a="1"/>
  <c r="H160" i="1" a="1"/>
  <c r="H161" i="1" a="1"/>
  <c r="H162" i="1" a="1"/>
  <c r="H163" i="1" a="1"/>
  <c r="H164" i="1" a="1"/>
  <c r="H165" i="1" a="1"/>
  <c r="H166" i="1" a="1"/>
  <c r="H167" i="1" a="1"/>
  <c r="H168" i="1" a="1"/>
  <c r="H169" i="1" a="1"/>
  <c r="H170" i="1" a="1"/>
  <c r="H171" i="1" a="1"/>
  <c r="H172" i="1" a="1"/>
  <c r="H173" i="1" a="1"/>
  <c r="H174" i="1" a="1"/>
  <c r="H175" i="1" a="1"/>
  <c r="H176" i="1" a="1"/>
  <c r="H177" i="1" a="1"/>
  <c r="H178" i="1" a="1"/>
  <c r="H179" i="1" a="1"/>
  <c r="H180" i="1" a="1"/>
  <c r="H181" i="1" a="1"/>
  <c r="H182" i="1" a="1"/>
  <c r="H183" i="1" a="1"/>
  <c r="H184" i="1" a="1"/>
  <c r="H185" i="1" a="1"/>
  <c r="H186" i="1" a="1"/>
  <c r="H187" i="1" a="1"/>
  <c r="H188" i="1" a="1"/>
  <c r="H189" i="1" a="1"/>
  <c r="H190" i="1" a="1"/>
  <c r="H191" i="1" a="1"/>
  <c r="H192" i="1" a="1"/>
  <c r="H193" i="1" a="1"/>
  <c r="H194" i="1" a="1"/>
  <c r="H195" i="1" a="1"/>
  <c r="H196" i="1" a="1"/>
  <c r="H197" i="1" a="1"/>
  <c r="H198" i="1" a="1"/>
  <c r="H199" i="1" a="1"/>
  <c r="H200" i="1" a="1"/>
  <c r="H201" i="1" a="1"/>
  <c r="H2" i="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<sst xmlns="http://schemas.openxmlformats.org/spreadsheetml/2006/main" count="2309" uniqueCount="639">
  <si>
    <t>LoanID</t>
  </si>
  <si>
    <t>BranchName</t>
  </si>
  <si>
    <t>Region</t>
  </si>
  <si>
    <t>LoanProduct</t>
  </si>
  <si>
    <t>CustomerID</t>
  </si>
  <si>
    <t>EmploymentType</t>
  </si>
  <si>
    <t>CustomerAge</t>
  </si>
  <si>
    <t>DisbursementDate</t>
  </si>
  <si>
    <t>LoanAmount</t>
  </si>
  <si>
    <t>TenureMonths</t>
  </si>
  <si>
    <t>InterestRate</t>
  </si>
  <si>
    <t>EMIAmount</t>
  </si>
  <si>
    <t>MonthsElapsed</t>
  </si>
  <si>
    <t>InstallmentsPaid</t>
  </si>
  <si>
    <t>AmountCollectedTillDate</t>
  </si>
  <si>
    <t>OutstandingPrincipal</t>
  </si>
  <si>
    <t>DPD</t>
  </si>
  <si>
    <t>LoanStatus</t>
  </si>
  <si>
    <t>InterestIncomeEarned</t>
  </si>
  <si>
    <t>SFL-10001</t>
  </si>
  <si>
    <t>Bengaluru-01</t>
  </si>
  <si>
    <t>South</t>
  </si>
  <si>
    <t>Vehicle Loan</t>
  </si>
  <si>
    <t>CUS-4001</t>
  </si>
  <si>
    <t>Self-Employed</t>
  </si>
  <si>
    <t>Active</t>
  </si>
  <si>
    <t>SFL-10002</t>
  </si>
  <si>
    <t>Delhi-01</t>
  </si>
  <si>
    <t>North</t>
  </si>
  <si>
    <t>Gold Loan</t>
  </si>
  <si>
    <t>CUS-4002</t>
  </si>
  <si>
    <t>Salaried</t>
  </si>
  <si>
    <t>SFL-10003</t>
  </si>
  <si>
    <t>Pune-01</t>
  </si>
  <si>
    <t>West</t>
  </si>
  <si>
    <t>Personal Loan</t>
  </si>
  <si>
    <t>CUS-4003</t>
  </si>
  <si>
    <t>SFL-10004</t>
  </si>
  <si>
    <t>CUS-4004</t>
  </si>
  <si>
    <t>SFL-10005</t>
  </si>
  <si>
    <t>Mumbai-01</t>
  </si>
  <si>
    <t>CUS-4005</t>
  </si>
  <si>
    <t>Business Owner</t>
  </si>
  <si>
    <t>SFL-10006</t>
  </si>
  <si>
    <t>CUS-4006</t>
  </si>
  <si>
    <t>SFL-10007</t>
  </si>
  <si>
    <t>CUS-4007</t>
  </si>
  <si>
    <t>Overdue</t>
  </si>
  <si>
    <t>SFL-10008</t>
  </si>
  <si>
    <t>Home Improvement Loan</t>
  </si>
  <si>
    <t>CUS-4008</t>
  </si>
  <si>
    <t>SFL-10009</t>
  </si>
  <si>
    <t>Kolkata-01</t>
  </si>
  <si>
    <t>East</t>
  </si>
  <si>
    <t>CUS-4009</t>
  </si>
  <si>
    <t>NPA</t>
  </si>
  <si>
    <t>SFL-10010</t>
  </si>
  <si>
    <t>Business Loan</t>
  </si>
  <si>
    <t>CUS-4010</t>
  </si>
  <si>
    <t>SFL-10011</t>
  </si>
  <si>
    <t>Chennai-01</t>
  </si>
  <si>
    <t>CUS-4011</t>
  </si>
  <si>
    <t>SFL-10012</t>
  </si>
  <si>
    <t>CUS-4012</t>
  </si>
  <si>
    <t>SFL-10013</t>
  </si>
  <si>
    <t>Lucknow-01</t>
  </si>
  <si>
    <t>CUS-4013</t>
  </si>
  <si>
    <t>SFL-10014</t>
  </si>
  <si>
    <t>CUS-4014</t>
  </si>
  <si>
    <t>SFL-10015</t>
  </si>
  <si>
    <t>CUS-4015</t>
  </si>
  <si>
    <t>SFL-10016</t>
  </si>
  <si>
    <t>CUS-4016</t>
  </si>
  <si>
    <t>SFL-10017</t>
  </si>
  <si>
    <t>CUS-4017</t>
  </si>
  <si>
    <t>SFL-10018</t>
  </si>
  <si>
    <t>CUS-4018</t>
  </si>
  <si>
    <t>SFL-10019</t>
  </si>
  <si>
    <t>CUS-4019</t>
  </si>
  <si>
    <t>SFL-10020</t>
  </si>
  <si>
    <t>Bhubaneswar-01</t>
  </si>
  <si>
    <t>CUS-4020</t>
  </si>
  <si>
    <t>SFL-10021</t>
  </si>
  <si>
    <t>CUS-4021</t>
  </si>
  <si>
    <t>SFL-10022</t>
  </si>
  <si>
    <t>CUS-4022</t>
  </si>
  <si>
    <t>SFL-10023</t>
  </si>
  <si>
    <t>CUS-4023</t>
  </si>
  <si>
    <t>SFL-10024</t>
  </si>
  <si>
    <t>CUS-4024</t>
  </si>
  <si>
    <t>SFL-10025</t>
  </si>
  <si>
    <t>CUS-4025</t>
  </si>
  <si>
    <t>SFL-10026</t>
  </si>
  <si>
    <t>CUS-4026</t>
  </si>
  <si>
    <t>SFL-10027</t>
  </si>
  <si>
    <t>CUS-4027</t>
  </si>
  <si>
    <t>SFL-10028</t>
  </si>
  <si>
    <t>CUS-4028</t>
  </si>
  <si>
    <t>SFL-10029</t>
  </si>
  <si>
    <t>CUS-4029</t>
  </si>
  <si>
    <t>SFL-10030</t>
  </si>
  <si>
    <t>CUS-4030</t>
  </si>
  <si>
    <t>SFL-10031</t>
  </si>
  <si>
    <t>CUS-4031</t>
  </si>
  <si>
    <t>SFL-10032</t>
  </si>
  <si>
    <t>CUS-4032</t>
  </si>
  <si>
    <t>SFL-10033</t>
  </si>
  <si>
    <t>CUS-4033</t>
  </si>
  <si>
    <t>SFL-10034</t>
  </si>
  <si>
    <t>CUS-4034</t>
  </si>
  <si>
    <t>SFL-10035</t>
  </si>
  <si>
    <t>CUS-4035</t>
  </si>
  <si>
    <t>SFL-10036</t>
  </si>
  <si>
    <t>CUS-4036</t>
  </si>
  <si>
    <t>SFL-10037</t>
  </si>
  <si>
    <t>CUS-4037</t>
  </si>
  <si>
    <t>SFL-10038</t>
  </si>
  <si>
    <t>CUS-4038</t>
  </si>
  <si>
    <t>SFL-10039</t>
  </si>
  <si>
    <t>CUS-4039</t>
  </si>
  <si>
    <t>SFL-10040</t>
  </si>
  <si>
    <t>CUS-4040</t>
  </si>
  <si>
    <t>SFL-10041</t>
  </si>
  <si>
    <t>CUS-4041</t>
  </si>
  <si>
    <t>SFL-10042</t>
  </si>
  <si>
    <t>CUS-4042</t>
  </si>
  <si>
    <t>SFL-10043</t>
  </si>
  <si>
    <t>CUS-4043</t>
  </si>
  <si>
    <t>SFL-10044</t>
  </si>
  <si>
    <t>CUS-4044</t>
  </si>
  <si>
    <t>SFL-10045</t>
  </si>
  <si>
    <t>CUS-4045</t>
  </si>
  <si>
    <t>SFL-10046</t>
  </si>
  <si>
    <t>CUS-4046</t>
  </si>
  <si>
    <t>SFL-10047</t>
  </si>
  <si>
    <t>CUS-4047</t>
  </si>
  <si>
    <t>SFL-10048</t>
  </si>
  <si>
    <t>CUS-4048</t>
  </si>
  <si>
    <t>SFL-10049</t>
  </si>
  <si>
    <t>CUS-4049</t>
  </si>
  <si>
    <t>SFL-10050</t>
  </si>
  <si>
    <t>CUS-4050</t>
  </si>
  <si>
    <t>SFL-10051</t>
  </si>
  <si>
    <t>CUS-4051</t>
  </si>
  <si>
    <t>SFL-10052</t>
  </si>
  <si>
    <t>CUS-4052</t>
  </si>
  <si>
    <t>SFL-10053</t>
  </si>
  <si>
    <t>CUS-4053</t>
  </si>
  <si>
    <t>SFL-10054</t>
  </si>
  <si>
    <t>CUS-4054</t>
  </si>
  <si>
    <t>SFL-10055</t>
  </si>
  <si>
    <t>CUS-4055</t>
  </si>
  <si>
    <t>SFL-10056</t>
  </si>
  <si>
    <t>CUS-4056</t>
  </si>
  <si>
    <t>SFL-10057</t>
  </si>
  <si>
    <t>CUS-4057</t>
  </si>
  <si>
    <t>SFL-10058</t>
  </si>
  <si>
    <t>CUS-4058</t>
  </si>
  <si>
    <t>SFL-10059</t>
  </si>
  <si>
    <t>CUS-4059</t>
  </si>
  <si>
    <t>SFL-10060</t>
  </si>
  <si>
    <t>CUS-4060</t>
  </si>
  <si>
    <t>SFL-10061</t>
  </si>
  <si>
    <t>CUS-4061</t>
  </si>
  <si>
    <t>SFL-10062</t>
  </si>
  <si>
    <t>CUS-4062</t>
  </si>
  <si>
    <t>SFL-10063</t>
  </si>
  <si>
    <t>CUS-4063</t>
  </si>
  <si>
    <t>SFL-10064</t>
  </si>
  <si>
    <t>CUS-4064</t>
  </si>
  <si>
    <t>SFL-10065</t>
  </si>
  <si>
    <t>CUS-4065</t>
  </si>
  <si>
    <t>SFL-10066</t>
  </si>
  <si>
    <t>CUS-4066</t>
  </si>
  <si>
    <t>SFL-10067</t>
  </si>
  <si>
    <t>CUS-4067</t>
  </si>
  <si>
    <t>SFL-10068</t>
  </si>
  <si>
    <t>CUS-4068</t>
  </si>
  <si>
    <t>SFL-10069</t>
  </si>
  <si>
    <t>CUS-4069</t>
  </si>
  <si>
    <t>SFL-10070</t>
  </si>
  <si>
    <t>CUS-4070</t>
  </si>
  <si>
    <t>SFL-10071</t>
  </si>
  <si>
    <t>CUS-4071</t>
  </si>
  <si>
    <t>SFL-10072</t>
  </si>
  <si>
    <t>CUS-4072</t>
  </si>
  <si>
    <t>SFL-10073</t>
  </si>
  <si>
    <t>CUS-4073</t>
  </si>
  <si>
    <t>SFL-10074</t>
  </si>
  <si>
    <t>CUS-4074</t>
  </si>
  <si>
    <t>SFL-10075</t>
  </si>
  <si>
    <t>CUS-4075</t>
  </si>
  <si>
    <t>SFL-10076</t>
  </si>
  <si>
    <t>CUS-4076</t>
  </si>
  <si>
    <t>SFL-10077</t>
  </si>
  <si>
    <t>CUS-4077</t>
  </si>
  <si>
    <t>SFL-10078</t>
  </si>
  <si>
    <t>CUS-4078</t>
  </si>
  <si>
    <t>SFL-10079</t>
  </si>
  <si>
    <t>CUS-4079</t>
  </si>
  <si>
    <t>SFL-10080</t>
  </si>
  <si>
    <t>CUS-4080</t>
  </si>
  <si>
    <t>SFL-10081</t>
  </si>
  <si>
    <t>CUS-4081</t>
  </si>
  <si>
    <t>SFL-10082</t>
  </si>
  <si>
    <t>CUS-4082</t>
  </si>
  <si>
    <t>SFL-10083</t>
  </si>
  <si>
    <t>CUS-4083</t>
  </si>
  <si>
    <t>SFL-10084</t>
  </si>
  <si>
    <t>CUS-4084</t>
  </si>
  <si>
    <t>SFL-10085</t>
  </si>
  <si>
    <t>CUS-4085</t>
  </si>
  <si>
    <t>SFL-10086</t>
  </si>
  <si>
    <t>CUS-4086</t>
  </si>
  <si>
    <t>SFL-10087</t>
  </si>
  <si>
    <t>CUS-4087</t>
  </si>
  <si>
    <t>SFL-10088</t>
  </si>
  <si>
    <t>CUS-4088</t>
  </si>
  <si>
    <t>SFL-10089</t>
  </si>
  <si>
    <t>CUS-4089</t>
  </si>
  <si>
    <t>SFL-10090</t>
  </si>
  <si>
    <t>CUS-4090</t>
  </si>
  <si>
    <t>SFL-10091</t>
  </si>
  <si>
    <t>CUS-4091</t>
  </si>
  <si>
    <t>SFL-10092</t>
  </si>
  <si>
    <t>CUS-4092</t>
  </si>
  <si>
    <t>SFL-10093</t>
  </si>
  <si>
    <t>CUS-4093</t>
  </si>
  <si>
    <t>SFL-10094</t>
  </si>
  <si>
    <t>CUS-4094</t>
  </si>
  <si>
    <t>SFL-10095</t>
  </si>
  <si>
    <t>CUS-4095</t>
  </si>
  <si>
    <t>SFL-10096</t>
  </si>
  <si>
    <t>CUS-4096</t>
  </si>
  <si>
    <t>SFL-10097</t>
  </si>
  <si>
    <t>CUS-4097</t>
  </si>
  <si>
    <t>SFL-10098</t>
  </si>
  <si>
    <t>CUS-4098</t>
  </si>
  <si>
    <t>SFL-10099</t>
  </si>
  <si>
    <t>CUS-4099</t>
  </si>
  <si>
    <t>SFL-10100</t>
  </si>
  <si>
    <t>CUS-4100</t>
  </si>
  <si>
    <t>SFL-10101</t>
  </si>
  <si>
    <t>CUS-4101</t>
  </si>
  <si>
    <t>SFL-10102</t>
  </si>
  <si>
    <t>CUS-4102</t>
  </si>
  <si>
    <t>SFL-10103</t>
  </si>
  <si>
    <t>CUS-4103</t>
  </si>
  <si>
    <t>SFL-10104</t>
  </si>
  <si>
    <t>CUS-4104</t>
  </si>
  <si>
    <t>SFL-10105</t>
  </si>
  <si>
    <t>CUS-4105</t>
  </si>
  <si>
    <t>SFL-10106</t>
  </si>
  <si>
    <t>CUS-4106</t>
  </si>
  <si>
    <t>SFL-10107</t>
  </si>
  <si>
    <t>CUS-4107</t>
  </si>
  <si>
    <t>SFL-10108</t>
  </si>
  <si>
    <t>CUS-4108</t>
  </si>
  <si>
    <t>SFL-10109</t>
  </si>
  <si>
    <t>CUS-4109</t>
  </si>
  <si>
    <t>SFL-10110</t>
  </si>
  <si>
    <t>CUS-4110</t>
  </si>
  <si>
    <t>SFL-10111</t>
  </si>
  <si>
    <t>CUS-4111</t>
  </si>
  <si>
    <t>SFL-10112</t>
  </si>
  <si>
    <t>CUS-4112</t>
  </si>
  <si>
    <t>SFL-10113</t>
  </si>
  <si>
    <t>CUS-4113</t>
  </si>
  <si>
    <t>SFL-10114</t>
  </si>
  <si>
    <t>CUS-4114</t>
  </si>
  <si>
    <t>SFL-10115</t>
  </si>
  <si>
    <t>CUS-4115</t>
  </si>
  <si>
    <t>SFL-10116</t>
  </si>
  <si>
    <t>CUS-4116</t>
  </si>
  <si>
    <t>SFL-10117</t>
  </si>
  <si>
    <t>CUS-4117</t>
  </si>
  <si>
    <t>SFL-10118</t>
  </si>
  <si>
    <t>CUS-4118</t>
  </si>
  <si>
    <t>SFL-10119</t>
  </si>
  <si>
    <t>CUS-4119</t>
  </si>
  <si>
    <t>SFL-10120</t>
  </si>
  <si>
    <t>CUS-4120</t>
  </si>
  <si>
    <t>SFL-10121</t>
  </si>
  <si>
    <t>CUS-4121</t>
  </si>
  <si>
    <t>SFL-10122</t>
  </si>
  <si>
    <t>CUS-4122</t>
  </si>
  <si>
    <t>SFL-10123</t>
  </si>
  <si>
    <t>CUS-4123</t>
  </si>
  <si>
    <t>SFL-10124</t>
  </si>
  <si>
    <t>CUS-4124</t>
  </si>
  <si>
    <t>SFL-10125</t>
  </si>
  <si>
    <t>CUS-4125</t>
  </si>
  <si>
    <t>SFL-10126</t>
  </si>
  <si>
    <t>CUS-4126</t>
  </si>
  <si>
    <t>SFL-10127</t>
  </si>
  <si>
    <t>CUS-4127</t>
  </si>
  <si>
    <t>SFL-10128</t>
  </si>
  <si>
    <t>CUS-4128</t>
  </si>
  <si>
    <t>SFL-10129</t>
  </si>
  <si>
    <t>CUS-4129</t>
  </si>
  <si>
    <t>SFL-10130</t>
  </si>
  <si>
    <t>CUS-4130</t>
  </si>
  <si>
    <t>SFL-10131</t>
  </si>
  <si>
    <t>CUS-4131</t>
  </si>
  <si>
    <t>SFL-10132</t>
  </si>
  <si>
    <t>CUS-4132</t>
  </si>
  <si>
    <t>SFL-10133</t>
  </si>
  <si>
    <t>CUS-4133</t>
  </si>
  <si>
    <t>SFL-10134</t>
  </si>
  <si>
    <t>CUS-4134</t>
  </si>
  <si>
    <t>SFL-10135</t>
  </si>
  <si>
    <t>CUS-4135</t>
  </si>
  <si>
    <t>SFL-10136</t>
  </si>
  <si>
    <t>CUS-4136</t>
  </si>
  <si>
    <t>SFL-10137</t>
  </si>
  <si>
    <t>CUS-4137</t>
  </si>
  <si>
    <t>SFL-10138</t>
  </si>
  <si>
    <t>CUS-4138</t>
  </si>
  <si>
    <t>SFL-10139</t>
  </si>
  <si>
    <t>CUS-4139</t>
  </si>
  <si>
    <t>SFL-10140</t>
  </si>
  <si>
    <t>CUS-4140</t>
  </si>
  <si>
    <t>SFL-10141</t>
  </si>
  <si>
    <t>CUS-4141</t>
  </si>
  <si>
    <t>SFL-10142</t>
  </si>
  <si>
    <t>CUS-4142</t>
  </si>
  <si>
    <t>SFL-10143</t>
  </si>
  <si>
    <t>CUS-4143</t>
  </si>
  <si>
    <t>SFL-10144</t>
  </si>
  <si>
    <t>CUS-4144</t>
  </si>
  <si>
    <t>SFL-10145</t>
  </si>
  <si>
    <t>CUS-4145</t>
  </si>
  <si>
    <t>SFL-10146</t>
  </si>
  <si>
    <t>CUS-4146</t>
  </si>
  <si>
    <t>SFL-10147</t>
  </si>
  <si>
    <t>CUS-4147</t>
  </si>
  <si>
    <t>SFL-10148</t>
  </si>
  <si>
    <t>CUS-4148</t>
  </si>
  <si>
    <t>SFL-10149</t>
  </si>
  <si>
    <t>CUS-4149</t>
  </si>
  <si>
    <t>SFL-10150</t>
  </si>
  <si>
    <t>CUS-4150</t>
  </si>
  <si>
    <t>SFL-10151</t>
  </si>
  <si>
    <t>CUS-4151</t>
  </si>
  <si>
    <t>SFL-10152</t>
  </si>
  <si>
    <t>CUS-4152</t>
  </si>
  <si>
    <t>SFL-10153</t>
  </si>
  <si>
    <t>CUS-4153</t>
  </si>
  <si>
    <t>SFL-10154</t>
  </si>
  <si>
    <t>CUS-4154</t>
  </si>
  <si>
    <t>SFL-10155</t>
  </si>
  <si>
    <t>CUS-4155</t>
  </si>
  <si>
    <t>SFL-10156</t>
  </si>
  <si>
    <t>CUS-4156</t>
  </si>
  <si>
    <t>SFL-10157</t>
  </si>
  <si>
    <t>CUS-4157</t>
  </si>
  <si>
    <t>SFL-10158</t>
  </si>
  <si>
    <t>CUS-4158</t>
  </si>
  <si>
    <t>SFL-10159</t>
  </si>
  <si>
    <t>CUS-4159</t>
  </si>
  <si>
    <t>SFL-10160</t>
  </si>
  <si>
    <t>CUS-4160</t>
  </si>
  <si>
    <t>SFL-10161</t>
  </si>
  <si>
    <t>CUS-4161</t>
  </si>
  <si>
    <t>SFL-10162</t>
  </si>
  <si>
    <t>CUS-4162</t>
  </si>
  <si>
    <t>SFL-10163</t>
  </si>
  <si>
    <t>CUS-4163</t>
  </si>
  <si>
    <t>SFL-10164</t>
  </si>
  <si>
    <t>CUS-4164</t>
  </si>
  <si>
    <t>SFL-10165</t>
  </si>
  <si>
    <t>CUS-4165</t>
  </si>
  <si>
    <t>SFL-10166</t>
  </si>
  <si>
    <t>CUS-4166</t>
  </si>
  <si>
    <t>SFL-10167</t>
  </si>
  <si>
    <t>CUS-4167</t>
  </si>
  <si>
    <t>SFL-10168</t>
  </si>
  <si>
    <t>CUS-4168</t>
  </si>
  <si>
    <t>SFL-10169</t>
  </si>
  <si>
    <t>CUS-4169</t>
  </si>
  <si>
    <t>SFL-10170</t>
  </si>
  <si>
    <t>CUS-4170</t>
  </si>
  <si>
    <t>SFL-10171</t>
  </si>
  <si>
    <t>CUS-4171</t>
  </si>
  <si>
    <t>SFL-10172</t>
  </si>
  <si>
    <t>CUS-4172</t>
  </si>
  <si>
    <t>SFL-10173</t>
  </si>
  <si>
    <t>CUS-4173</t>
  </si>
  <si>
    <t>SFL-10174</t>
  </si>
  <si>
    <t>CUS-4174</t>
  </si>
  <si>
    <t>SFL-10175</t>
  </si>
  <si>
    <t>CUS-4175</t>
  </si>
  <si>
    <t>SFL-10176</t>
  </si>
  <si>
    <t>CUS-4176</t>
  </si>
  <si>
    <t>SFL-10177</t>
  </si>
  <si>
    <t>CUS-4177</t>
  </si>
  <si>
    <t>SFL-10178</t>
  </si>
  <si>
    <t>CUS-4178</t>
  </si>
  <si>
    <t>SFL-10179</t>
  </si>
  <si>
    <t>CUS-4179</t>
  </si>
  <si>
    <t>SFL-10180</t>
  </si>
  <si>
    <t>CUS-4180</t>
  </si>
  <si>
    <t>SFL-10181</t>
  </si>
  <si>
    <t>CUS-4181</t>
  </si>
  <si>
    <t>SFL-10182</t>
  </si>
  <si>
    <t>CUS-4182</t>
  </si>
  <si>
    <t>SFL-10183</t>
  </si>
  <si>
    <t>CUS-4183</t>
  </si>
  <si>
    <t>SFL-10184</t>
  </si>
  <si>
    <t>CUS-4184</t>
  </si>
  <si>
    <t>SFL-10185</t>
  </si>
  <si>
    <t>CUS-4185</t>
  </si>
  <si>
    <t>SFL-10186</t>
  </si>
  <si>
    <t>CUS-4186</t>
  </si>
  <si>
    <t>SFL-10187</t>
  </si>
  <si>
    <t>CUS-4187</t>
  </si>
  <si>
    <t>SFL-10188</t>
  </si>
  <si>
    <t>CUS-4188</t>
  </si>
  <si>
    <t>SFL-10189</t>
  </si>
  <si>
    <t>CUS-4189</t>
  </si>
  <si>
    <t>SFL-10190</t>
  </si>
  <si>
    <t>CUS-4190</t>
  </si>
  <si>
    <t>SFL-10191</t>
  </si>
  <si>
    <t>CUS-4191</t>
  </si>
  <si>
    <t>SFL-10192</t>
  </si>
  <si>
    <t>CUS-4192</t>
  </si>
  <si>
    <t>SFL-10193</t>
  </si>
  <si>
    <t>CUS-4193</t>
  </si>
  <si>
    <t>SFL-10194</t>
  </si>
  <si>
    <t>CUS-4194</t>
  </si>
  <si>
    <t>SFL-10195</t>
  </si>
  <si>
    <t>CUS-4195</t>
  </si>
  <si>
    <t>SFL-10196</t>
  </si>
  <si>
    <t>CUS-4196</t>
  </si>
  <si>
    <t>SFL-10197</t>
  </si>
  <si>
    <t>CUS-4197</t>
  </si>
  <si>
    <t>SFL-10198</t>
  </si>
  <si>
    <t>CUS-4198</t>
  </si>
  <si>
    <t>SFL-10199</t>
  </si>
  <si>
    <t>CUS-4199</t>
  </si>
  <si>
    <t>SFL-10200</t>
  </si>
  <si>
    <t>CUS-4200</t>
  </si>
  <si>
    <t>Field</t>
  </si>
  <si>
    <t>What it means</t>
  </si>
  <si>
    <t>Example</t>
  </si>
  <si>
    <t>Unique ID for each loan account.</t>
  </si>
  <si>
    <t>The branch that originated (sold) the loan.</t>
  </si>
  <si>
    <t>The region the branch belongs to. One of North / South / East / West.</t>
  </si>
  <si>
    <t>The type of loan product.</t>
  </si>
  <si>
    <t>Unique ID for the borrowing customer.</t>
  </si>
  <si>
    <t>CUS-4521</t>
  </si>
  <si>
    <t>The customer's employment category, used to study risk by segment.</t>
  </si>
  <si>
    <t>Customer's age in years at disbursement.</t>
  </si>
  <si>
    <t>34</t>
  </si>
  <si>
    <t>The date the loan amount was paid out to the customer.</t>
  </si>
  <si>
    <t>15-Mar-2024</t>
  </si>
  <si>
    <t>The original principal amount disbursed (lent out).</t>
  </si>
  <si>
    <t>350000</t>
  </si>
  <si>
    <t>Total number of months the customer has to repay the loan.</t>
  </si>
  <si>
    <t>36</t>
  </si>
  <si>
    <t>Annual interest rate charged on the loan, in %.</t>
  </si>
  <si>
    <t>14.5</t>
  </si>
  <si>
    <t>The fixed monthly instalment (Equal Monthly Instalment) the customer is supposed to pay, calculated from LoanAmount, InterestRate and TenureMonths.</t>
  </si>
  <si>
    <t>12045</t>
  </si>
  <si>
    <t>How many months have passed between DisbursementDate and the report date (31-Jul-2024), capped at TenureMonths.</t>
  </si>
  <si>
    <t>5</t>
  </si>
  <si>
    <t>How many of those EMIs the customer has actually paid on schedule so far.</t>
  </si>
  <si>
    <t>4</t>
  </si>
  <si>
    <t>Total amount actually recovered from the customer so far (InstallmentsPaid x EMIAmount).</t>
  </si>
  <si>
    <t>48180</t>
  </si>
  <si>
    <t>Principal still owed by the customer, calculated using standard loan amortisation math (not just LoanAmount minus cash collected, since part of every EMI is interest).</t>
  </si>
  <si>
    <t>312400</t>
  </si>
  <si>
    <t>Days Past Due — how many days overdue the customer's oldest unpaid instalment is. 0 = fully up to date.</t>
  </si>
  <si>
    <t>45</t>
  </si>
  <si>
    <t>Active (DPD = 0), Overdue (1-90 DPD, early warning), or NPA (DPD &gt; 90, bad loan).</t>
  </si>
  <si>
    <t>The portion of AmountCollectedTillDate that is interest (i.e. the company's actual profit from this loan so far, not the capital it lent out).</t>
  </si>
  <si>
    <t>9850</t>
  </si>
  <si>
    <t>Dashboard Build Questions</t>
  </si>
  <si>
    <t>A. Disbursement vs. Collection Health</t>
  </si>
  <si>
    <t>#</t>
  </si>
  <si>
    <t>Question (answers a business question)</t>
  </si>
  <si>
    <t>Build this as...</t>
  </si>
  <si>
    <t>Your Answer / Notes</t>
  </si>
  <si>
    <t>Compare total LoanAmount disbursed to total AmountCollectedTillDate for each month.</t>
  </si>
  <si>
    <t>Is the gap between disbursement and collection widening or narrowing month over month?</t>
  </si>
  <si>
    <t>What % of total disbursed principal remains outstanding right now, overall and by region?</t>
  </si>
  <si>
    <t>B. Branch / Region / Product Risk (NPA%)</t>
  </si>
  <si>
    <t>What is the NPA% (NPA loans as a % of total loans) for each branch?</t>
  </si>
  <si>
    <t>Which region has the highest NPA% by outstanding value, not just by loan count?</t>
  </si>
  <si>
    <t>Which loan product carries the most NPA risk?</t>
  </si>
  <si>
    <t>Rank all 8 branches from healthiest to riskiest, using NPA% as the ranking measure.</t>
  </si>
  <si>
    <t>C. Customer Segment Risk</t>
  </si>
  <si>
    <t>Does EmploymentType affect default risk? Compare NPA% across Salaried, Self-Employed, and Business Owner.</t>
  </si>
  <si>
    <t>Group customers into age bands (e.g. &lt;30, 30-40, 40-50, 50+) and compare NPA% across bands.</t>
  </si>
  <si>
    <t>Within the riskiest EmploymentType found above, which LoanProduct is most commonly involved in NPAs?</t>
  </si>
  <si>
    <t>D. Profitability (Interest Income)</t>
  </si>
  <si>
    <t>Which branch has earned the most InterestIncomeEarned so far?</t>
  </si>
  <si>
    <t>Which LoanProduct is the most profitable per rupee lent (InterestIncomeEarned as a % of LoanAmount)?</t>
  </si>
  <si>
    <t>Is the branch with the HIGHEST disbursement also the branch with the highest interest income? What does a mismatch tell you?</t>
  </si>
  <si>
    <t>E. Early-Warning (DPD / Overdue Monitoring)</t>
  </si>
  <si>
    <t>How many loans are currently in the 'Overdue' zone (1-90 DPD) and what total OutstandingPrincipal do they represent?</t>
  </si>
  <si>
    <t>Which branch has the most loans sitting in the Overdue zone (i.e. at risk of becoming NPA next)?</t>
  </si>
  <si>
    <t>Build a single dashboard view combining Region, LoanProduct, and LoanStatus with a slicer, so a manager can filter to any one region/product and instantly see the loan-status split.</t>
  </si>
  <si>
    <t>Sum of LoanAmount</t>
  </si>
  <si>
    <t>Sum of AmountCollectedTillDate</t>
  </si>
  <si>
    <t>Grand Total</t>
  </si>
  <si>
    <t>Jan</t>
  </si>
  <si>
    <t>Feb</t>
  </si>
  <si>
    <t>Mar</t>
  </si>
  <si>
    <t>Apr</t>
  </si>
  <si>
    <t>May</t>
  </si>
  <si>
    <t>Jun</t>
  </si>
  <si>
    <t>Loan Amount disbursed to total amount collected till date</t>
  </si>
  <si>
    <t>Disbursed Month</t>
  </si>
  <si>
    <t>Disbursed Month (Rows),Sum of loan amount + sum of amount collected till date(Columns)</t>
  </si>
  <si>
    <t>Sum of OutstandingPrincipal</t>
  </si>
  <si>
    <t>Disbursement and collection are widening frrom jan to march,Then narrowing from April to june</t>
  </si>
  <si>
    <t xml:space="preserve"> Total  % disbursed principal remains outstanding, overall and by region?</t>
  </si>
  <si>
    <t>Sum of %Outstanding</t>
  </si>
  <si>
    <t xml:space="preserve">Total outstanding= 91% Region wise EAST=90% , NORTH=92%,      SOUTH=92%,  WEST= 90%                 </t>
  </si>
  <si>
    <t>created a pivot table with Region (Rows),Sum of outstanding principle,loan amount(Values).Then  created extra pivot column % outstanding with the help of calculated field . (outstanding / loan amount)</t>
  </si>
  <si>
    <t>Created a clusterd Column chart for Analyzing</t>
  </si>
  <si>
    <t>Count of LoanID</t>
  </si>
  <si>
    <t>Column Labels</t>
  </si>
  <si>
    <t>created a pivot table with Branch name (Rows),Loan ID (Values),Loan status(Columns) Then selected a values and changed to percentage by changing the values using show values as Total row % .This will calculated by dividing the loan status by loan ID.</t>
  </si>
  <si>
    <t xml:space="preserve">Bengaluru-01 = 9.52%,               Bhubaneswar-01 = 4%,              Chennai-01 = 10.71%,                     Delhi-01 = 8.33%,                          Kolkata-01 =7.41%,                   Lucknow-01 =8.33%,                     Mumbai-01 =6.45%,                          Pune-01 =10%                                         </t>
  </si>
  <si>
    <t>Created a pivot table with region (row),Outstanding principles (values),Loan status (colomun).  Then selected a values and changed to percentage by changing the values using show values as Total row %</t>
  </si>
  <si>
    <r>
      <t>The</t>
    </r>
    <r>
      <rPr>
        <b/>
        <sz val="11"/>
        <color theme="1"/>
        <rFont val="Calibri"/>
        <family val="2"/>
        <scheme val="minor"/>
      </rPr>
      <t xml:space="preserve"> SOUTH </t>
    </r>
    <r>
      <rPr>
        <sz val="11"/>
        <color theme="1"/>
        <rFont val="Calibri"/>
        <family val="2"/>
        <scheme val="minor"/>
      </rPr>
      <t>Region has the highest NPA % by outstanding value</t>
    </r>
  </si>
  <si>
    <t>Branch Name</t>
  </si>
  <si>
    <t>Loan Product</t>
  </si>
  <si>
    <r>
      <t xml:space="preserve">PERSONAL LOAN </t>
    </r>
    <r>
      <rPr>
        <sz val="11"/>
        <color theme="1"/>
        <rFont val="Calibri"/>
        <family val="2"/>
        <scheme val="minor"/>
      </rPr>
      <t>Has most NPA Risk</t>
    </r>
  </si>
  <si>
    <t xml:space="preserve">Bhubaneswar-01,                              Mumbai-01,                                   Kolkata-01,                                       Delhi-01,                                       Lucknow-01,                                  Bengaluru-01,                                     Pune-01,                                        Chennai-01                                                                  </t>
  </si>
  <si>
    <t>Employment Type</t>
  </si>
  <si>
    <t>Created a pivot table with Branch name (Rows),Loan ID (Values),Loan status(Columns) Then selected a values and changed to percentage by changing the values using show values as Total row % .This will calculated by dividing the loan status by loan ID.  (Then copied  the data to other cell and sorted smallest to largest)</t>
  </si>
  <si>
    <t>Created a pivot table with EmploymentType (Rows),Loan ID (Values), Loan Status (columns). Then selected a values and changed to percentage by changing the values using show values as Total row % .</t>
  </si>
  <si>
    <t>Yes, The employment Type affects Risk. The business owners have highest NPA%</t>
  </si>
  <si>
    <t>Age Bands</t>
  </si>
  <si>
    <t>&lt;30</t>
  </si>
  <si>
    <t>30-40</t>
  </si>
  <si>
    <t>40-50</t>
  </si>
  <si>
    <t>50+</t>
  </si>
  <si>
    <t xml:space="preserve">First created a new column for age bands in the data sheet.Using IFS function and sorted according to age </t>
  </si>
  <si>
    <t>Created a pivot table with product (row),Loan ID (values),Loan status (colomun).  Then selected a values and changed to percentage by changing the values using show values as Total row %</t>
  </si>
  <si>
    <t>Created a pivot table with Employment Type(Rows),Loan Product (Rows),Loan status (Column),Loan Id(Values).Then filter the employment type by riskiest we found above tabel</t>
  </si>
  <si>
    <t xml:space="preserve"> The personal loan is the most commonly invloved NPA product In the Riskiest Employment Type</t>
  </si>
  <si>
    <t>Sum of InterestIncomeEarned</t>
  </si>
  <si>
    <t>Created a pivot Table with branch name(Rows),Intrest income earned (values).Then sort income highest to smallest</t>
  </si>
  <si>
    <r>
      <rPr>
        <b/>
        <sz val="11"/>
        <color theme="1"/>
        <rFont val="Calibri"/>
        <family val="2"/>
        <scheme val="minor"/>
      </rPr>
      <t xml:space="preserve">Kolkata </t>
    </r>
    <r>
      <rPr>
        <sz val="11"/>
        <color theme="1"/>
        <rFont val="Calibri"/>
        <family val="2"/>
        <scheme val="minor"/>
      </rPr>
      <t>Branch has earned more intrest income</t>
    </r>
  </si>
  <si>
    <t>Sum of %Loan Amount</t>
  </si>
  <si>
    <t>Loan product</t>
  </si>
  <si>
    <t>Branch</t>
  </si>
  <si>
    <t>Age group</t>
  </si>
  <si>
    <t>Created a pivot Table with Loan Product (Rows),Loan amount(Values), Interest income earned (values).Then created a extra column with the help of calculated field for % intrestearned income as a loan amount</t>
  </si>
  <si>
    <r>
      <rPr>
        <b/>
        <sz val="11"/>
        <color theme="1"/>
        <rFont val="Calibri"/>
        <family val="2"/>
        <scheme val="minor"/>
      </rPr>
      <t xml:space="preserve">Personal Loan </t>
    </r>
    <r>
      <rPr>
        <sz val="11"/>
        <color theme="1"/>
        <rFont val="Calibri"/>
        <family val="2"/>
        <scheme val="minor"/>
      </rPr>
      <t>is the most profitable loan product per rupee lent</t>
    </r>
  </si>
  <si>
    <t>No. Bhubaneswar-01 has the highest disbursement at ₹1.61 crore, while Kolkata-01 has the highest interest income at ₹5.70 lakh. This mismatch shows that higher loan disbursement does not necessarily lead to higher interest income</t>
  </si>
  <si>
    <t>Created a pivot table with branch name (rows),Loan amount (values),Interest earned (values)</t>
  </si>
  <si>
    <t>Created a pivot table with Loan Status in (Rows),Loan ID(values),Outstanding Principle (values).Then filtered loan status by overdue</t>
  </si>
  <si>
    <t>Details for Sum of OutstandingPrincipal - LoanStatus: Overdue</t>
  </si>
  <si>
    <r>
      <t xml:space="preserve">There are 37 Loans in </t>
    </r>
    <r>
      <rPr>
        <b/>
        <sz val="11"/>
        <color theme="1"/>
        <rFont val="Calibri"/>
        <family val="2"/>
        <scheme val="minor"/>
      </rPr>
      <t xml:space="preserve">Overdue </t>
    </r>
    <r>
      <rPr>
        <sz val="11"/>
        <color theme="1"/>
        <rFont val="Calibri"/>
        <family val="2"/>
        <scheme val="minor"/>
      </rPr>
      <t>Zone with 20870151 outstanding amount</t>
    </r>
  </si>
  <si>
    <t>Loan Status</t>
  </si>
  <si>
    <t>Created a pivot table with Branch Name(Rows),Loan status(column),Loan ID (Values).Then filter the Loan status only overdue. Then sort Largest to smallest</t>
  </si>
  <si>
    <r>
      <t>The</t>
    </r>
    <r>
      <rPr>
        <b/>
        <sz val="11"/>
        <color theme="1"/>
        <rFont val="Calibri"/>
        <family val="2"/>
        <scheme val="minor"/>
      </rPr>
      <t xml:space="preserve"> Bhubaneswar</t>
    </r>
    <r>
      <rPr>
        <sz val="11"/>
        <color theme="1"/>
        <rFont val="Calibri"/>
        <family val="2"/>
        <scheme val="minor"/>
      </rPr>
      <t xml:space="preserve"> branch has the most loan sitting in the Overdue zone </t>
    </r>
  </si>
  <si>
    <t>OUTSTANDING PRINCIPLE</t>
  </si>
  <si>
    <t>LOAN COUNT</t>
  </si>
  <si>
    <t>% OF LOAN STATUS</t>
  </si>
  <si>
    <t>LOAN AMOUNT</t>
  </si>
  <si>
    <t>&lt;1</t>
  </si>
  <si>
    <t>1-90</t>
  </si>
  <si>
    <t>&gt;91</t>
  </si>
  <si>
    <t>Row Labels</t>
  </si>
  <si>
    <t>Count of LoanProduct</t>
  </si>
  <si>
    <t>Suvidha Finance Ltd. — Loan Portfolio</t>
  </si>
  <si>
    <t>Executive Summary</t>
  </si>
  <si>
    <t>In short: the portfolio is performing reasonably well, but risk is not spread evenly and a few areas need attention now. Of ₹10.94 crore lent to customers, ₹1.37 crore has been collected so far. 8% of loans (16 of 200) have turned into bad debt, and another 18.5% (37 loans) have missed a payment and could slide into bad debt if nothing is done. Because the problems sit in identifiable places (certain branches, one product, certain customer groups), targeted action can fix them without tightening lending across the whole company.</t>
  </si>
  <si>
    <t>What the Numbers Are Telling Us</t>
  </si>
  <si>
    <t>1. Overall loan book</t>
  </si>
  <si>
    <t>2. How collections and lending have moved month by month</t>
  </si>
  <si>
    <t>The table shows what was lent in each month and how much of it has been collected back so far.</t>
  </si>
  <si>
    <t>Month</t>
  </si>
  <si>
    <t>Amount lent (₹)</t>
  </si>
  <si>
    <t>Collected so far (₹)</t>
  </si>
  <si>
    <t>Collected %</t>
  </si>
  <si>
    <t>Total</t>
  </si>
  <si>
    <t>3. How risky is the current book?</t>
  </si>
  <si>
    <t>4. Where is the risk concentrated?</t>
  </si>
  <si>
    <t>5. Who is more likely to default?</t>
  </si>
  <si>
    <t>6. Where is the company actually making money?</t>
  </si>
  <si>
    <t>Interest income varies widely between branches, and it does not line up neatly with risk.</t>
  </si>
  <si>
    <t>Interest income (₹)</t>
  </si>
  <si>
    <t>Bad-loan rate</t>
  </si>
  <si>
    <t>Overdue loans</t>
  </si>
  <si>
    <t>Kolkata</t>
  </si>
  <si>
    <t>Bhubaneswar</t>
  </si>
  <si>
    <t>Mumbai</t>
  </si>
  <si>
    <t>Bengaluru</t>
  </si>
  <si>
    <t>Delhi</t>
  </si>
  <si>
    <t>Lucknow</t>
  </si>
  <si>
    <t>Pune</t>
  </si>
  <si>
    <t>Chennai</t>
  </si>
  <si>
    <t>7. Early-warning loans by branch</t>
  </si>
  <si>
    <t>What the Risk Analysis Means for the Future</t>
  </si>
  <si>
    <t>What the Profitability Analysis Means for the Future</t>
  </si>
  <si>
    <t>Recommendations</t>
  </si>
  <si>
    <t>Notes on the Data</t>
  </si>
  <si>
    <r>
      <rPr>
        <b/>
        <sz val="10"/>
        <color rgb="FF000000"/>
        <rFont val="Arial"/>
        <family val="2"/>
      </rPr>
      <t>Reporting period:</t>
    </r>
    <r>
      <rPr>
        <sz val="10"/>
        <color rgb="FF000000"/>
        <rFont val="Arial"/>
        <family val="2"/>
      </rPr>
      <t xml:space="preserve"> Loans disbursed Jan–Jun 2024, status as of 31-Jul-2024</t>
    </r>
  </si>
  <si>
    <r>
      <rPr>
        <b/>
        <sz val="10"/>
        <color rgb="FF000000"/>
        <rFont val="Arial"/>
        <family val="2"/>
      </rPr>
      <t>Portfolio covered:</t>
    </r>
    <r>
      <rPr>
        <sz val="10"/>
        <color rgb="FF000000"/>
        <rFont val="Arial"/>
        <family val="2"/>
      </rPr>
      <t xml:space="preserve"> 200 loans across 8 branches, 4 regions, 5 loan products</t>
    </r>
  </si>
  <si>
    <r>
      <rPr>
        <sz val="10"/>
        <color rgb="FF000000"/>
        <rFont val="Arial"/>
        <family val="2"/>
      </rPr>
      <t xml:space="preserve">•  Total loans: </t>
    </r>
    <r>
      <rPr>
        <b/>
        <sz val="10"/>
        <color rgb="FF000000"/>
        <rFont val="Arial"/>
        <family val="2"/>
      </rPr>
      <t>200</t>
    </r>
  </si>
  <si>
    <r>
      <rPr>
        <sz val="10"/>
        <color rgb="FF000000"/>
        <rFont val="Arial"/>
        <family val="2"/>
      </rPr>
      <t xml:space="preserve">•  Total amount lent to customers: </t>
    </r>
    <r>
      <rPr>
        <b/>
        <sz val="10"/>
        <color rgb="FF000000"/>
        <rFont val="Arial"/>
        <family val="2"/>
      </rPr>
      <t>₹10.94 crore</t>
    </r>
  </si>
  <si>
    <r>
      <rPr>
        <sz val="10"/>
        <color rgb="FF000000"/>
        <rFont val="Arial"/>
        <family val="2"/>
      </rPr>
      <t xml:space="preserve">•  Interest income earned so far: </t>
    </r>
    <r>
      <rPr>
        <b/>
        <sz val="10"/>
        <color rgb="FF000000"/>
        <rFont val="Arial"/>
        <family val="2"/>
      </rPr>
      <t>₹36.3 lakh</t>
    </r>
  </si>
  <si>
    <r>
      <rPr>
        <sz val="10"/>
        <color rgb="FF000000"/>
        <rFont val="Arial"/>
        <family val="2"/>
      </rPr>
      <t xml:space="preserve">•  Total amount still outstanding (principal plus interest, less collections): </t>
    </r>
    <r>
      <rPr>
        <b/>
        <sz val="10"/>
        <color rgb="FF000000"/>
        <rFont val="Arial"/>
        <family val="2"/>
      </rPr>
      <t>₹9.93 crore</t>
    </r>
  </si>
  <si>
    <t>•  Lending held steady at about ₹2.1–2.2 crore a month from January to April, then fell sharply to ₹1.31 crore in May and ₹1.14 crore in June, roughly half the Q1 level. The dashboard does not show why, so leadership should confirm whether this was a deliberate slowdown or lost business.</t>
  </si>
  <si>
    <t>•  Older loans have been collected more than newer ones (21.2% for January loans against 3.8% for June loans). Some of this is natural, since newer loans have had less time to repay. It still means collections on the Mar–Apr batches deserve a closer look.</t>
  </si>
  <si>
    <r>
      <rPr>
        <sz val="10"/>
        <color rgb="FF000000"/>
        <rFont val="Arial"/>
        <family val="2"/>
      </rPr>
      <t xml:space="preserve">•  </t>
    </r>
    <r>
      <rPr>
        <b/>
        <sz val="10"/>
        <color rgb="FF000000"/>
        <rFont val="Arial"/>
        <family val="2"/>
      </rPr>
      <t>8%</t>
    </r>
    <r>
      <rPr>
        <sz val="10"/>
        <color rgb="FF000000"/>
        <rFont val="Arial"/>
        <family val="2"/>
      </rPr>
      <t xml:space="preserve"> of all loans (16 loans) are classified as "bad debt" (customers who have stopped paying for more than 90 days, so the money may never fully come back).</t>
    </r>
  </si>
  <si>
    <r>
      <rPr>
        <sz val="10"/>
        <color rgb="FF000000"/>
        <rFont val="Arial"/>
        <family val="2"/>
      </rPr>
      <t xml:space="preserve">•  Another </t>
    </r>
    <r>
      <rPr>
        <b/>
        <sz val="10"/>
        <color rgb="FF000000"/>
        <rFont val="Arial"/>
        <family val="2"/>
      </rPr>
      <t>18.5%</t>
    </r>
    <r>
      <rPr>
        <sz val="10"/>
        <color rgb="FF000000"/>
        <rFont val="Arial"/>
        <family val="2"/>
      </rPr>
      <t xml:space="preserve"> of loans (37 loans) are in an early-warning zone: these customers have missed a payment but haven't crossed 90 days yet. This is the pool of loans most likely to turn bad next, unless the company acts now.</t>
    </r>
  </si>
  <si>
    <r>
      <rPr>
        <sz val="10"/>
        <color rgb="FF000000"/>
        <rFont val="Arial"/>
        <family val="2"/>
      </rPr>
      <t xml:space="preserve">•  </t>
    </r>
    <r>
      <rPr>
        <b/>
        <sz val="10"/>
        <color rgb="FF000000"/>
        <rFont val="Arial"/>
        <family val="2"/>
      </rPr>
      <t>By branch:</t>
    </r>
    <r>
      <rPr>
        <sz val="10"/>
        <color rgb="FF000000"/>
        <rFont val="Arial"/>
        <family val="2"/>
      </rPr>
      <t xml:space="preserve"> Chennai has the highest bad-loan rate (10.7%), followed by Pune (10.0%) and Bengaluru (9.5%). Bhubaneswar is the healthiest at 4.0%, less than half the rate of the riskiest branch. Mumbai (6.5%) and Kolkata (7.4%) are also below the company average.</t>
    </r>
  </si>
  <si>
    <r>
      <rPr>
        <sz val="10"/>
        <color rgb="FF000000"/>
        <rFont val="Arial"/>
        <family val="2"/>
      </rPr>
      <t xml:space="preserve">•  </t>
    </r>
    <r>
      <rPr>
        <b/>
        <sz val="10"/>
        <color rgb="FF000000"/>
        <rFont val="Arial"/>
        <family val="2"/>
      </rPr>
      <t>By region:</t>
    </r>
    <r>
      <rPr>
        <sz val="10"/>
        <color rgb="FF000000"/>
        <rFont val="Arial"/>
        <family val="2"/>
      </rPr>
      <t xml:space="preserve"> South is the highest at 10.2%, then North (8.3%) and West (7.8%). East is the safest at 5.8%.</t>
    </r>
  </si>
  <si>
    <r>
      <rPr>
        <sz val="10"/>
        <color rgb="FF000000"/>
        <rFont val="Arial"/>
        <family val="2"/>
      </rPr>
      <t xml:space="preserve">•  </t>
    </r>
    <r>
      <rPr>
        <b/>
        <sz val="10"/>
        <color rgb="FF000000"/>
        <rFont val="Arial"/>
        <family val="2"/>
      </rPr>
      <t>By product:</t>
    </r>
    <r>
      <rPr>
        <sz val="10"/>
        <color rgb="FF000000"/>
        <rFont val="Arial"/>
        <family val="2"/>
      </rPr>
      <t xml:space="preserve"> Personal Loans are the riskiest, with 13.6% turning bad, nearly double the overall average. Home Improvement Loans (8.8%) and Business Loans (8.3%) sit close to average, Vehicle Loans are lower at 6.5%, and Gold Loans are the safest at just 2.5%.</t>
    </r>
  </si>
  <si>
    <r>
      <rPr>
        <sz val="10"/>
        <color rgb="FF000000"/>
        <rFont val="Arial"/>
        <family val="2"/>
      </rPr>
      <t xml:space="preserve">•  </t>
    </r>
    <r>
      <rPr>
        <b/>
        <sz val="10"/>
        <color rgb="FF000000"/>
        <rFont val="Arial"/>
        <family val="2"/>
      </rPr>
      <t>By employment type:</t>
    </r>
    <r>
      <rPr>
        <sz val="10"/>
        <color rgb="FF000000"/>
        <rFont val="Arial"/>
        <family val="2"/>
      </rPr>
      <t xml:space="preserve"> Business Owners have the highest default rate (10.3%), followed by Self-Employed customers (8.6%). Salaried customers are the safest by a clear margin (5.4%), at about half the risk of Business Owners.</t>
    </r>
  </si>
  <si>
    <r>
      <rPr>
        <sz val="10"/>
        <color rgb="FF000000"/>
        <rFont val="Arial"/>
        <family val="2"/>
      </rPr>
      <t xml:space="preserve">•  </t>
    </r>
    <r>
      <rPr>
        <b/>
        <sz val="10"/>
        <color rgb="FF000000"/>
        <rFont val="Arial"/>
        <family val="2"/>
      </rPr>
      <t>By age:</t>
    </r>
    <r>
      <rPr>
        <sz val="10"/>
        <color rgb="FF000000"/>
        <rFont val="Arial"/>
        <family val="2"/>
      </rPr>
      <t xml:space="preserve"> Risk peaks in the middle of the age range. Customers aged 30–40 default most (10.9%), followed by 40–50 (9.8%). Customers under 30 sit at 6.1%, and customers 50 and over are by far the safest at 3.9%.</t>
    </r>
  </si>
  <si>
    <t>•  Employment type and age are both meaningful early signals of risk that can be used when screening new applications.</t>
  </si>
  <si>
    <r>
      <rPr>
        <sz val="10"/>
        <color rgb="FF000000"/>
        <rFont val="Arial"/>
        <family val="2"/>
      </rPr>
      <t xml:space="preserve">•  </t>
    </r>
    <r>
      <rPr>
        <b/>
        <sz val="10"/>
        <color rgb="FF000000"/>
        <rFont val="Arial"/>
        <family val="2"/>
      </rPr>
      <t>Kolkata</t>
    </r>
    <r>
      <rPr>
        <sz val="10"/>
        <color rgb="FF000000"/>
        <rFont val="Arial"/>
        <family val="2"/>
      </rPr>
      <t xml:space="preserve"> earns the most interest income (₹5.70 lakh), with </t>
    </r>
    <r>
      <rPr>
        <b/>
        <sz val="10"/>
        <color rgb="FF000000"/>
        <rFont val="Arial"/>
        <family val="2"/>
      </rPr>
      <t>Bhubaneswar</t>
    </r>
    <r>
      <rPr>
        <sz val="10"/>
        <color rgb="FF000000"/>
        <rFont val="Arial"/>
        <family val="2"/>
      </rPr>
      <t xml:space="preserve"> (₹5.60 lakh) and </t>
    </r>
    <r>
      <rPr>
        <b/>
        <sz val="10"/>
        <color rgb="FF000000"/>
        <rFont val="Arial"/>
        <family val="2"/>
      </rPr>
      <t>Mumbai</t>
    </r>
    <r>
      <rPr>
        <sz val="10"/>
        <color rgb="FF000000"/>
        <rFont val="Arial"/>
        <family val="2"/>
      </rPr>
      <t xml:space="preserve"> (₹5.10 lakh) close behind.</t>
    </r>
  </si>
  <si>
    <r>
      <rPr>
        <sz val="10"/>
        <color rgb="FF000000"/>
        <rFont val="Arial"/>
        <family val="2"/>
      </rPr>
      <t xml:space="preserve">•  </t>
    </r>
    <r>
      <rPr>
        <b/>
        <sz val="10"/>
        <color rgb="FF000000"/>
        <rFont val="Arial"/>
        <family val="2"/>
      </rPr>
      <t>Bhubaneswar</t>
    </r>
    <r>
      <rPr>
        <sz val="10"/>
        <color rgb="FF000000"/>
        <rFont val="Arial"/>
        <family val="2"/>
      </rPr>
      <t xml:space="preserve"> pairs near-top income with the lowest bad-loan rate, making it the strongest branch overall.</t>
    </r>
  </si>
  <si>
    <r>
      <rPr>
        <sz val="10"/>
        <color rgb="FF000000"/>
        <rFont val="Arial"/>
        <family val="2"/>
      </rPr>
      <t xml:space="preserve">•  </t>
    </r>
    <r>
      <rPr>
        <b/>
        <sz val="10"/>
        <color rgb="FF000000"/>
        <rFont val="Arial"/>
        <family val="2"/>
      </rPr>
      <t>Chennai</t>
    </r>
    <r>
      <rPr>
        <sz val="10"/>
        <color rgb="FF000000"/>
        <rFont val="Arial"/>
        <family val="2"/>
      </rPr>
      <t xml:space="preserve"> is a double concern: the highest bad-loan rate and the lowest interest income (₹3.65 lakh). </t>
    </r>
    <r>
      <rPr>
        <b/>
        <sz val="10"/>
        <color rgb="FF000000"/>
        <rFont val="Arial"/>
        <family val="2"/>
      </rPr>
      <t>Pune</t>
    </r>
    <r>
      <rPr>
        <sz val="10"/>
        <color rgb="FF000000"/>
        <rFont val="Arial"/>
        <family val="2"/>
      </rPr>
      <t xml:space="preserve"> is similar, with the second-highest bad-loan rate and the second-lowest income.</t>
    </r>
  </si>
  <si>
    <t>•  The 37 overdue loans are fairly evenly spread: Bhubaneswar has the most (6), then Bengaluru, Chennai, Lucknow and Mumbai (5 each), Kolkata and Pune (4 each) and Delhi the fewest (3).</t>
  </si>
  <si>
    <t>•  Bhubaneswar's bad-loan rate is the lowest, yet it has the most overdue accounts. Its good record should not hide the fact that these loans need follow-up.</t>
  </si>
  <si>
    <r>
      <rPr>
        <sz val="10"/>
        <color rgb="FF000000"/>
        <rFont val="Arial"/>
        <family val="2"/>
      </rPr>
      <t xml:space="preserve">•  </t>
    </r>
    <r>
      <rPr>
        <b/>
        <sz val="10"/>
        <color rgb="FF000000"/>
        <rFont val="Arial"/>
        <family val="2"/>
      </rPr>
      <t>Targeted monitoring.</t>
    </r>
    <r>
      <rPr>
        <sz val="10"/>
        <color rgb="FF000000"/>
        <rFont val="Arial"/>
        <family val="2"/>
      </rPr>
      <t xml:space="preserve"> Risk is concentrated in specific branches (Chennai, Pune, Bengaluru), one region (South) and one product (Personal Loans). The company can focus extra scrutiny there without slowing down healthy business elsewhere.</t>
    </r>
  </si>
  <si>
    <r>
      <rPr>
        <sz val="10"/>
        <color rgb="FF000000"/>
        <rFont val="Arial"/>
        <family val="2"/>
      </rPr>
      <t xml:space="preserve">•  </t>
    </r>
    <r>
      <rPr>
        <b/>
        <sz val="10"/>
        <color rgb="FF000000"/>
        <rFont val="Arial"/>
        <family val="2"/>
      </rPr>
      <t>Catching problems earlier.</t>
    </r>
    <r>
      <rPr>
        <sz val="10"/>
        <color rgb="FF000000"/>
        <rFont val="Arial"/>
        <family val="2"/>
      </rPr>
      <t xml:space="preserve"> The 37 loans in the early-warning zone are the most useful group for preventing future losses. A timely phone call or payment plan can still recover many of them before they become bad debt.</t>
    </r>
  </si>
  <si>
    <r>
      <rPr>
        <sz val="10"/>
        <color rgb="FF000000"/>
        <rFont val="Arial"/>
        <family val="2"/>
      </rPr>
      <t xml:space="preserve">•  </t>
    </r>
    <r>
      <rPr>
        <b/>
        <sz val="10"/>
        <color rgb="FF000000"/>
        <rFont val="Arial"/>
        <family val="2"/>
      </rPr>
      <t>Smarter lending decisions.</t>
    </r>
    <r>
      <rPr>
        <sz val="10"/>
        <color rgb="FF000000"/>
        <rFont val="Arial"/>
        <family val="2"/>
      </rPr>
      <t xml:space="preserve"> Business Owners default almost twice as often as Salaried customers, and the 30–50 age group carries the highest risk. Approvals for these groups could require extra documentation or a co-signer, rather than treating every applicant the same way.</t>
    </r>
  </si>
  <si>
    <r>
      <rPr>
        <sz val="10"/>
        <color rgb="FF000000"/>
        <rFont val="Arial"/>
        <family val="2"/>
      </rPr>
      <t xml:space="preserve">•  </t>
    </r>
    <r>
      <rPr>
        <b/>
        <sz val="10"/>
        <color rgb="FF000000"/>
        <rFont val="Arial"/>
        <family val="2"/>
      </rPr>
      <t>Judge branches on profit and recovery, not volume.</t>
    </r>
    <r>
      <rPr>
        <sz val="10"/>
        <color rgb="FF000000"/>
        <rFont val="Arial"/>
        <family val="2"/>
      </rPr>
      <t xml:space="preserve"> Kolkata and Bhubaneswar earn the most interest while Chennai and Pune earn the least, so branch performance should be measured by profitable recovery rather than how much was lent.</t>
    </r>
  </si>
  <si>
    <r>
      <rPr>
        <sz val="10"/>
        <color rgb="FF000000"/>
        <rFont val="Arial"/>
        <family val="2"/>
      </rPr>
      <t xml:space="preserve">•  </t>
    </r>
    <r>
      <rPr>
        <b/>
        <sz val="10"/>
        <color rgb="FF000000"/>
        <rFont val="Arial"/>
        <family val="2"/>
      </rPr>
      <t>Weigh risk against reward deliberately.</t>
    </r>
    <r>
      <rPr>
        <sz val="10"/>
        <color rgb="FF000000"/>
        <rFont val="Arial"/>
        <family val="2"/>
      </rPr>
      <t xml:space="preserve"> Personal Loans carry by far the highest default rate, while Gold Loans are the safest. Leadership should decide consciously how much of each product it wants in the mix, rather than letting it drift.</t>
    </r>
  </si>
  <si>
    <r>
      <rPr>
        <sz val="10"/>
        <color rgb="FF000000"/>
        <rFont val="Arial"/>
        <family val="2"/>
      </rPr>
      <t xml:space="preserve">•  </t>
    </r>
    <r>
      <rPr>
        <b/>
        <sz val="10"/>
        <color rgb="FF000000"/>
        <rFont val="Arial"/>
        <family val="2"/>
      </rPr>
      <t>Use strong branches as benchmarks.</t>
    </r>
    <r>
      <rPr>
        <sz val="10"/>
        <color rgb="FF000000"/>
        <rFont val="Arial"/>
        <family val="2"/>
      </rPr>
      <t xml:space="preserve"> Bhubaneswar (low risk, high income) and Kolkata (highest income) show what good looks like, and their practices can be shared across the network.</t>
    </r>
  </si>
  <si>
    <r>
      <rPr>
        <sz val="10"/>
        <color rgb="FF000000"/>
        <rFont val="Arial"/>
        <family val="2"/>
      </rPr>
      <t xml:space="preserve">•  Launch a focused collections effort on the </t>
    </r>
    <r>
      <rPr>
        <b/>
        <sz val="10"/>
        <color rgb="FF000000"/>
        <rFont val="Arial"/>
        <family val="2"/>
      </rPr>
      <t>37 early-warning loans</t>
    </r>
    <r>
      <rPr>
        <sz val="10"/>
        <color rgb="FF000000"/>
        <rFont val="Arial"/>
        <family val="2"/>
      </rPr>
      <t>, starting with Chennai, Bengaluru and Bhubaneswar, which together hold 16 of them.</t>
    </r>
  </si>
  <si>
    <r>
      <rPr>
        <sz val="10"/>
        <color rgb="FF000000"/>
        <rFont val="Arial"/>
        <family val="2"/>
      </rPr>
      <t xml:space="preserve">•  Review </t>
    </r>
    <r>
      <rPr>
        <b/>
        <sz val="10"/>
        <color rgb="FF000000"/>
        <rFont val="Arial"/>
        <family val="2"/>
      </rPr>
      <t>Personal Loan</t>
    </r>
    <r>
      <rPr>
        <sz val="10"/>
        <color rgb="FF000000"/>
        <rFont val="Arial"/>
        <family val="2"/>
      </rPr>
      <t xml:space="preserve"> approval criteria, particularly for Business Owner applicants and customers aged 30–50, the combination with the highest observed risk.</t>
    </r>
  </si>
  <si>
    <r>
      <rPr>
        <sz val="10"/>
        <color rgb="FF000000"/>
        <rFont val="Arial"/>
        <family val="2"/>
      </rPr>
      <t xml:space="preserve">•  Investigate the </t>
    </r>
    <r>
      <rPr>
        <b/>
        <sz val="10"/>
        <color rgb="FF000000"/>
        <rFont val="Arial"/>
        <family val="2"/>
      </rPr>
      <t>sharp drop in lending in May and June</t>
    </r>
    <r>
      <rPr>
        <sz val="10"/>
        <color rgb="FF000000"/>
        <rFont val="Arial"/>
        <family val="2"/>
      </rPr>
      <t xml:space="preserve"> and confirm whether it was intentional.</t>
    </r>
  </si>
  <si>
    <r>
      <rPr>
        <sz val="10"/>
        <color rgb="FF000000"/>
        <rFont val="Arial"/>
        <family val="2"/>
      </rPr>
      <t xml:space="preserve">•  Study what </t>
    </r>
    <r>
      <rPr>
        <b/>
        <sz val="10"/>
        <color rgb="FF000000"/>
        <rFont val="Arial"/>
        <family val="2"/>
      </rPr>
      <t>Bhubaneswar</t>
    </r>
    <r>
      <rPr>
        <sz val="10"/>
        <color rgb="FF000000"/>
        <rFont val="Arial"/>
        <family val="2"/>
      </rPr>
      <t xml:space="preserve"> and </t>
    </r>
    <r>
      <rPr>
        <b/>
        <sz val="10"/>
        <color rgb="FF000000"/>
        <rFont val="Arial"/>
        <family val="2"/>
      </rPr>
      <t>Kolkata</t>
    </r>
    <r>
      <rPr>
        <sz val="10"/>
        <color rgb="FF000000"/>
        <rFont val="Arial"/>
        <family val="2"/>
      </rPr>
      <t xml:space="preserve"> are doing differently and use them as internal benchmarks; run a risk review at </t>
    </r>
    <r>
      <rPr>
        <b/>
        <sz val="10"/>
        <color rgb="FF000000"/>
        <rFont val="Arial"/>
        <family val="2"/>
      </rPr>
      <t>Chennai</t>
    </r>
    <r>
      <rPr>
        <sz val="10"/>
        <color rgb="FF000000"/>
        <rFont val="Arial"/>
        <family val="2"/>
      </rPr>
      <t xml:space="preserve"> and </t>
    </r>
    <r>
      <rPr>
        <b/>
        <sz val="10"/>
        <color rgb="FF000000"/>
        <rFont val="Arial"/>
        <family val="2"/>
      </rPr>
      <t>Pune</t>
    </r>
    <r>
      <rPr>
        <sz val="10"/>
        <color rgb="FF000000"/>
        <rFont val="Arial"/>
        <family val="2"/>
      </rPr>
      <t>.</t>
    </r>
  </si>
  <si>
    <t>•  Shift branch performance reviews from "how much was lent" to "how much was profitably recovered."</t>
  </si>
  <si>
    <t>•  With only 200 loans across 8 branches, each branch holds roughly 25 loans, so one or two loans can move a branch's bad-loan rate by several percentage points. Treat branch rankings as pointers for investigation rather than final verdicts.</t>
  </si>
  <si>
    <t>•  The 8% and 18.5% figures are shares of the number of loans, not of the rupee value outstanding.</t>
  </si>
  <si>
    <t>•  All figures come from the Suvidha Finance NBFC Loan Portfolio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</si>
</sst>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4" formatCode="_ &quot;₹&quot;\ * #,##0.00_ ;_ &quot;₹&quot;\ * \-#,##0.00_ ;_ &quot;₹&quot;\ * &quot;-&quot;??_ ;_ @_ "/>
    <numFmt numFmtId="164" formatCode="dd\-mmm\-yyyy"/>
    <numFmt numFmtId="165" formatCode="0.0"/>
    <numFmt numFmtId="166" formatCode="0.0%"/>
    <numFmt numFmtId="167" formatCode="[&gt;=10000000]##\,##\,##\,##0;[&gt;=100000]##\,##\,##0;##,##0"/>
  </numFmts>
  <fonts count="18" x14ac:knownFonts="1">
    <font>
      <sz val="11"/>
      <color theme="1"/>
      <name val="Calibri"/>
      <family val="2"/>
      <scheme val="minor"/>
    </font>
    <font>
      <b/>
      <sz val="10"/>
      <color rgb="FFFFFFFF"/>
      <name val="Arial"/>
      <family val="2"/>
    </font>
    <font>
      <sz val="10"/>
      <name val="Arial"/>
      <family val="2"/>
    </font>
    <font>
      <b/>
      <sz val="10"/>
      <name val="Arial"/>
      <family val="2"/>
    </font>
    <font>
      <b/>
      <sz val="16"/>
      <color rgb="FFFFFFFF"/>
      <name val="Arial"/>
      <family val="2"/>
    </font>
    <font>
      <b/>
      <sz val="12"/>
      <color rgb="FFFFFFFF"/>
      <name val="Arial"/>
      <family val="2"/>
    </font>
    <font>
      <i/>
      <sz val="9"/>
      <color rgb="FF1F7A54"/>
      <name val="Arial"/>
      <family val="2"/>
    </font>
    <font>
      <sz val="11"/>
      <color theme="1"/>
      <name val="Calibri"/>
      <family val="2"/>
      <scheme val="minor"/>
    </font>
    <font>
      <b/>
      <sz val="11"/>
      <color theme="1"/>
      <name val="Calibri"/>
      <family val="2"/>
      <scheme val="minor"/>
    </font>
    <font>
      <sz val="11"/>
      <color rgb="FFFF0000"/>
      <name val="Calibri"/>
      <family val="2"/>
      <scheme val="minor"/>
    </font>
    <font>
      <sz val="10"/>
      <color theme="1"/>
      <name val="Calibri"/>
      <family val="2"/>
      <scheme val="minor"/>
    </font>
    <font>
      <sz val="11"/>
      <color theme="1"/>
      <name val="Calibri"/>
      <family val="2"/>
      <charset val="1"/>
    </font>
    <font>
      <b/>
      <sz val="18"/>
      <color rgb="FF1F3864"/>
      <name val="Arial"/>
      <family val="2"/>
    </font>
    <font>
      <b/>
      <sz val="10"/>
      <color rgb="FF000000"/>
      <name val="Arial"/>
      <family val="2"/>
    </font>
    <font>
      <sz val="10"/>
      <color rgb="FF000000"/>
      <name val="Arial"/>
      <family val="2"/>
    </font>
    <font>
      <b/>
      <sz val="13"/>
      <color rgb="FF1F3864"/>
      <name val="Arial"/>
      <family val="2"/>
    </font>
    <font>
      <b/>
      <sz val="11"/>
      <color rgb="FF1F3864"/>
      <name val="Arial"/>
      <family val="2"/>
    </font>
    <font>
      <b/>
      <sz val="14"/>
      <color rgb="FF1F3864"/>
      <name val="Arial"/>
      <family val="2"/>
    </font>
  </fonts>
  <fills count="14">
    <fill>
      <patternFill patternType="none"/>
    </fill>
    <fill>
      <patternFill patternType="gray125"/>
    </fill>
    <fill>
      <patternFill patternType="solid">
        <fgColor rgb="FF2E9E6B"/>
        <bgColor rgb="FF1F7A54"/>
      </patternFill>
    </fill>
    <fill>
      <patternFill patternType="solid">
        <fgColor rgb="FFDCEFE4"/>
        <bgColor rgb="FFCCFFFF"/>
      </patternFill>
    </fill>
    <fill>
      <patternFill patternType="solid">
        <fgColor rgb="FF0B3D2E"/>
        <bgColor rgb="FF003366"/>
      </patternFill>
    </fill>
    <fill>
      <patternFill patternType="solid">
        <fgColor rgb="FF1F7A54"/>
        <bgColor rgb="FF008080"/>
      </patternFill>
    </fill>
    <fill>
      <patternFill patternType="solid">
        <fgColor rgb="FFFFF2CC"/>
        <bgColor rgb="FFFFFFFF"/>
      </patternFill>
    </fill>
    <fill>
      <patternFill patternType="solid">
        <fgColor rgb="FFFFFF00"/>
        <bgColor indexed="64"/>
      </patternFill>
    </fill>
    <fill>
      <patternFill patternType="solid">
        <fgColor rgb="FF00B050"/>
        <bgColor indexed="64"/>
      </patternFill>
    </fill>
    <fill>
      <patternFill patternType="solid">
        <fgColor rgb="FFFF0000"/>
        <bgColor indexed="64"/>
      </patternFill>
    </fill>
    <fill>
      <patternFill patternType="solid">
        <fgColor rgb="FF333399"/>
        <bgColor indexed="64"/>
      </patternFill>
    </fill>
    <fill>
      <patternFill patternType="solid">
        <fgColor theme="4" tint="-0.499984740745262"/>
        <bgColor indexed="64"/>
      </patternFill>
    </fill>
    <fill>
      <patternFill patternType="solid">
        <fgColor rgb="FF1F3864"/>
        <bgColor rgb="FF333333"/>
      </patternFill>
    </fill>
    <fill>
      <patternFill patternType="solid">
        <fgColor rgb="FFF2F2F2"/>
        <bgColor rgb="FFFFFFFF"/>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
      <left style="thin">
        <color indexed="64"/>
      </left>
      <right style="thin">
        <color indexed="64"/>
      </right>
      <top style="thin">
        <color indexed="64"/>
      </top>
      <bottom style="thin">
        <color indexed="64"/>
      </bottom>
      <diagonal/>
    </border>
    <border>
      <left/>
      <right/>
      <top/>
      <bottom style="medium">
        <color rgb="FF1F3864"/>
      </bottom>
      <diagonal/>
    </border>
    <border>
      <left style="thin">
        <color rgb="FFA6A6A6"/>
      </left>
      <right style="thin">
        <color rgb="FFA6A6A6"/>
      </right>
      <top style="thin">
        <color rgb="FFA6A6A6"/>
      </top>
      <bottom style="thin">
        <color rgb="FFA6A6A6"/>
      </bottom>
      <diagonal/>
    </border>
  </borders>
  <cellStyleXfs count="4">
    <xf numFmtId="0" fontId="0" fillId="0" borderId="0"/>
    <xf numFmtId="9" fontId="7" fillId="0" borderId="0" applyFont="0" applyFill="0" applyBorder="0" applyAlignment="0" applyProtection="0"/>
    <xf numFmtId="44" fontId="7" fillId="0" borderId="0" applyFont="0" applyFill="0" applyBorder="0" applyAlignment="0" applyProtection="0"/>
    <xf numFmtId="0" fontId="11" fillId="0" borderId="0"/>
  </cellStyleXfs>
  <cellXfs count="90">
    <xf numFmtId="0" fontId="0" fillId="0" borderId="0" xfId="0"/>
    <xf numFmtId="0" fontId="1" fillId="2" borderId="1" xfId="0" applyFont="1" applyFill="1" applyBorder="1" applyAlignment="1">
      <alignment vertical="center" wrapText="1"/>
    </xf>
    <xf numFmtId="0" fontId="2" fillId="3" borderId="1" xfId="0" applyFont="1" applyFill="1" applyBorder="1"/>
    <xf numFmtId="164" fontId="2" fillId="3" borderId="1" xfId="0" applyNumberFormat="1" applyFont="1" applyFill="1" applyBorder="1"/>
    <xf numFmtId="3" fontId="2" fillId="3" borderId="1" xfId="0" applyNumberFormat="1" applyFont="1" applyFill="1" applyBorder="1"/>
    <xf numFmtId="165" fontId="2" fillId="3" borderId="1" xfId="0" applyNumberFormat="1" applyFont="1" applyFill="1" applyBorder="1"/>
    <xf numFmtId="0" fontId="2" fillId="0" borderId="1" xfId="0" applyFont="1" applyBorder="1"/>
    <xf numFmtId="164" fontId="2" fillId="0" borderId="1" xfId="0" applyNumberFormat="1" applyFont="1" applyBorder="1"/>
    <xf numFmtId="3" fontId="2" fillId="0" borderId="1" xfId="0" applyNumberFormat="1" applyFont="1" applyBorder="1"/>
    <xf numFmtId="165" fontId="2" fillId="0" borderId="1" xfId="0" applyNumberFormat="1" applyFont="1" applyBorder="1"/>
    <xf numFmtId="0" fontId="1" fillId="2" borderId="1" xfId="0" applyFont="1" applyFill="1" applyBorder="1" applyAlignment="1">
      <alignment vertical="center"/>
    </xf>
    <xf numFmtId="0" fontId="3" fillId="3" borderId="1" xfId="0" applyFont="1" applyFill="1" applyBorder="1"/>
    <xf numFmtId="0" fontId="2" fillId="3" borderId="1" xfId="0" applyFont="1" applyFill="1" applyBorder="1" applyAlignment="1">
      <alignment vertical="top" wrapText="1"/>
    </xf>
    <xf numFmtId="0" fontId="3" fillId="0" borderId="1" xfId="0" applyFont="1" applyBorder="1"/>
    <xf numFmtId="0" fontId="2" fillId="0" borderId="1" xfId="0" applyFont="1" applyBorder="1" applyAlignment="1">
      <alignment vertical="top" wrapText="1"/>
    </xf>
    <xf numFmtId="0" fontId="3" fillId="0" borderId="1" xfId="0" applyFont="1" applyBorder="1" applyAlignment="1">
      <alignment vertical="center" wrapText="1"/>
    </xf>
    <xf numFmtId="0" fontId="6" fillId="0" borderId="1" xfId="0" applyFont="1" applyBorder="1" applyAlignment="1">
      <alignment vertical="top" wrapText="1"/>
    </xf>
    <xf numFmtId="0" fontId="0" fillId="6" borderId="1" xfId="0" applyFill="1" applyBorder="1"/>
    <xf numFmtId="0" fontId="0" fillId="0" borderId="0" xfId="0" applyAlignment="1">
      <alignment horizontal="center"/>
    </xf>
    <xf numFmtId="10" fontId="0" fillId="0" borderId="0" xfId="0" applyNumberFormat="1"/>
    <xf numFmtId="0" fontId="0" fillId="0" borderId="0" xfId="0" applyAlignment="1">
      <alignment horizontal="center" vertical="center" wrapText="1"/>
    </xf>
    <xf numFmtId="0" fontId="0" fillId="6" borderId="1" xfId="0" applyFill="1" applyBorder="1" applyAlignment="1">
      <alignment horizontal="center" vertical="center" wrapText="1"/>
    </xf>
    <xf numFmtId="9" fontId="0" fillId="0" borderId="0" xfId="1" applyFont="1"/>
    <xf numFmtId="0" fontId="0" fillId="0" borderId="0" xfId="0" pivotButton="1" applyAlignment="1">
      <alignment horizontal="center" vertical="center"/>
    </xf>
    <xf numFmtId="0" fontId="0" fillId="0" borderId="0" xfId="0" applyAlignment="1">
      <alignment horizontal="center" vertical="center"/>
    </xf>
    <xf numFmtId="10" fontId="0" fillId="0" borderId="0" xfId="0" applyNumberFormat="1" applyAlignment="1">
      <alignment horizontal="center" vertical="center"/>
    </xf>
    <xf numFmtId="10" fontId="0" fillId="9" borderId="0" xfId="0" applyNumberFormat="1" applyFill="1" applyAlignment="1">
      <alignment horizontal="center" vertical="center"/>
    </xf>
    <xf numFmtId="0" fontId="8" fillId="6" borderId="1" xfId="0" applyFont="1" applyFill="1" applyBorder="1" applyAlignment="1">
      <alignment horizontal="center" vertical="center" wrapText="1"/>
    </xf>
    <xf numFmtId="0" fontId="0" fillId="0" borderId="3" xfId="0" applyBorder="1" applyAlignment="1">
      <alignment horizontal="center" vertical="center"/>
    </xf>
    <xf numFmtId="10" fontId="0" fillId="0" borderId="3" xfId="0" applyNumberFormat="1" applyBorder="1" applyAlignment="1">
      <alignment horizontal="center" vertical="center"/>
    </xf>
    <xf numFmtId="3" fontId="0" fillId="0" borderId="0" xfId="0" applyNumberFormat="1" applyAlignment="1">
      <alignment horizontal="center" vertical="center"/>
    </xf>
    <xf numFmtId="3" fontId="0" fillId="8" borderId="0" xfId="0" applyNumberFormat="1" applyFill="1" applyAlignment="1">
      <alignment horizontal="center" vertical="center"/>
    </xf>
    <xf numFmtId="2" fontId="0" fillId="0" borderId="0" xfId="0" applyNumberFormat="1" applyAlignment="1">
      <alignment horizontal="center" vertical="center"/>
    </xf>
    <xf numFmtId="166" fontId="0" fillId="0" borderId="0" xfId="0" applyNumberFormat="1" applyAlignment="1">
      <alignment horizontal="center" vertical="center"/>
    </xf>
    <xf numFmtId="2" fontId="0" fillId="8" borderId="0" xfId="0" applyNumberFormat="1" applyFill="1" applyAlignment="1">
      <alignment horizontal="center" vertical="center"/>
    </xf>
    <xf numFmtId="166" fontId="0" fillId="8" borderId="0" xfId="0" applyNumberFormat="1" applyFill="1" applyAlignment="1">
      <alignment horizontal="center" vertical="center"/>
    </xf>
    <xf numFmtId="0" fontId="0" fillId="6" borderId="1" xfId="0" applyFill="1" applyBorder="1" applyAlignment="1">
      <alignment wrapText="1"/>
    </xf>
    <xf numFmtId="14" fontId="0" fillId="0" borderId="0" xfId="0" applyNumberFormat="1"/>
    <xf numFmtId="0" fontId="8" fillId="0" borderId="0" xfId="0" applyFont="1"/>
    <xf numFmtId="2" fontId="0" fillId="9" borderId="0" xfId="0" applyNumberFormat="1"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0" fillId="0" borderId="0" xfId="0" pivotButton="1" applyAlignment="1">
      <alignment horizontal="center"/>
    </xf>
    <xf numFmtId="166" fontId="0" fillId="0" borderId="0" xfId="1" applyNumberFormat="1" applyFont="1"/>
    <xf numFmtId="10" fontId="0" fillId="0" borderId="0" xfId="0" applyNumberFormat="1" applyAlignment="1">
      <alignment horizontal="center"/>
    </xf>
    <xf numFmtId="0" fontId="0" fillId="0" borderId="0" xfId="0" pivotButton="1"/>
    <xf numFmtId="0" fontId="0" fillId="0" borderId="0" xfId="0" applyAlignment="1">
      <alignment horizontal="left"/>
    </xf>
    <xf numFmtId="3" fontId="0" fillId="0" borderId="0" xfId="0" applyNumberFormat="1"/>
    <xf numFmtId="3" fontId="0" fillId="0" borderId="0" xfId="0" applyNumberFormat="1" applyAlignment="1">
      <alignment horizontal="center"/>
    </xf>
    <xf numFmtId="9" fontId="0" fillId="0" borderId="0" xfId="0" applyNumberFormat="1" applyAlignment="1">
      <alignment horizontal="center"/>
    </xf>
    <xf numFmtId="1" fontId="0" fillId="0" borderId="0" xfId="0" applyNumberFormat="1" applyAlignment="1">
      <alignment horizontal="center"/>
    </xf>
    <xf numFmtId="0" fontId="9" fillId="0" borderId="0" xfId="0" applyFont="1"/>
    <xf numFmtId="0" fontId="0" fillId="9" borderId="0" xfId="0" applyFill="1"/>
    <xf numFmtId="0" fontId="9" fillId="9" borderId="0" xfId="0" applyFont="1" applyFill="1"/>
    <xf numFmtId="44" fontId="9" fillId="9" borderId="0" xfId="2" applyFont="1" applyFill="1"/>
    <xf numFmtId="166" fontId="9" fillId="9" borderId="0" xfId="1" applyNumberFormat="1" applyFont="1" applyFill="1"/>
    <xf numFmtId="9" fontId="9" fillId="9" borderId="0" xfId="1" applyFont="1" applyFill="1"/>
    <xf numFmtId="0" fontId="9" fillId="9" borderId="0" xfId="0" applyFont="1" applyFill="1" applyAlignment="1">
      <alignment vertical="center"/>
    </xf>
    <xf numFmtId="0" fontId="9" fillId="9" borderId="0" xfId="0" applyFont="1" applyFill="1" applyAlignment="1">
      <alignment horizontal="center"/>
    </xf>
    <xf numFmtId="0" fontId="0" fillId="10" borderId="0" xfId="0" applyFill="1"/>
    <xf numFmtId="0" fontId="0" fillId="11" borderId="0" xfId="0" applyFill="1"/>
    <xf numFmtId="9" fontId="0" fillId="10" borderId="0" xfId="1" applyFont="1" applyFill="1"/>
    <xf numFmtId="166" fontId="0" fillId="10" borderId="0" xfId="1" applyNumberFormat="1" applyFont="1" applyFill="1"/>
    <xf numFmtId="0" fontId="10" fillId="10" borderId="0" xfId="0" applyFont="1" applyFill="1"/>
    <xf numFmtId="10" fontId="0" fillId="8" borderId="0" xfId="0" applyNumberFormat="1" applyFill="1" applyAlignment="1">
      <alignment horizontal="center" vertical="center"/>
    </xf>
    <xf numFmtId="0" fontId="11" fillId="0" borderId="0" xfId="3"/>
    <xf numFmtId="0" fontId="1" fillId="12" borderId="5" xfId="3" applyFont="1" applyFill="1" applyBorder="1" applyAlignment="1">
      <alignment horizontal="center" vertical="center" wrapText="1"/>
    </xf>
    <xf numFmtId="0" fontId="2" fillId="0" borderId="5" xfId="3" applyFont="1" applyBorder="1" applyAlignment="1">
      <alignment horizontal="left" vertical="center" wrapText="1"/>
    </xf>
    <xf numFmtId="167" fontId="2" fillId="0" borderId="5" xfId="3" applyNumberFormat="1" applyFont="1" applyBorder="1" applyAlignment="1">
      <alignment horizontal="right" vertical="center" wrapText="1"/>
    </xf>
    <xf numFmtId="166" fontId="2" fillId="0" borderId="5" xfId="3" applyNumberFormat="1" applyFont="1" applyBorder="1" applyAlignment="1">
      <alignment horizontal="right" vertical="center" wrapText="1"/>
    </xf>
    <xf numFmtId="0" fontId="3" fillId="13" borderId="5" xfId="3" applyFont="1" applyFill="1" applyBorder="1" applyAlignment="1">
      <alignment horizontal="left" vertical="center" wrapText="1"/>
    </xf>
    <xf numFmtId="167" fontId="3" fillId="13" borderId="5" xfId="3" applyNumberFormat="1" applyFont="1" applyFill="1" applyBorder="1" applyAlignment="1">
      <alignment horizontal="right" vertical="center" wrapText="1"/>
    </xf>
    <xf numFmtId="166" fontId="3" fillId="13" borderId="5" xfId="3" applyNumberFormat="1" applyFont="1" applyFill="1" applyBorder="1" applyAlignment="1">
      <alignment horizontal="right" vertical="center" wrapText="1"/>
    </xf>
    <xf numFmtId="1" fontId="2" fillId="0" borderId="5" xfId="3" applyNumberFormat="1" applyFont="1" applyBorder="1" applyAlignment="1">
      <alignment horizontal="right" vertical="center" wrapText="1"/>
    </xf>
    <xf numFmtId="0" fontId="0" fillId="0" borderId="0" xfId="0" applyAlignment="1">
      <alignment horizontal="center"/>
    </xf>
    <xf numFmtId="0" fontId="0" fillId="7" borderId="0" xfId="0" applyFill="1" applyAlignment="1">
      <alignment horizontal="center" vertical="center"/>
    </xf>
    <xf numFmtId="0" fontId="0" fillId="7" borderId="0" xfId="0" applyFill="1" applyAlignment="1">
      <alignment horizontal="center"/>
    </xf>
    <xf numFmtId="0" fontId="2" fillId="7" borderId="2" xfId="0" applyFont="1" applyFill="1" applyBorder="1" applyAlignment="1">
      <alignment horizontal="center" vertical="top" wrapText="1"/>
    </xf>
    <xf numFmtId="0" fontId="2" fillId="7" borderId="0" xfId="0" applyFont="1" applyFill="1" applyAlignment="1">
      <alignment horizontal="center" vertical="top" wrapText="1"/>
    </xf>
    <xf numFmtId="0" fontId="0" fillId="7" borderId="0" xfId="0" applyFill="1" applyAlignment="1">
      <alignment horizontal="center" wrapText="1"/>
    </xf>
    <xf numFmtId="0" fontId="5" fillId="5" borderId="0" xfId="0" applyFont="1" applyFill="1" applyAlignment="1">
      <alignment vertical="center" indent="1"/>
    </xf>
    <xf numFmtId="0" fontId="4" fillId="4" borderId="0" xfId="0" applyFont="1" applyFill="1" applyAlignment="1">
      <alignment vertical="center" indent="1"/>
    </xf>
    <xf numFmtId="0" fontId="12" fillId="0" borderId="0" xfId="3" applyFont="1" applyAlignment="1">
      <alignment horizontal="center" vertical="top" wrapText="1"/>
    </xf>
    <xf numFmtId="0" fontId="13" fillId="0" borderId="0" xfId="3" applyFont="1" applyAlignment="1">
      <alignment vertical="top" wrapText="1"/>
    </xf>
    <xf numFmtId="0" fontId="17" fillId="0" borderId="4" xfId="3" applyFont="1" applyBorder="1" applyAlignment="1">
      <alignment vertical="top" wrapText="1"/>
    </xf>
    <xf numFmtId="0" fontId="14" fillId="0" borderId="0" xfId="3" applyFont="1" applyAlignment="1">
      <alignment vertical="top" wrapText="1"/>
    </xf>
    <xf numFmtId="0" fontId="15" fillId="0" borderId="4" xfId="3" applyFont="1" applyBorder="1" applyAlignment="1">
      <alignment vertical="top" wrapText="1"/>
    </xf>
    <xf numFmtId="0" fontId="16" fillId="0" borderId="0" xfId="3" applyFont="1" applyAlignment="1">
      <alignment vertical="top" wrapText="1"/>
    </xf>
    <xf numFmtId="0" fontId="14" fillId="0" borderId="0" xfId="3" applyFont="1" applyAlignment="1">
      <alignment vertical="top" wrapText="1" indent="1"/>
    </xf>
    <xf numFmtId="0" fontId="0" fillId="0" borderId="0" xfId="0" applyNumberFormat="1"/>
  </cellXfs>
  <cellStyles count="4">
    <cellStyle name="Currency" xfId="2" builtinId="4"/>
    <cellStyle name="Normal" xfId="0" builtinId="0"/>
    <cellStyle name="Normal 2" xfId="3" xr:uid="{4CC1A693-1225-4E3E-802B-EA75AA3A283E}"/>
    <cellStyle name="Percent" xfId="1" builtinId="5"/>
  </cellStyles>
  <dxfs count="407">
    <dxf>
      <numFmt numFmtId="19" formatCode="dd/mm/yyyy"/>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vertical="center"/>
    </dxf>
    <dxf>
      <alignment horizontal="center" indent="0"/>
    </dxf>
    <dxf>
      <alignment horizontal="center" indent="0"/>
    </dxf>
    <dxf>
      <alignment horizontal="center" indent="0"/>
    </dxf>
    <dxf>
      <alignment horizontal="center"/>
    </dxf>
    <dxf>
      <alignment horizontal="center"/>
    </dxf>
    <dxf>
      <alignment horizontal="center"/>
    </dxf>
    <dxf>
      <alignment horizontal="center"/>
    </dxf>
    <dxf>
      <numFmt numFmtId="13" formatCode="0%"/>
    </dxf>
    <dxf>
      <numFmt numFmtId="13" formatCode="0%"/>
    </dxf>
    <dxf>
      <numFmt numFmtId="14" formatCode="0.00%"/>
    </dxf>
    <dxf>
      <numFmt numFmtId="14" formatCode="0.00%"/>
    </dxf>
    <dxf>
      <numFmt numFmtId="13" formatCode="0%"/>
    </dxf>
    <dxf>
      <numFmt numFmtId="1" formatCode="0"/>
    </dxf>
    <dxf>
      <alignment horizontal="center" indent="0"/>
    </dxf>
    <dxf>
      <alignment horizontal="center" indent="0"/>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horizontal="center"/>
    </dxf>
    <dxf>
      <numFmt numFmtId="14" formatCode="0.00%"/>
    </dxf>
    <dxf>
      <alignment horizontal="center"/>
    </dxf>
    <dxf>
      <numFmt numFmtId="14" formatCode="0.00%"/>
    </dxf>
    <dxf>
      <alignment vertical="center"/>
    </dxf>
    <dxf>
      <alignment vertical="center"/>
    </dxf>
    <dxf>
      <alignment horizontal="center" indent="0"/>
    </dxf>
    <dxf>
      <alignment horizontal="center" indent="0"/>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horizontal="center"/>
    </dxf>
    <dxf>
      <numFmt numFmtId="14" formatCode="0.00%"/>
    </dxf>
    <dxf>
      <alignment horizontal="center"/>
    </dxf>
    <dxf>
      <numFmt numFmtId="14" formatCode="0.00%"/>
    </dxf>
    <dxf>
      <alignment horizontal="center" indent="0"/>
    </dxf>
    <dxf>
      <alignment horizontal="center" indent="0"/>
    </dxf>
    <dxf>
      <alignment horizontal="center"/>
    </dxf>
    <dxf>
      <alignment horizontal="center"/>
    </dxf>
    <dxf>
      <alignment horizontal="center"/>
    </dxf>
    <dxf>
      <alignment vertical="center"/>
    </dxf>
    <dxf>
      <alignment vertic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font>
        <color theme="1"/>
      </font>
    </dxf>
    <dxf>
      <fill>
        <patternFill patternType="solid">
          <bgColor rgb="FF00B050"/>
        </patternFill>
      </fill>
    </dxf>
    <dxf>
      <font>
        <color theme="0"/>
      </font>
    </dxf>
    <dxf>
      <numFmt numFmtId="14" formatCode="0.00%"/>
    </dxf>
    <dxf>
      <alignment vertical="center"/>
    </dxf>
    <dxf>
      <alignment vertical="center"/>
    </dxf>
    <dxf>
      <alignment horizontal="center"/>
    </dxf>
    <dxf>
      <alignment horizontal="center"/>
    </dxf>
    <dxf>
      <alignment horizontal="center"/>
    </dxf>
    <dxf>
      <alignment vertical="center"/>
    </dxf>
    <dxf>
      <alignment vertical="center"/>
    </dxf>
    <dxf>
      <alignment horizontal="center" indent="0"/>
    </dxf>
    <dxf>
      <alignment horizontal="center" indent="0"/>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vertical="center"/>
    </dxf>
    <dxf>
      <alignment horizontal="center" indent="0"/>
    </dxf>
    <dxf>
      <alignment horizontal="center" indent="0"/>
    </dxf>
    <dxf>
      <alignment horizontal="center" indent="0"/>
    </dxf>
    <dxf>
      <fill>
        <patternFill patternType="solid">
          <bgColor rgb="FF00B050"/>
        </patternFill>
      </fill>
    </dxf>
    <dxf>
      <numFmt numFmtId="166" formatCode="0.0%"/>
    </dxf>
    <dxf>
      <numFmt numFmtId="2" formatCode="0.00"/>
    </dxf>
    <dxf>
      <alignment wrapText="0"/>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fill>
        <patternFill patternType="solid">
          <bgColor rgb="FFFF0000"/>
        </patternFill>
      </fill>
    </dxf>
    <dxf>
      <fill>
        <patternFill patternType="solid">
          <bgColor rgb="FFFF0000"/>
        </patternFill>
      </fill>
    </dxf>
    <dxf>
      <numFmt numFmtId="2" formatCode="0.00"/>
    </dxf>
    <dxf>
      <alignment wrapText="0"/>
    </dxf>
    <dxf>
      <alignment vertical="center"/>
    </dxf>
    <dxf>
      <alignment horizontal="center"/>
    </dxf>
    <dxf>
      <alignment horizontal="center"/>
    </dxf>
    <dxf>
      <alignment vertical="center"/>
    </dxf>
    <dxf>
      <alignment vertical="center"/>
    </dxf>
    <dxf>
      <alignment horizontal="center" indent="0"/>
    </dxf>
    <dxf>
      <alignment horizontal="center" indent="0"/>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vertical="center"/>
    </dxf>
    <dxf>
      <alignment horizontal="center" indent="0"/>
    </dxf>
    <dxf>
      <alignment horizontal="center" indent="0"/>
    </dxf>
    <dxf>
      <alignment horizontal="center" indent="0"/>
    </dxf>
    <dxf>
      <numFmt numFmtId="2" formatCode="0.00"/>
    </dxf>
    <dxf>
      <alignment wrapText="0"/>
    </dxf>
    <dxf>
      <alignment vertical="center"/>
    </dxf>
    <dxf>
      <alignment vertical="center"/>
    </dxf>
    <dxf>
      <alignment horizontal="center"/>
    </dxf>
    <dxf>
      <alignment horizontal="center"/>
    </dxf>
    <dxf>
      <alignment horizontal="center"/>
    </dxf>
    <dxf>
      <alignment horizontal="center" indent="0"/>
    </dxf>
    <dxf>
      <alignment horizontal="center" indent="0"/>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numFmt numFmtId="14" formatCode="0.00%"/>
    </dxf>
    <dxf>
      <alignment wrapText="0"/>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indent="0"/>
    </dxf>
    <dxf>
      <alignment horizontal="center" indent="0"/>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fill>
        <patternFill patternType="solid">
          <bgColor rgb="FFFF0000"/>
        </patternFill>
      </fill>
    </dxf>
    <dxf>
      <numFmt numFmtId="14" formatCode="0.00%"/>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alignment wrapText="0"/>
    </dxf>
    <dxf>
      <numFmt numFmtId="14" formatCode="0.00%"/>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vertical="center"/>
    </dxf>
    <dxf>
      <alignment horizontal="center" indent="0"/>
    </dxf>
    <dxf>
      <alignment horizontal="center" indent="0"/>
    </dxf>
    <dxf>
      <alignment horizontal="center" indent="0"/>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alignment horizontal="center" indent="0"/>
    </dxf>
    <dxf>
      <fill>
        <patternFill patternType="solid">
          <bgColor rgb="FFFF0000"/>
        </patternFill>
      </fill>
    </dxf>
    <dxf>
      <numFmt numFmtId="14" formatCode="0.00%"/>
    </dxf>
    <dxf>
      <alignment wrapText="0"/>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vertical="center"/>
    </dxf>
    <dxf>
      <alignment horizontal="center" indent="0"/>
    </dxf>
    <dxf>
      <alignment horizontal="center" indent="0"/>
    </dxf>
    <dxf>
      <alignment horizontal="center" indent="0"/>
    </dxf>
    <dxf>
      <fill>
        <patternFill patternType="solid">
          <bgColor rgb="FF00B050"/>
        </patternFill>
      </fill>
    </dxf>
    <dxf>
      <alignment wrapText="0"/>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vertical="center"/>
    </dxf>
    <dxf>
      <alignment horizontal="center" indent="0"/>
    </dxf>
    <dxf>
      <alignment horizontal="center" indent="0"/>
    </dxf>
    <dxf>
      <alignment horizontal="center" indent="0"/>
    </dxf>
    <dxf>
      <numFmt numFmtId="2" formatCode="0.00"/>
    </dxf>
    <dxf>
      <alignment wrapText="0"/>
    </dxf>
    <dxf>
      <alignment vertical="center"/>
    </dxf>
    <dxf>
      <alignment vertical="center"/>
    </dxf>
    <dxf>
      <alignment vertical="center"/>
    </dxf>
    <dxf>
      <alignment horizontal="center"/>
    </dxf>
    <dxf>
      <alignment horizontal="center"/>
    </dxf>
    <dxf>
      <alignment horizontal="center"/>
    </dxf>
    <dxf>
      <alignment horizontal="center"/>
    </dxf>
    <dxf>
      <alignment horizontal="center" indent="0"/>
    </dxf>
    <dxf>
      <alignment horizontal="center" indent="0"/>
    </dxf>
    <dxf>
      <alignment horizontal="center"/>
    </dxf>
    <dxf>
      <alignment horizontal="center"/>
    </dxf>
    <dxf>
      <font>
        <b/>
        <i val="0"/>
        <color theme="0"/>
      </font>
      <border>
        <bottom style="thin">
          <color theme="4"/>
        </bottom>
        <vertical/>
        <horizontal/>
      </border>
    </dxf>
    <dxf>
      <font>
        <sz val="36"/>
        <color theme="1"/>
      </font>
      <fill>
        <patternFill>
          <bgColor rgb="FFC00000"/>
        </patternFill>
      </fill>
      <border>
        <left style="thin">
          <color theme="4"/>
        </left>
        <right style="thin">
          <color theme="4"/>
        </right>
        <top style="thin">
          <color theme="4"/>
        </top>
        <bottom style="thin">
          <color theme="4"/>
        </bottom>
        <vertical/>
        <horizontal/>
      </border>
    </dxf>
    <dxf>
      <font>
        <sz val="92"/>
        <color theme="1"/>
      </font>
      <fill>
        <patternFill>
          <bgColor theme="8" tint="-0.24994659260841701"/>
        </patternFill>
      </fill>
      <border>
        <left style="medium">
          <color theme="4"/>
        </left>
        <right style="medium">
          <color theme="4"/>
        </right>
        <top style="medium">
          <color theme="4"/>
        </top>
        <bottom style="medium">
          <color theme="4"/>
        </bottom>
        <vertical/>
        <horizontal/>
      </border>
    </dxf>
    <dxf>
      <font>
        <b/>
        <i val="0"/>
        <sz val="28"/>
        <color theme="1"/>
      </font>
      <border>
        <left style="thin">
          <color theme="4"/>
        </left>
        <right style="thin">
          <color theme="4"/>
        </right>
        <top style="thin">
          <color theme="4"/>
        </top>
        <bottom style="thin">
          <color theme="4"/>
        </bottom>
        <vertical/>
        <horizontal/>
      </border>
    </dxf>
  </dxfs>
  <tableStyles count="2" defaultTableStyle="TableStyleMedium2" defaultPivotStyle="PivotStyleLight16">
    <tableStyle name="SlicerStyleDark1 2" pivot="0" table="0" count="10" xr9:uid="{C7CD7D7B-CE3F-4946-B0CA-B56F8652CAC1}">
      <tableStyleElement type="wholeTable" dxfId="406"/>
      <tableStyleElement type="headerRow" dxfId="405"/>
    </tableStyle>
    <tableStyle name="SlicerStyleLight1 2" pivot="0" table="0" count="10" xr9:uid="{5E7D77E4-36B7-439A-9BE7-60CF192D9807}">
      <tableStyleElement type="wholeTable" dxfId="404"/>
      <tableStyleElement type="headerRow" dxfId="403"/>
    </tableStyle>
  </tableStyles>
  <colors>
    <mruColors>
      <color rgb="FF333399"/>
      <color rgb="FF3333CC"/>
      <color rgb="FF000000"/>
      <color rgb="FFF81610"/>
      <color rgb="FFFF5050"/>
      <color rgb="FF947DCF"/>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b/>
            <i val="0"/>
            <sz val="48"/>
            <color theme="0"/>
          </font>
          <fill>
            <patternFill patternType="solid">
              <fgColor theme="4" tint="0.59999389629810485"/>
              <bgColor rgb="FFC0000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b/>
            <i val="0"/>
            <sz val="96"/>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sz val="92"/>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StyleDark1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microsoft.com/office/2007/relationships/slicerCache" Target="slicerCaches/slicerCache5.xml"/><Relationship Id="rId10" Type="http://schemas.openxmlformats.org/officeDocument/2006/relationships/pivotCacheDefinition" Target="pivotCache/pivotCacheDefinition1.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4.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5.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6.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2.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[Suvidha Finance Limited (1).xlsx]PIVOT TABLES!PivotTable1</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TABLES'!$B$3</c:f>
              <c:strCache>
                <c:ptCount val="1"/>
                <c:pt idx="0">
                  <c:v>Sum of LoanAmount</c:v>
                </c:pt>
              </c:strCache>
            </c:strRef>
          </c:tx>
          <c:spPr>
            <a:solidFill>
              <a:schemeClr val="accent1"/>
            </a:solidFill>
            <a:ln>
              <a:noFill/>
            </a:ln>
            <a:effectLst/>
          </c:spPr>
          <c:invertIfNegative val="0"/>
          <c:cat>
            <c:strRef>
              <c:f>'PIVOT TABLES'!$A$4:$A$10</c:f>
              <c:strCache>
                <c:ptCount val="6"/>
                <c:pt idx="0">
                  <c:v>Jan</c:v>
                </c:pt>
                <c:pt idx="1">
                  <c:v>Feb</c:v>
                </c:pt>
                <c:pt idx="2">
                  <c:v>Mar</c:v>
                </c:pt>
                <c:pt idx="3">
                  <c:v>Apr</c:v>
                </c:pt>
                <c:pt idx="4">
                  <c:v>May</c:v>
                </c:pt>
                <c:pt idx="5">
                  <c:v>Jun</c:v>
                </c:pt>
              </c:strCache>
            </c:strRef>
          </c:cat>
          <c:val>
            <c:numRef>
              <c:f>'PIVOT TABLES'!$B$4:$B$10</c:f>
              <c:numCache>
                <c:formatCode>#,##0</c:formatCode>
                <c:ptCount val="6"/>
                <c:pt idx="0">
                  <c:v>20734000</c:v>
                </c:pt>
                <c:pt idx="1">
                  <c:v>21663000</c:v>
                </c:pt>
                <c:pt idx="2">
                  <c:v>21818000</c:v>
                </c:pt>
                <c:pt idx="3">
                  <c:v>20642000</c:v>
                </c:pt>
                <c:pt idx="4">
                  <c:v>13097000</c:v>
                </c:pt>
                <c:pt idx="5">
                  <c:v>11421000</c:v>
                </c:pt>
              </c:numCache>
            </c:numRef>
          </c:val>
          <c:extLst>
            <c:ext xmlns:c16="http://schemas.microsoft.com/office/drawing/2014/chart" uri="{C3380CC4-5D6E-409C-BE32-E72D297353CC}">
              <c16:uniqueId val="{00000000-FFE0-4D7C-981E-0C339833E88F}"/>
            </c:ext>
          </c:extLst>
        </c:ser>
        <c:ser>
          <c:idx val="1"/>
          <c:order val="1"/>
          <c:tx>
            <c:strRef>
              <c:f>'PIVOT TABLES'!$C$3</c:f>
              <c:strCache>
                <c:ptCount val="1"/>
                <c:pt idx="0">
                  <c:v>Sum of AmountCollectedTillDate</c:v>
                </c:pt>
              </c:strCache>
            </c:strRef>
          </c:tx>
          <c:spPr>
            <a:solidFill>
              <a:schemeClr val="accent2"/>
            </a:solidFill>
            <a:ln>
              <a:noFill/>
            </a:ln>
            <a:effectLst/>
          </c:spPr>
          <c:invertIfNegative val="0"/>
          <c:cat>
            <c:strRef>
              <c:f>'PIVOT TABLES'!$A$4:$A$10</c:f>
              <c:strCache>
                <c:ptCount val="6"/>
                <c:pt idx="0">
                  <c:v>Jan</c:v>
                </c:pt>
                <c:pt idx="1">
                  <c:v>Feb</c:v>
                </c:pt>
                <c:pt idx="2">
                  <c:v>Mar</c:v>
                </c:pt>
                <c:pt idx="3">
                  <c:v>Apr</c:v>
                </c:pt>
                <c:pt idx="4">
                  <c:v>May</c:v>
                </c:pt>
                <c:pt idx="5">
                  <c:v>Jun</c:v>
                </c:pt>
              </c:strCache>
            </c:strRef>
          </c:cat>
          <c:val>
            <c:numRef>
              <c:f>'PIVOT TABLES'!$C$4:$C$10</c:f>
              <c:numCache>
                <c:formatCode>#,##0</c:formatCode>
                <c:ptCount val="6"/>
                <c:pt idx="0">
                  <c:v>4387565</c:v>
                </c:pt>
                <c:pt idx="1">
                  <c:v>3784489</c:v>
                </c:pt>
                <c:pt idx="2">
                  <c:v>2519338</c:v>
                </c:pt>
                <c:pt idx="3">
                  <c:v>1670725</c:v>
                </c:pt>
                <c:pt idx="4">
                  <c:v>906181</c:v>
                </c:pt>
                <c:pt idx="5">
                  <c:v>433928</c:v>
                </c:pt>
              </c:numCache>
            </c:numRef>
          </c:val>
          <c:extLst>
            <c:ext xmlns:c16="http://schemas.microsoft.com/office/drawing/2014/chart" uri="{C3380CC4-5D6E-409C-BE32-E72D297353CC}">
              <c16:uniqueId val="{00000001-FFE0-4D7C-981E-0C339833E88F}"/>
            </c:ext>
          </c:extLst>
        </c:ser>
        <c:dLbls>
          <c:showLegendKey val="0"/>
          <c:showVal val="0"/>
          <c:showCatName val="0"/>
          <c:showSerName val="0"/>
          <c:showPercent val="0"/>
          <c:showBubbleSize val="0"/>
        </c:dLbls>
        <c:gapWidth val="219"/>
        <c:overlap val="-27"/>
        <c:axId val="662697952"/>
        <c:axId val="651176496"/>
      </c:barChart>
      <c:catAx>
        <c:axId val="66269795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1176496"/>
        <c:crosses val="autoZero"/>
        <c:auto val="1"/>
        <c:lblAlgn val="ctr"/>
        <c:lblOffset val="100"/>
        <c:noMultiLvlLbl val="0"/>
      </c:catAx>
      <c:valAx>
        <c:axId val="65117649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2697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[Suvidha Finance Limited (1).xlsx]PIVOT TABLES!PivotTable12</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TABLES'!$B$126</c:f>
              <c:strCache>
                <c:ptCount val="1"/>
                <c:pt idx="0">
                  <c:v>Sum of LoanAmount</c:v>
                </c:pt>
              </c:strCache>
            </c:strRef>
          </c:tx>
          <c:spPr>
            <a:solidFill>
              <a:schemeClr val="accent1"/>
            </a:solidFill>
            <a:ln>
              <a:noFill/>
            </a:ln>
            <a:effectLst/>
          </c:spPr>
          <c:invertIfNegative val="0"/>
          <c:cat>
            <c:strRef>
              <c:f>'PIVOT TABLES'!$A$127:$A$135</c:f>
              <c:strCache>
                <c:ptCount val="8"/>
                <c:pt idx="0">
                  <c:v>Pune-01</c:v>
                </c:pt>
                <c:pt idx="1">
                  <c:v>Mumbai-01</c:v>
                </c:pt>
                <c:pt idx="2">
                  <c:v>Lucknow-01</c:v>
                </c:pt>
                <c:pt idx="3">
                  <c:v>Kolkata-01</c:v>
                </c:pt>
                <c:pt idx="4">
                  <c:v>Delhi-01</c:v>
                </c:pt>
                <c:pt idx="5">
                  <c:v>Chennai-01</c:v>
                </c:pt>
                <c:pt idx="6">
                  <c:v>Bhubaneswar-01</c:v>
                </c:pt>
                <c:pt idx="7">
                  <c:v>Bengaluru-01</c:v>
                </c:pt>
              </c:strCache>
            </c:strRef>
          </c:cat>
          <c:val>
            <c:numRef>
              <c:f>'PIVOT TABLES'!$B$127:$B$135</c:f>
              <c:numCache>
                <c:formatCode>0.00</c:formatCode>
                <c:ptCount val="8"/>
                <c:pt idx="0">
                  <c:v>11883000</c:v>
                </c:pt>
                <c:pt idx="1">
                  <c:v>14525000</c:v>
                </c:pt>
                <c:pt idx="2">
                  <c:v>15160000</c:v>
                </c:pt>
                <c:pt idx="3">
                  <c:v>14587000</c:v>
                </c:pt>
                <c:pt idx="4">
                  <c:v>12263000</c:v>
                </c:pt>
                <c:pt idx="5">
                  <c:v>11417000</c:v>
                </c:pt>
                <c:pt idx="6">
                  <c:v>16066000</c:v>
                </c:pt>
                <c:pt idx="7">
                  <c:v>13474000</c:v>
                </c:pt>
              </c:numCache>
            </c:numRef>
          </c:val>
          <c:extLst>
            <c:ext xmlns:c16="http://schemas.microsoft.com/office/drawing/2014/chart" uri="{C3380CC4-5D6E-409C-BE32-E72D297353CC}">
              <c16:uniqueId val="{00000000-A0C3-4214-84AB-8A0647B682BB}"/>
            </c:ext>
          </c:extLst>
        </c:ser>
        <c:dLbls>
          <c:showLegendKey val="0"/>
          <c:showVal val="0"/>
          <c:showCatName val="0"/>
          <c:showSerName val="0"/>
          <c:showPercent val="0"/>
          <c:showBubbleSize val="0"/>
        </c:dLbls>
        <c:gapWidth val="219"/>
        <c:axId val="131585951"/>
        <c:axId val="131773231"/>
      </c:barChart>
      <c:lineChart>
        <c:grouping val="standard"/>
        <c:varyColors val="0"/>
        <c:ser>
          <c:idx val="1"/>
          <c:order val="1"/>
          <c:tx>
            <c:strRef>
              <c:f>'PIVOT TABLES'!$C$126</c:f>
              <c:strCache>
                <c:ptCount val="1"/>
                <c:pt idx="0">
                  <c:v>Sum of InterestIncomeEarned</c:v>
                </c:pt>
              </c:strCache>
            </c:strRef>
          </c:tx>
          <c:spPr>
            <a:ln w="28575" cap="rnd">
              <a:solidFill>
                <a:schemeClr val="accent2"/>
              </a:solidFill>
              <a:round/>
            </a:ln>
            <a:effectLst/>
          </c:spPr>
          <c:marker>
            <c:symbol val="none"/>
          </c:marker>
          <c:cat>
            <c:strRef>
              <c:f>'PIVOT TABLES'!$A$127:$A$135</c:f>
              <c:strCache>
                <c:ptCount val="8"/>
                <c:pt idx="0">
                  <c:v>Pune-01</c:v>
                </c:pt>
                <c:pt idx="1">
                  <c:v>Mumbai-01</c:v>
                </c:pt>
                <c:pt idx="2">
                  <c:v>Lucknow-01</c:v>
                </c:pt>
                <c:pt idx="3">
                  <c:v>Kolkata-01</c:v>
                </c:pt>
                <c:pt idx="4">
                  <c:v>Delhi-01</c:v>
                </c:pt>
                <c:pt idx="5">
                  <c:v>Chennai-01</c:v>
                </c:pt>
                <c:pt idx="6">
                  <c:v>Bhubaneswar-01</c:v>
                </c:pt>
                <c:pt idx="7">
                  <c:v>Bengaluru-01</c:v>
                </c:pt>
              </c:strCache>
            </c:strRef>
          </c:cat>
          <c:val>
            <c:numRef>
              <c:f>'PIVOT TABLES'!$C$127:$C$135</c:f>
              <c:numCache>
                <c:formatCode>0.00</c:formatCode>
                <c:ptCount val="8"/>
                <c:pt idx="0">
                  <c:v>381305</c:v>
                </c:pt>
                <c:pt idx="1">
                  <c:v>509710</c:v>
                </c:pt>
                <c:pt idx="2">
                  <c:v>385297</c:v>
                </c:pt>
                <c:pt idx="3">
                  <c:v>570012</c:v>
                </c:pt>
                <c:pt idx="4">
                  <c:v>421154</c:v>
                </c:pt>
                <c:pt idx="5">
                  <c:v>364603</c:v>
                </c:pt>
                <c:pt idx="6">
                  <c:v>559662</c:v>
                </c:pt>
                <c:pt idx="7">
                  <c:v>437013</c:v>
                </c:pt>
              </c:numCache>
            </c:numRef>
          </c:val>
          <c:smooth val="0"/>
          <c:extLst>
            <c:ext xmlns:c16="http://schemas.microsoft.com/office/drawing/2014/chart" uri="{C3380CC4-5D6E-409C-BE32-E72D297353CC}">
              <c16:uniqueId val="{00000001-A0C3-4214-84AB-8A0647B682BB}"/>
            </c:ext>
          </c:extLst>
        </c:ser>
        <c:dLbls>
          <c:showLegendKey val="0"/>
          <c:showVal val="0"/>
          <c:showCatName val="0"/>
          <c:showSerName val="0"/>
          <c:showPercent val="0"/>
          <c:showBubbleSize val="0"/>
        </c:dLbls>
        <c:marker val="1"/>
        <c:smooth val="0"/>
        <c:axId val="2101334559"/>
        <c:axId val="131768431"/>
      </c:lineChart>
      <c:catAx>
        <c:axId val="1315859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773231"/>
        <c:crosses val="autoZero"/>
        <c:auto val="1"/>
        <c:lblAlgn val="ctr"/>
        <c:lblOffset val="100"/>
        <c:noMultiLvlLbl val="0"/>
      </c:catAx>
      <c:valAx>
        <c:axId val="13177323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585951"/>
        <c:crosses val="autoZero"/>
        <c:crossBetween val="between"/>
      </c:valAx>
      <c:valAx>
        <c:axId val="131768431"/>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1334559"/>
        <c:crosses val="max"/>
        <c:crossBetween val="between"/>
      </c:valAx>
      <c:catAx>
        <c:axId val="2101334559"/>
        <c:scaling>
          <c:orientation val="minMax"/>
        </c:scaling>
        <c:delete val="1"/>
        <c:axPos val="b"/>
        <c:numFmt formatCode="General" sourceLinked="1"/>
        <c:majorTickMark val="out"/>
        <c:minorTickMark val="none"/>
        <c:tickLblPos val="nextTo"/>
        <c:crossAx val="131768431"/>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[Suvidha Finance Limited (1).xlsx]PIVOT TABLES!PivotTable3</c:name>
    <c:fmtId val="8"/>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TABLES'!$B$23:$B$24</c:f>
              <c:strCache>
                <c:ptCount val="1"/>
                <c:pt idx="0">
                  <c:v>Active</c:v>
                </c:pt>
              </c:strCache>
            </c:strRef>
          </c:tx>
          <c:spPr>
            <a:solidFill>
              <a:schemeClr val="accent1"/>
            </a:solidFill>
            <a:ln>
              <a:noFill/>
            </a:ln>
            <a:effectLst/>
          </c:spPr>
          <c:invertIfNegative val="0"/>
          <c:cat>
            <c:strRef>
              <c:f>'PIVOT TABLES'!$A$25:$A$33</c:f>
              <c:strCache>
                <c:ptCount val="8"/>
                <c:pt idx="0">
                  <c:v>Bengaluru-01</c:v>
                </c:pt>
                <c:pt idx="1">
                  <c:v>Bhubaneswar-01</c:v>
                </c:pt>
                <c:pt idx="2">
                  <c:v>Chennai-01</c:v>
                </c:pt>
                <c:pt idx="3">
                  <c:v>Delhi-01</c:v>
                </c:pt>
                <c:pt idx="4">
                  <c:v>Kolkata-01</c:v>
                </c:pt>
                <c:pt idx="5">
                  <c:v>Lucknow-01</c:v>
                </c:pt>
                <c:pt idx="6">
                  <c:v>Mumbai-01</c:v>
                </c:pt>
                <c:pt idx="7">
                  <c:v>Pune-01</c:v>
                </c:pt>
              </c:strCache>
            </c:strRef>
          </c:cat>
          <c:val>
            <c:numRef>
              <c:f>'PIVOT TABLES'!$B$25:$B$33</c:f>
              <c:numCache>
                <c:formatCode>0.00%</c:formatCode>
                <c:ptCount val="8"/>
                <c:pt idx="0">
                  <c:v>0.66666666666666663</c:v>
                </c:pt>
                <c:pt idx="1">
                  <c:v>0.72</c:v>
                </c:pt>
                <c:pt idx="2">
                  <c:v>0.7142857142857143</c:v>
                </c:pt>
                <c:pt idx="3">
                  <c:v>0.79166666666666663</c:v>
                </c:pt>
                <c:pt idx="4">
                  <c:v>0.77777777777777779</c:v>
                </c:pt>
                <c:pt idx="5">
                  <c:v>0.70833333333333337</c:v>
                </c:pt>
                <c:pt idx="6">
                  <c:v>0.77419354838709675</c:v>
                </c:pt>
                <c:pt idx="7">
                  <c:v>0.7</c:v>
                </c:pt>
              </c:numCache>
            </c:numRef>
          </c:val>
          <c:extLst>
            <c:ext xmlns:c16="http://schemas.microsoft.com/office/drawing/2014/chart" uri="{C3380CC4-5D6E-409C-BE32-E72D297353CC}">
              <c16:uniqueId val="{00000000-E380-4E1C-B92E-3754D907EF1C}"/>
            </c:ext>
          </c:extLst>
        </c:ser>
        <c:ser>
          <c:idx val="1"/>
          <c:order val="1"/>
          <c:tx>
            <c:strRef>
              <c:f>'PIVOT TABLES'!$C$23:$C$24</c:f>
              <c:strCache>
                <c:ptCount val="1"/>
                <c:pt idx="0">
                  <c:v>NPA</c:v>
                </c:pt>
              </c:strCache>
            </c:strRef>
          </c:tx>
          <c:spPr>
            <a:solidFill>
              <a:schemeClr val="accent2"/>
            </a:solidFill>
            <a:ln>
              <a:noFill/>
            </a:ln>
            <a:effectLst/>
          </c:spPr>
          <c:invertIfNegative val="0"/>
          <c:cat>
            <c:strRef>
              <c:f>'PIVOT TABLES'!$A$25:$A$33</c:f>
              <c:strCache>
                <c:ptCount val="8"/>
                <c:pt idx="0">
                  <c:v>Bengaluru-01</c:v>
                </c:pt>
                <c:pt idx="1">
                  <c:v>Bhubaneswar-01</c:v>
                </c:pt>
                <c:pt idx="2">
                  <c:v>Chennai-01</c:v>
                </c:pt>
                <c:pt idx="3">
                  <c:v>Delhi-01</c:v>
                </c:pt>
                <c:pt idx="4">
                  <c:v>Kolkata-01</c:v>
                </c:pt>
                <c:pt idx="5">
                  <c:v>Lucknow-01</c:v>
                </c:pt>
                <c:pt idx="6">
                  <c:v>Mumbai-01</c:v>
                </c:pt>
                <c:pt idx="7">
                  <c:v>Pune-01</c:v>
                </c:pt>
              </c:strCache>
            </c:strRef>
          </c:cat>
          <c:val>
            <c:numRef>
              <c:f>'PIVOT TABLES'!$C$25:$C$33</c:f>
              <c:numCache>
                <c:formatCode>0.00%</c:formatCode>
                <c:ptCount val="8"/>
                <c:pt idx="0">
                  <c:v>9.5238095238095233E-2</c:v>
                </c:pt>
                <c:pt idx="1">
                  <c:v>0.04</c:v>
                </c:pt>
                <c:pt idx="2">
                  <c:v>0.10714285714285714</c:v>
                </c:pt>
                <c:pt idx="3">
                  <c:v>8.3333333333333329E-2</c:v>
                </c:pt>
                <c:pt idx="4">
                  <c:v>7.407407407407407E-2</c:v>
                </c:pt>
                <c:pt idx="5">
                  <c:v>8.3333333333333329E-2</c:v>
                </c:pt>
                <c:pt idx="6">
                  <c:v>6.4516129032258063E-2</c:v>
                </c:pt>
                <c:pt idx="7">
                  <c:v>0.1</c:v>
                </c:pt>
              </c:numCache>
            </c:numRef>
          </c:val>
          <c:extLst>
            <c:ext xmlns:c16="http://schemas.microsoft.com/office/drawing/2014/chart" uri="{C3380CC4-5D6E-409C-BE32-E72D297353CC}">
              <c16:uniqueId val="{00000009-E380-4E1C-B92E-3754D907EF1C}"/>
            </c:ext>
          </c:extLst>
        </c:ser>
        <c:ser>
          <c:idx val="2"/>
          <c:order val="2"/>
          <c:tx>
            <c:strRef>
              <c:f>'PIVOT TABLES'!$D$23:$D$24</c:f>
              <c:strCache>
                <c:ptCount val="1"/>
                <c:pt idx="0">
                  <c:v>Overdue</c:v>
                </c:pt>
              </c:strCache>
            </c:strRef>
          </c:tx>
          <c:spPr>
            <a:solidFill>
              <a:schemeClr val="accent3"/>
            </a:solidFill>
            <a:ln>
              <a:noFill/>
            </a:ln>
            <a:effectLst/>
          </c:spPr>
          <c:invertIfNegative val="0"/>
          <c:cat>
            <c:strRef>
              <c:f>'PIVOT TABLES'!$A$25:$A$33</c:f>
              <c:strCache>
                <c:ptCount val="8"/>
                <c:pt idx="0">
                  <c:v>Bengaluru-01</c:v>
                </c:pt>
                <c:pt idx="1">
                  <c:v>Bhubaneswar-01</c:v>
                </c:pt>
                <c:pt idx="2">
                  <c:v>Chennai-01</c:v>
                </c:pt>
                <c:pt idx="3">
                  <c:v>Delhi-01</c:v>
                </c:pt>
                <c:pt idx="4">
                  <c:v>Kolkata-01</c:v>
                </c:pt>
                <c:pt idx="5">
                  <c:v>Lucknow-01</c:v>
                </c:pt>
                <c:pt idx="6">
                  <c:v>Mumbai-01</c:v>
                </c:pt>
                <c:pt idx="7">
                  <c:v>Pune-01</c:v>
                </c:pt>
              </c:strCache>
            </c:strRef>
          </c:cat>
          <c:val>
            <c:numRef>
              <c:f>'PIVOT TABLES'!$D$25:$D$33</c:f>
              <c:numCache>
                <c:formatCode>0.00%</c:formatCode>
                <c:ptCount val="8"/>
                <c:pt idx="0">
                  <c:v>0.23809523809523808</c:v>
                </c:pt>
                <c:pt idx="1">
                  <c:v>0.24</c:v>
                </c:pt>
                <c:pt idx="2">
                  <c:v>0.17857142857142858</c:v>
                </c:pt>
                <c:pt idx="3">
                  <c:v>0.125</c:v>
                </c:pt>
                <c:pt idx="4">
                  <c:v>0.14814814814814814</c:v>
                </c:pt>
                <c:pt idx="5">
                  <c:v>0.20833333333333334</c:v>
                </c:pt>
                <c:pt idx="6">
                  <c:v>0.16129032258064516</c:v>
                </c:pt>
                <c:pt idx="7">
                  <c:v>0.2</c:v>
                </c:pt>
              </c:numCache>
            </c:numRef>
          </c:val>
          <c:extLst>
            <c:ext xmlns:c16="http://schemas.microsoft.com/office/drawing/2014/chart" uri="{C3380CC4-5D6E-409C-BE32-E72D297353CC}">
              <c16:uniqueId val="{0000000B-E380-4E1C-B92E-3754D907EF1C}"/>
            </c:ext>
          </c:extLst>
        </c:ser>
        <c:dLbls>
          <c:showLegendKey val="0"/>
          <c:showVal val="0"/>
          <c:showCatName val="0"/>
          <c:showSerName val="0"/>
          <c:showPercent val="0"/>
          <c:showBubbleSize val="0"/>
        </c:dLbls>
        <c:gapWidth val="219"/>
        <c:overlap val="-27"/>
        <c:axId val="1850723088"/>
        <c:axId val="1578140240"/>
      </c:barChart>
      <c:catAx>
        <c:axId val="1850723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8140240"/>
        <c:crosses val="autoZero"/>
        <c:auto val="1"/>
        <c:lblAlgn val="ctr"/>
        <c:lblOffset val="100"/>
        <c:noMultiLvlLbl val="0"/>
      </c:catAx>
      <c:valAx>
        <c:axId val="157814024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07230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4000" b="0" i="0" u="none" strike="noStrike" kern="1200" spc="0" baseline="0">
                <a:solidFill>
                  <a:schemeClr val="bg1"/>
                </a:solidFill>
                <a:latin typeface="+mn-lt"/>
                <a:ea typeface="+mn-ea"/>
                <a:cs typeface="+mn-cs"/>
              </a:defRPr>
            </a:pPr>
            <a:r>
              <a:rPr lang="en-IN" sz="4000" b="1" baseline="0">
                <a:solidFill>
                  <a:schemeClr val="bg1"/>
                </a:solidFill>
              </a:rPr>
              <a:t>NPA% BY BRANCH</a:t>
            </a:r>
            <a:endParaRPr lang="en-IN" sz="4000" b="1">
              <a:solidFill>
                <a:schemeClr val="bg1"/>
              </a:solidFill>
            </a:endParaRPr>
          </a:p>
        </c:rich>
      </c:tx>
      <c:layout>
        <c:manualLayout>
          <c:xMode val="edge"/>
          <c:yMode val="edge"/>
          <c:x val="0.28661065017879478"/>
          <c:y val="2.0969496212731861E-2"/>
        </c:manualLayout>
      </c:layout>
      <c:overlay val="0"/>
      <c:spPr>
        <a:noFill/>
        <a:ln>
          <a:noFill/>
        </a:ln>
        <a:effectLst/>
      </c:spPr>
      <c:txPr>
        <a:bodyPr rot="0" spcFirstLastPara="1" vertOverflow="ellipsis" vert="horz" wrap="square" anchor="ctr" anchorCtr="1"/>
        <a:lstStyle/>
        <a:p>
          <a:pPr>
            <a:defRPr sz="4000" b="0" i="0" u="none" strike="noStrike" kern="1200" spc="0" baseline="0">
              <a:solidFill>
                <a:schemeClr val="bg1"/>
              </a:solidFill>
              <a:latin typeface="+mn-lt"/>
              <a:ea typeface="+mn-ea"/>
              <a:cs typeface="+mn-cs"/>
            </a:defRPr>
          </a:pPr>
          <a:endParaRPr lang="en-IN"/>
        </a:p>
      </c:txPr>
    </c:title>
    <c:autoTitleDeleted val="0"/>
    <c:plotArea>
      <c:layout/>
      <c:barChart>
        <c:barDir val="col"/>
        <c:grouping val="clustered"/>
        <c:varyColors val="0"/>
        <c:ser>
          <c:idx val="0"/>
          <c:order val="0"/>
          <c:spPr>
            <a:solidFill>
              <a:schemeClr val="accent1"/>
            </a:solidFill>
            <a:ln>
              <a:noFill/>
            </a:ln>
            <a:effectLst/>
          </c:spPr>
          <c:invertIfNegative val="0"/>
          <c:dPt>
            <c:idx val="1"/>
            <c:invertIfNegative val="0"/>
            <c:bubble3D val="0"/>
            <c:spPr>
              <a:solidFill>
                <a:srgbClr val="00B050"/>
              </a:solidFill>
              <a:ln>
                <a:noFill/>
              </a:ln>
              <a:effectLst/>
            </c:spPr>
            <c:extLst>
              <c:ext xmlns:c16="http://schemas.microsoft.com/office/drawing/2014/chart" uri="{C3380CC4-5D6E-409C-BE32-E72D297353CC}">
                <c16:uniqueId val="{00000002-2FC7-422B-9FEE-298DBE478ECB}"/>
              </c:ext>
            </c:extLst>
          </c:dPt>
          <c:dLbls>
            <c:dLbl>
              <c:idx val="2"/>
              <c:layout>
                <c:manualLayout>
                  <c:x val="0"/>
                  <c:y val="0.18491283023954461"/>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FC7-422B-9FEE-298DBE478ECB}"/>
                </c:ext>
              </c:extLst>
            </c:dLbl>
            <c:spPr>
              <a:noFill/>
              <a:ln>
                <a:noFill/>
              </a:ln>
              <a:effectLst/>
            </c:spPr>
            <c:txPr>
              <a:bodyPr rot="-5400000" spcFirstLastPara="1" vertOverflow="ellipsis" wrap="square" lIns="38100" tIns="19050" rIns="38100" bIns="19050" anchor="ctr" anchorCtr="1">
                <a:spAutoFit/>
              </a:bodyPr>
              <a:lstStyle/>
              <a:p>
                <a:pPr>
                  <a:defRPr sz="32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TABLES'!$G$202:$G$209</c:f>
              <c:strCache>
                <c:ptCount val="8"/>
                <c:pt idx="0">
                  <c:v>Bengaluru-01</c:v>
                </c:pt>
                <c:pt idx="1">
                  <c:v>Bhubaneswar-01</c:v>
                </c:pt>
                <c:pt idx="2">
                  <c:v>Chennai-01</c:v>
                </c:pt>
                <c:pt idx="3">
                  <c:v>Delhi-01</c:v>
                </c:pt>
                <c:pt idx="4">
                  <c:v>Kolkata-01</c:v>
                </c:pt>
                <c:pt idx="5">
                  <c:v>Lucknow-01</c:v>
                </c:pt>
                <c:pt idx="6">
                  <c:v>Mumbai-01</c:v>
                </c:pt>
                <c:pt idx="7">
                  <c:v>Pune-01</c:v>
                </c:pt>
              </c:strCache>
            </c:strRef>
          </c:cat>
          <c:val>
            <c:numRef>
              <c:f>'PIVOT TABLES'!$H$202:$H$209</c:f>
              <c:numCache>
                <c:formatCode>0.0%</c:formatCode>
                <c:ptCount val="8"/>
                <c:pt idx="0">
                  <c:v>9.5238095238095233E-2</c:v>
                </c:pt>
                <c:pt idx="1">
                  <c:v>0.04</c:v>
                </c:pt>
                <c:pt idx="2">
                  <c:v>0.10714285714285714</c:v>
                </c:pt>
                <c:pt idx="3">
                  <c:v>8.3333333333333329E-2</c:v>
                </c:pt>
                <c:pt idx="4">
                  <c:v>7.407407407407407E-2</c:v>
                </c:pt>
                <c:pt idx="5">
                  <c:v>8.3333333333333329E-2</c:v>
                </c:pt>
                <c:pt idx="6">
                  <c:v>6.4516129032258063E-2</c:v>
                </c:pt>
                <c:pt idx="7">
                  <c:v>0.1</c:v>
                </c:pt>
              </c:numCache>
            </c:numRef>
          </c:val>
          <c:extLst>
            <c:ext xmlns:c16="http://schemas.microsoft.com/office/drawing/2014/chart" uri="{C3380CC4-5D6E-409C-BE32-E72D297353CC}">
              <c16:uniqueId val="{00000000-2FC7-422B-9FEE-298DBE478ECB}"/>
            </c:ext>
          </c:extLst>
        </c:ser>
        <c:dLbls>
          <c:showLegendKey val="0"/>
          <c:showVal val="0"/>
          <c:showCatName val="0"/>
          <c:showSerName val="0"/>
          <c:showPercent val="0"/>
          <c:showBubbleSize val="0"/>
        </c:dLbls>
        <c:gapWidth val="219"/>
        <c:overlap val="-27"/>
        <c:axId val="1942372768"/>
        <c:axId val="1578239600"/>
      </c:barChart>
      <c:catAx>
        <c:axId val="1942372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1" i="0" u="none" strike="noStrike" kern="1200" baseline="0">
                <a:solidFill>
                  <a:schemeClr val="bg1"/>
                </a:solidFill>
                <a:latin typeface="+mn-lt"/>
                <a:ea typeface="+mn-ea"/>
                <a:cs typeface="+mn-cs"/>
              </a:defRPr>
            </a:pPr>
            <a:endParaRPr lang="en-US"/>
          </a:p>
        </c:txPr>
        <c:crossAx val="1578239600"/>
        <c:crosses val="autoZero"/>
        <c:auto val="1"/>
        <c:lblAlgn val="ctr"/>
        <c:lblOffset val="100"/>
        <c:noMultiLvlLbl val="0"/>
      </c:catAx>
      <c:valAx>
        <c:axId val="1578239600"/>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bg1"/>
                </a:solidFill>
                <a:latin typeface="+mn-lt"/>
                <a:ea typeface="+mn-ea"/>
                <a:cs typeface="+mn-cs"/>
              </a:defRPr>
            </a:pPr>
            <a:endParaRPr lang="en-US"/>
          </a:p>
        </c:txPr>
        <c:crossAx val="1942372768"/>
        <c:crosses val="autoZero"/>
        <c:crossBetween val="between"/>
      </c:valAx>
      <c:spPr>
        <a:noFill/>
        <a:ln>
          <a:noFill/>
        </a:ln>
        <a:effectLst/>
      </c:spPr>
    </c:plotArea>
    <c:plotVisOnly val="1"/>
    <c:dispBlanksAs val="gap"/>
    <c:showDLblsOverMax val="0"/>
  </c:chart>
  <c:spPr>
    <a:solidFill>
      <a:srgbClr val="C0000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sz="3200" b="1" baseline="0">
                <a:solidFill>
                  <a:schemeClr val="bg1"/>
                </a:solidFill>
              </a:rPr>
              <a:t> NPA% BY REGION</a:t>
            </a:r>
            <a:endParaRPr lang="en-IN" sz="3200"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IN"/>
        </a:p>
      </c:txPr>
    </c:title>
    <c:autoTitleDeleted val="0"/>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B323-42EF-92D3-297D0E86CA58}"/>
              </c:ext>
            </c:extLst>
          </c:dPt>
          <c:dPt>
            <c:idx val="1"/>
            <c:bubble3D val="0"/>
            <c:spPr>
              <a:solidFill>
                <a:srgbClr val="7030A0"/>
              </a:solidFill>
              <a:ln w="19050">
                <a:solidFill>
                  <a:schemeClr val="lt1"/>
                </a:solidFill>
              </a:ln>
              <a:effectLst/>
            </c:spPr>
            <c:extLst>
              <c:ext xmlns:c16="http://schemas.microsoft.com/office/drawing/2014/chart" uri="{C3380CC4-5D6E-409C-BE32-E72D297353CC}">
                <c16:uniqueId val="{00000003-B323-42EF-92D3-297D0E86CA58}"/>
              </c:ext>
            </c:extLst>
          </c:dPt>
          <c:dPt>
            <c:idx val="2"/>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5-B323-42EF-92D3-297D0E86CA58}"/>
              </c:ext>
            </c:extLst>
          </c:dPt>
          <c:dPt>
            <c:idx val="3"/>
            <c:bubble3D val="0"/>
            <c:spPr>
              <a:solidFill>
                <a:schemeClr val="accent2">
                  <a:lumMod val="75000"/>
                </a:schemeClr>
              </a:solidFill>
              <a:ln w="19050">
                <a:solidFill>
                  <a:schemeClr val="lt1"/>
                </a:solidFill>
              </a:ln>
              <a:effectLst/>
            </c:spPr>
            <c:extLst>
              <c:ext xmlns:c16="http://schemas.microsoft.com/office/drawing/2014/chart" uri="{C3380CC4-5D6E-409C-BE32-E72D297353CC}">
                <c16:uniqueId val="{00000007-B323-42EF-92D3-297D0E86CA58}"/>
              </c:ext>
            </c:extLst>
          </c:dPt>
          <c:dLbls>
            <c:spPr>
              <a:noFill/>
              <a:ln>
                <a:noFill/>
              </a:ln>
              <a:effectLst/>
            </c:spPr>
            <c:txPr>
              <a:bodyPr rot="0" spcFirstLastPara="1" vertOverflow="ellipsis" vert="horz" wrap="square" lIns="38100" tIns="19050" rIns="38100" bIns="19050" anchor="ctr" anchorCtr="1">
                <a:spAutoFit/>
              </a:bodyPr>
              <a:lstStyle/>
              <a:p>
                <a:pPr>
                  <a:defRPr sz="3200" b="1" i="0" u="none" strike="noStrike" kern="1200" baseline="0">
                    <a:solidFill>
                      <a:schemeClr val="bg1"/>
                    </a:solidFill>
                    <a:latin typeface="+mn-lt"/>
                    <a:ea typeface="+mn-ea"/>
                    <a:cs typeface="+mn-cs"/>
                  </a:defRPr>
                </a:pPr>
                <a:endParaRPr lang="en-US"/>
              </a:p>
            </c:txPr>
            <c:dLblPos val="in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TABLES'!$H$39:$H$42</c:f>
              <c:strCache>
                <c:ptCount val="4"/>
                <c:pt idx="0">
                  <c:v>East</c:v>
                </c:pt>
                <c:pt idx="1">
                  <c:v>North</c:v>
                </c:pt>
                <c:pt idx="2">
                  <c:v>South</c:v>
                </c:pt>
                <c:pt idx="3">
                  <c:v>West</c:v>
                </c:pt>
              </c:strCache>
            </c:strRef>
          </c:cat>
          <c:val>
            <c:numRef>
              <c:f>'PIVOT TABLES'!$I$39:$I$42</c:f>
              <c:numCache>
                <c:formatCode>0.0%</c:formatCode>
                <c:ptCount val="4"/>
                <c:pt idx="0">
                  <c:v>3.1240667531694112E-2</c:v>
                </c:pt>
                <c:pt idx="1">
                  <c:v>0.12155986087079249</c:v>
                </c:pt>
                <c:pt idx="2">
                  <c:v>0.13013129656842204</c:v>
                </c:pt>
                <c:pt idx="3">
                  <c:v>0.10813703754202472</c:v>
                </c:pt>
              </c:numCache>
            </c:numRef>
          </c:val>
          <c:extLst>
            <c:ext xmlns:c16="http://schemas.microsoft.com/office/drawing/2014/chart" uri="{C3380CC4-5D6E-409C-BE32-E72D297353CC}">
              <c16:uniqueId val="{00000008-B323-42EF-92D3-297D0E86CA5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endParaRPr lang="en-US"/>
        </a:p>
      </c:txPr>
    </c:legend>
    <c:plotVisOnly val="1"/>
    <c:dispBlanksAs val="gap"/>
    <c:showDLblsOverMax val="0"/>
  </c:chart>
  <c:spPr>
    <a:solidFill>
      <a:srgbClr val="C0000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sz="3200" b="1" baseline="0">
                <a:solidFill>
                  <a:schemeClr val="bg1"/>
                </a:solidFill>
              </a:rPr>
              <a:t> NPA% BY LOAN PRODUCT</a:t>
            </a:r>
            <a:endParaRPr lang="en-IN" sz="3200"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IN"/>
        </a:p>
      </c:txPr>
    </c:title>
    <c:autoTitleDeleted val="0"/>
    <c:plotArea>
      <c:layout/>
      <c:barChart>
        <c:barDir val="bar"/>
        <c:grouping val="clustered"/>
        <c:varyColors val="0"/>
        <c:ser>
          <c:idx val="0"/>
          <c:order val="0"/>
          <c:spPr>
            <a:solidFill>
              <a:schemeClr val="accent1"/>
            </a:solidFill>
            <a:ln>
              <a:noFill/>
            </a:ln>
            <a:effectLst/>
          </c:spPr>
          <c:invertIfNegative val="0"/>
          <c:dPt>
            <c:idx val="1"/>
            <c:invertIfNegative val="0"/>
            <c:bubble3D val="0"/>
            <c:spPr>
              <a:solidFill>
                <a:srgbClr val="00B050"/>
              </a:solidFill>
              <a:ln>
                <a:noFill/>
              </a:ln>
              <a:effectLst/>
            </c:spPr>
            <c:extLst>
              <c:ext xmlns:c16="http://schemas.microsoft.com/office/drawing/2014/chart" uri="{C3380CC4-5D6E-409C-BE32-E72D297353CC}">
                <c16:uniqueId val="{00000001-55A3-4491-97C2-1C373DD82C98}"/>
              </c:ext>
            </c:extLst>
          </c:dPt>
          <c:dLbls>
            <c:spPr>
              <a:noFill/>
              <a:ln>
                <a:noFill/>
              </a:ln>
              <a:effectLst/>
            </c:spPr>
            <c:txPr>
              <a:bodyPr rot="0" spcFirstLastPara="1" vertOverflow="ellipsis" vert="horz" wrap="square" lIns="38100" tIns="19050" rIns="38100" bIns="19050" anchor="ctr" anchorCtr="1">
                <a:spAutoFit/>
              </a:bodyPr>
              <a:lstStyle/>
              <a:p>
                <a:pPr>
                  <a:defRPr sz="36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TABLES'!$H$49:$H$53</c:f>
              <c:strCache>
                <c:ptCount val="5"/>
                <c:pt idx="0">
                  <c:v>Business Loan</c:v>
                </c:pt>
                <c:pt idx="1">
                  <c:v>Gold Loan</c:v>
                </c:pt>
                <c:pt idx="2">
                  <c:v>Home Improvement Loan</c:v>
                </c:pt>
                <c:pt idx="3">
                  <c:v>Personal Loan</c:v>
                </c:pt>
                <c:pt idx="4">
                  <c:v>Vehicle Loan</c:v>
                </c:pt>
              </c:strCache>
            </c:strRef>
          </c:cat>
          <c:val>
            <c:numRef>
              <c:f>'PIVOT TABLES'!$I$49:$I$53</c:f>
              <c:numCache>
                <c:formatCode>0.0%</c:formatCode>
                <c:ptCount val="5"/>
                <c:pt idx="0">
                  <c:v>8.3333333333333329E-2</c:v>
                </c:pt>
                <c:pt idx="1">
                  <c:v>2.5000000000000001E-2</c:v>
                </c:pt>
                <c:pt idx="2">
                  <c:v>8.8235294117647065E-2</c:v>
                </c:pt>
                <c:pt idx="3">
                  <c:v>0.13636363636363635</c:v>
                </c:pt>
                <c:pt idx="4">
                  <c:v>6.5217391304347824E-2</c:v>
                </c:pt>
              </c:numCache>
            </c:numRef>
          </c:val>
          <c:extLst>
            <c:ext xmlns:c16="http://schemas.microsoft.com/office/drawing/2014/chart" uri="{C3380CC4-5D6E-409C-BE32-E72D297353CC}">
              <c16:uniqueId val="{00000000-55A3-4491-97C2-1C373DD82C98}"/>
            </c:ext>
          </c:extLst>
        </c:ser>
        <c:dLbls>
          <c:dLblPos val="outEnd"/>
          <c:showLegendKey val="0"/>
          <c:showVal val="1"/>
          <c:showCatName val="0"/>
          <c:showSerName val="0"/>
          <c:showPercent val="0"/>
          <c:showBubbleSize val="0"/>
        </c:dLbls>
        <c:gapWidth val="182"/>
        <c:axId val="1942332864"/>
        <c:axId val="1578228560"/>
      </c:barChart>
      <c:catAx>
        <c:axId val="19423328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bg1"/>
                </a:solidFill>
                <a:latin typeface="+mn-lt"/>
                <a:ea typeface="+mn-ea"/>
                <a:cs typeface="+mn-cs"/>
              </a:defRPr>
            </a:pPr>
            <a:endParaRPr lang="en-US"/>
          </a:p>
        </c:txPr>
        <c:crossAx val="1578228560"/>
        <c:crosses val="autoZero"/>
        <c:auto val="1"/>
        <c:lblAlgn val="ctr"/>
        <c:lblOffset val="100"/>
        <c:noMultiLvlLbl val="0"/>
      </c:catAx>
      <c:valAx>
        <c:axId val="1578228560"/>
        <c:scaling>
          <c:orientation val="minMax"/>
        </c:scaling>
        <c:delete val="0"/>
        <c:axPos val="b"/>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bg1"/>
                </a:solidFill>
                <a:latin typeface="+mn-lt"/>
                <a:ea typeface="+mn-ea"/>
                <a:cs typeface="+mn-cs"/>
              </a:defRPr>
            </a:pPr>
            <a:endParaRPr lang="en-US"/>
          </a:p>
        </c:txPr>
        <c:crossAx val="19423328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C0000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[Suvidha Finance Limited (1).xlsx]PIVOT TABLES!PivotTable26</c:name>
    <c:fmtId val="12"/>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sz="3200" b="1">
                <a:solidFill>
                  <a:schemeClr val="bg1"/>
                </a:solidFill>
              </a:rPr>
              <a:t>OUTSTANDING</a:t>
            </a:r>
            <a:r>
              <a:rPr lang="en-US" sz="3200" b="1" baseline="0">
                <a:solidFill>
                  <a:schemeClr val="bg1"/>
                </a:solidFill>
              </a:rPr>
              <a:t> PRINCIPLE BY DPD ZONE</a:t>
            </a:r>
            <a:endParaRPr lang="en-US" sz="3200" b="1">
              <a:solidFill>
                <a:schemeClr val="bg1"/>
              </a:solidFill>
            </a:endParaRPr>
          </a:p>
        </c:rich>
      </c:tx>
      <c:layout>
        <c:manualLayout>
          <c:xMode val="edge"/>
          <c:yMode val="edge"/>
          <c:x val="0.18506964525121564"/>
          <c:y val="1.887575253527472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88900" cap="rnd" cmpd="sng">
            <a:solidFill>
              <a:srgbClr val="00B050"/>
            </a:solidFill>
            <a:round/>
          </a:ln>
          <a:effectLst/>
        </c:spPr>
        <c:marker>
          <c:symbol val="diamond"/>
          <c:size val="29"/>
          <c:spPr>
            <a:solidFill>
              <a:schemeClr val="accent1"/>
            </a:solidFill>
            <a:ln w="9525">
              <a:solidFill>
                <a:schemeClr val="accent1"/>
              </a:solidFill>
            </a:ln>
            <a:effectLst/>
          </c:spPr>
        </c:marker>
      </c:pivotFmt>
      <c:pivotFmt>
        <c:idx val="4"/>
      </c:pivotFmt>
      <c:pivotFmt>
        <c:idx val="5"/>
        <c:spPr>
          <a:solidFill>
            <a:schemeClr val="accent1"/>
          </a:solidFill>
          <a:ln w="79375" cap="rnd">
            <a:solidFill>
              <a:srgbClr val="00B050"/>
            </a:solidFill>
            <a:round/>
          </a:ln>
          <a:effectLst/>
        </c:spPr>
        <c:marker>
          <c:symbol val="diamond"/>
          <c:size val="29"/>
          <c:spPr>
            <a:solidFill>
              <a:schemeClr val="accent1"/>
            </a:solidFill>
            <a:ln w="9525">
              <a:solidFill>
                <a:schemeClr val="accent1"/>
              </a:solidFill>
            </a:ln>
            <a:effectLst/>
          </c:spPr>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pivotFmt>
    </c:pivotFmts>
    <c:plotArea>
      <c:layout/>
      <c:pieChart>
        <c:varyColors val="1"/>
        <c:ser>
          <c:idx val="0"/>
          <c:order val="0"/>
          <c:tx>
            <c:strRef>
              <c:f>'PIVOT TABLES'!$B$215</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E07F-40AC-AF86-90688749AB8E}"/>
              </c:ext>
            </c:extLst>
          </c:dPt>
          <c:dPt>
            <c:idx val="1"/>
            <c:bubble3D val="0"/>
            <c:spPr>
              <a:solidFill>
                <a:schemeClr val="accent2"/>
              </a:solidFill>
              <a:ln>
                <a:noFill/>
              </a:ln>
              <a:effectLst/>
            </c:spPr>
            <c:extLst>
              <c:ext xmlns:c16="http://schemas.microsoft.com/office/drawing/2014/chart" uri="{C3380CC4-5D6E-409C-BE32-E72D297353CC}">
                <c16:uniqueId val="{00000001-8F5F-4EBB-BB4C-A349F27D307A}"/>
              </c:ext>
            </c:extLst>
          </c:dPt>
          <c:dPt>
            <c:idx val="2"/>
            <c:bubble3D val="0"/>
            <c:spPr>
              <a:solidFill>
                <a:schemeClr val="accent3"/>
              </a:solidFill>
              <a:ln>
                <a:noFill/>
              </a:ln>
              <a:effectLst/>
            </c:spPr>
            <c:extLst>
              <c:ext xmlns:c16="http://schemas.microsoft.com/office/drawing/2014/chart" uri="{C3380CC4-5D6E-409C-BE32-E72D297353CC}">
                <c16:uniqueId val="{00000003-8F5F-4EBB-BB4C-A349F27D307A}"/>
              </c:ext>
            </c:extLst>
          </c:dPt>
          <c:dLbls>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TABLES'!$A$216:$A$219</c:f>
              <c:strCache>
                <c:ptCount val="3"/>
                <c:pt idx="0">
                  <c:v>&lt;1</c:v>
                </c:pt>
                <c:pt idx="1">
                  <c:v>1-90</c:v>
                </c:pt>
                <c:pt idx="2">
                  <c:v>&gt;91</c:v>
                </c:pt>
              </c:strCache>
            </c:strRef>
          </c:cat>
          <c:val>
            <c:numRef>
              <c:f>'PIVOT TABLES'!$B$216:$B$219</c:f>
              <c:numCache>
                <c:formatCode>#,##0</c:formatCode>
                <c:ptCount val="3"/>
                <c:pt idx="0">
                  <c:v>68968670</c:v>
                </c:pt>
                <c:pt idx="1">
                  <c:v>20870151</c:v>
                </c:pt>
                <c:pt idx="2">
                  <c:v>9462709</c:v>
                </c:pt>
              </c:numCache>
            </c:numRef>
          </c:val>
          <c:extLst>
            <c:ext xmlns:c16="http://schemas.microsoft.com/office/drawing/2014/chart" uri="{C3380CC4-5D6E-409C-BE32-E72D297353CC}">
              <c16:uniqueId val="{00000000-8F5F-4EBB-BB4C-A349F27D307A}"/>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8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C0000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[Suvidha Finance Limited (1).xlsx]PIVOT TABLES!PivotTable30</c:name>
    <c:fmtId val="19"/>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sz="3200" b="1">
                <a:solidFill>
                  <a:schemeClr val="bg1"/>
                </a:solidFill>
              </a:rPr>
              <a:t>OUTSTANDING</a:t>
            </a:r>
            <a:r>
              <a:rPr lang="en-IN" sz="3200" b="1" baseline="0">
                <a:solidFill>
                  <a:schemeClr val="bg1"/>
                </a:solidFill>
              </a:rPr>
              <a:t> PRINCIPLE BY REGION</a:t>
            </a:r>
            <a:endParaRPr lang="en-IN" sz="3200"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85725" cap="rnd">
            <a:solidFill>
              <a:srgbClr val="00B050"/>
            </a:solidFill>
            <a:round/>
          </a:ln>
          <a:effectLst/>
        </c:spPr>
        <c:marker>
          <c:symbol val="diamond"/>
          <c:size val="25"/>
        </c:marker>
      </c:pivotFmt>
      <c:pivotFmt>
        <c:idx val="4"/>
        <c:spPr>
          <a:ln w="63500" cap="rnd">
            <a:solidFill>
              <a:schemeClr val="accent1"/>
            </a:solidFill>
            <a:round/>
          </a:ln>
          <a:effectLst/>
        </c:spPr>
        <c:marker>
          <c:symbol val="diamond"/>
          <c:size val="37"/>
        </c:marker>
      </c:pivotFmt>
      <c:pivotFmt>
        <c:idx val="5"/>
        <c:spPr>
          <a:ln w="82550" cap="rnd">
            <a:solidFill>
              <a:srgbClr val="00B050"/>
            </a:solidFill>
            <a:round/>
          </a:ln>
          <a:effectLst/>
        </c:spPr>
        <c:marker>
          <c:symbol val="diamond"/>
          <c:size val="34"/>
        </c:marker>
      </c:pivotFmt>
      <c:pivotFmt>
        <c:idx val="6"/>
        <c:spPr>
          <a:ln w="85725" cap="rnd">
            <a:solidFill>
              <a:srgbClr val="00B050"/>
            </a:solidFill>
            <a:round/>
          </a:ln>
          <a:effectLst/>
        </c:spPr>
        <c:marker>
          <c:symbol val="diamond"/>
          <c:size val="33"/>
        </c:marker>
      </c:pivotFmt>
    </c:pivotFmts>
    <c:plotArea>
      <c:layout>
        <c:manualLayout>
          <c:layoutTarget val="inner"/>
          <c:xMode val="edge"/>
          <c:yMode val="edge"/>
          <c:x val="0.1727909685506234"/>
          <c:y val="0.13845539950508529"/>
          <c:w val="0.815872164941426"/>
          <c:h val="0.74938105441795544"/>
        </c:manualLayout>
      </c:layout>
      <c:lineChart>
        <c:grouping val="standard"/>
        <c:varyColors val="0"/>
        <c:ser>
          <c:idx val="0"/>
          <c:order val="0"/>
          <c:tx>
            <c:strRef>
              <c:f>'PIVOT TABLES'!$E$223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0"/>
            <c:marker>
              <c:symbol val="diamond"/>
              <c:size val="37"/>
              <c:spPr>
                <a:solidFill>
                  <a:schemeClr val="accent1"/>
                </a:solidFill>
                <a:ln w="9525">
                  <a:solidFill>
                    <a:schemeClr val="accent1"/>
                  </a:solidFill>
                </a:ln>
                <a:effectLst/>
              </c:spPr>
            </c:marker>
            <c:bubble3D val="0"/>
            <c:spPr>
              <a:ln w="63500" cap="rnd">
                <a:solidFill>
                  <a:schemeClr val="accent1"/>
                </a:solidFill>
                <a:round/>
              </a:ln>
              <a:effectLst/>
            </c:spPr>
            <c:extLst>
              <c:ext xmlns:c16="http://schemas.microsoft.com/office/drawing/2014/chart" uri="{C3380CC4-5D6E-409C-BE32-E72D297353CC}">
                <c16:uniqueId val="{00000002-2E96-448B-903D-DE9DDFE2968D}"/>
              </c:ext>
            </c:extLst>
          </c:dPt>
          <c:dPt>
            <c:idx val="1"/>
            <c:marker>
              <c:symbol val="diamond"/>
              <c:size val="34"/>
              <c:spPr>
                <a:solidFill>
                  <a:schemeClr val="accent1"/>
                </a:solidFill>
                <a:ln w="9525">
                  <a:solidFill>
                    <a:schemeClr val="accent1"/>
                  </a:solidFill>
                </a:ln>
                <a:effectLst/>
              </c:spPr>
            </c:marker>
            <c:bubble3D val="0"/>
            <c:spPr>
              <a:ln w="82550" cap="rnd">
                <a:solidFill>
                  <a:srgbClr val="00B050"/>
                </a:solidFill>
                <a:round/>
              </a:ln>
              <a:effectLst/>
            </c:spPr>
            <c:extLst>
              <c:ext xmlns:c16="http://schemas.microsoft.com/office/drawing/2014/chart" uri="{C3380CC4-5D6E-409C-BE32-E72D297353CC}">
                <c16:uniqueId val="{00000003-2E96-448B-903D-DE9DDFE2968D}"/>
              </c:ext>
            </c:extLst>
          </c:dPt>
          <c:dPt>
            <c:idx val="2"/>
            <c:marker>
              <c:symbol val="diamond"/>
              <c:size val="25"/>
              <c:spPr>
                <a:solidFill>
                  <a:schemeClr val="accent1"/>
                </a:solidFill>
                <a:ln w="9525">
                  <a:solidFill>
                    <a:schemeClr val="accent1"/>
                  </a:solidFill>
                </a:ln>
                <a:effectLst/>
              </c:spPr>
            </c:marker>
            <c:bubble3D val="0"/>
            <c:spPr>
              <a:ln w="85725" cap="rnd">
                <a:solidFill>
                  <a:srgbClr val="00B050"/>
                </a:solidFill>
                <a:round/>
              </a:ln>
              <a:effectLst/>
            </c:spPr>
            <c:extLst>
              <c:ext xmlns:c16="http://schemas.microsoft.com/office/drawing/2014/chart" uri="{C3380CC4-5D6E-409C-BE32-E72D297353CC}">
                <c16:uniqueId val="{00000001-2E96-448B-903D-DE9DDFE2968D}"/>
              </c:ext>
            </c:extLst>
          </c:dPt>
          <c:dPt>
            <c:idx val="3"/>
            <c:marker>
              <c:symbol val="diamond"/>
              <c:size val="33"/>
              <c:spPr>
                <a:solidFill>
                  <a:schemeClr val="accent1"/>
                </a:solidFill>
                <a:ln w="9525">
                  <a:solidFill>
                    <a:schemeClr val="accent1"/>
                  </a:solidFill>
                </a:ln>
                <a:effectLst/>
              </c:spPr>
            </c:marker>
            <c:bubble3D val="0"/>
            <c:spPr>
              <a:ln w="85725" cap="rnd">
                <a:solidFill>
                  <a:srgbClr val="00B050"/>
                </a:solidFill>
                <a:round/>
              </a:ln>
              <a:effectLst/>
            </c:spPr>
            <c:extLst>
              <c:ext xmlns:c16="http://schemas.microsoft.com/office/drawing/2014/chart" uri="{C3380CC4-5D6E-409C-BE32-E72D297353CC}">
                <c16:uniqueId val="{00000004-2E96-448B-903D-DE9DDFE2968D}"/>
              </c:ext>
            </c:extLst>
          </c:dPt>
          <c:dLbls>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TABLES'!$D$224:$D$228</c:f>
              <c:strCache>
                <c:ptCount val="4"/>
                <c:pt idx="0">
                  <c:v>East</c:v>
                </c:pt>
                <c:pt idx="1">
                  <c:v>North</c:v>
                </c:pt>
                <c:pt idx="2">
                  <c:v>South</c:v>
                </c:pt>
                <c:pt idx="3">
                  <c:v>West</c:v>
                </c:pt>
              </c:strCache>
            </c:strRef>
          </c:cat>
          <c:val>
            <c:numRef>
              <c:f>'PIVOT TABLES'!$E$224:$E$228</c:f>
              <c:numCache>
                <c:formatCode>#,##0</c:formatCode>
                <c:ptCount val="4"/>
                <c:pt idx="0">
                  <c:v>27528221</c:v>
                </c:pt>
                <c:pt idx="1">
                  <c:v>25337311</c:v>
                </c:pt>
                <c:pt idx="2">
                  <c:v>22790390</c:v>
                </c:pt>
                <c:pt idx="3">
                  <c:v>23645608</c:v>
                </c:pt>
              </c:numCache>
            </c:numRef>
          </c:val>
          <c:smooth val="0"/>
          <c:extLst>
            <c:ext xmlns:c16="http://schemas.microsoft.com/office/drawing/2014/chart" uri="{C3380CC4-5D6E-409C-BE32-E72D297353CC}">
              <c16:uniqueId val="{00000000-2E96-448B-903D-DE9DDFE2968D}"/>
            </c:ext>
          </c:extLst>
        </c:ser>
        <c:dLbls>
          <c:showLegendKey val="0"/>
          <c:showVal val="0"/>
          <c:showCatName val="0"/>
          <c:showSerName val="0"/>
          <c:showPercent val="0"/>
          <c:showBubbleSize val="0"/>
        </c:dLbls>
        <c:marker val="1"/>
        <c:smooth val="0"/>
        <c:axId val="2038155648"/>
        <c:axId val="1578175280"/>
      </c:lineChart>
      <c:catAx>
        <c:axId val="20381556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800" b="1" i="0" u="none" strike="noStrike" kern="1200" baseline="0">
                <a:solidFill>
                  <a:schemeClr val="bg1"/>
                </a:solidFill>
                <a:latin typeface="+mn-lt"/>
                <a:ea typeface="+mn-ea"/>
                <a:cs typeface="+mn-cs"/>
              </a:defRPr>
            </a:pPr>
            <a:endParaRPr lang="en-US"/>
          </a:p>
        </c:txPr>
        <c:crossAx val="1578175280"/>
        <c:crosses val="autoZero"/>
        <c:auto val="1"/>
        <c:lblAlgn val="ctr"/>
        <c:lblOffset val="100"/>
        <c:noMultiLvlLbl val="0"/>
      </c:catAx>
      <c:valAx>
        <c:axId val="1578175280"/>
        <c:scaling>
          <c:orientation val="minMax"/>
        </c:scaling>
        <c:delete val="0"/>
        <c:axPos val="l"/>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2800" b="1" i="0" u="none" strike="noStrike" kern="1200" baseline="0">
                <a:solidFill>
                  <a:schemeClr val="bg1"/>
                </a:solidFill>
                <a:latin typeface="+mn-lt"/>
                <a:ea typeface="+mn-ea"/>
                <a:cs typeface="+mn-cs"/>
              </a:defRPr>
            </a:pPr>
            <a:endParaRPr lang="en-US"/>
          </a:p>
        </c:txPr>
        <c:crossAx val="20381556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C0000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[Suvidha Finance Limited (1).xlsx]PIVOT TABLES!PivotTable29</c:name>
    <c:fmtId val="20"/>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sz="3600" b="1">
                <a:solidFill>
                  <a:schemeClr val="bg1"/>
                </a:solidFill>
              </a:rPr>
              <a:t>OUTSTANDING</a:t>
            </a:r>
            <a:r>
              <a:rPr lang="en-IN" sz="3600" b="1" baseline="0">
                <a:solidFill>
                  <a:schemeClr val="bg1"/>
                </a:solidFill>
              </a:rPr>
              <a:t> PRINCIPLE BY BRANCH</a:t>
            </a:r>
            <a:endParaRPr lang="en-IN" sz="2000"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0B050"/>
          </a:solidFill>
          <a:ln>
            <a:noFill/>
          </a:ln>
          <a:effectLst/>
        </c:spPr>
      </c:pivotFmt>
    </c:pivotFmts>
    <c:plotArea>
      <c:layout/>
      <c:barChart>
        <c:barDir val="col"/>
        <c:grouping val="clustered"/>
        <c:varyColors val="0"/>
        <c:ser>
          <c:idx val="0"/>
          <c:order val="0"/>
          <c:tx>
            <c:strRef>
              <c:f>'PIVOT TABLES'!$B$223</c:f>
              <c:strCache>
                <c:ptCount val="1"/>
                <c:pt idx="0">
                  <c:v>Total</c:v>
                </c:pt>
              </c:strCache>
            </c:strRef>
          </c:tx>
          <c:spPr>
            <a:solidFill>
              <a:schemeClr val="accent1"/>
            </a:solidFill>
            <a:ln>
              <a:noFill/>
            </a:ln>
            <a:effectLst/>
          </c:spPr>
          <c:invertIfNegative val="0"/>
          <c:dPt>
            <c:idx val="2"/>
            <c:invertIfNegative val="0"/>
            <c:bubble3D val="0"/>
            <c:spPr>
              <a:solidFill>
                <a:srgbClr val="00B050"/>
              </a:solidFill>
              <a:ln>
                <a:noFill/>
              </a:ln>
              <a:effectLst/>
            </c:spPr>
            <c:extLst>
              <c:ext xmlns:c16="http://schemas.microsoft.com/office/drawing/2014/chart" uri="{C3380CC4-5D6E-409C-BE32-E72D297353CC}">
                <c16:uniqueId val="{00000002-F6BB-4C5C-90DF-950E14E3A352}"/>
              </c:ext>
            </c:extLst>
          </c:dPt>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TABLES'!$A$224:$A$232</c:f>
              <c:strCache>
                <c:ptCount val="8"/>
                <c:pt idx="0">
                  <c:v>Bengaluru-01</c:v>
                </c:pt>
                <c:pt idx="1">
                  <c:v>Bhubaneswar-01</c:v>
                </c:pt>
                <c:pt idx="2">
                  <c:v>Chennai-01</c:v>
                </c:pt>
                <c:pt idx="3">
                  <c:v>Delhi-01</c:v>
                </c:pt>
                <c:pt idx="4">
                  <c:v>Kolkata-01</c:v>
                </c:pt>
                <c:pt idx="5">
                  <c:v>Lucknow-01</c:v>
                </c:pt>
                <c:pt idx="6">
                  <c:v>Mumbai-01</c:v>
                </c:pt>
                <c:pt idx="7">
                  <c:v>Pune-01</c:v>
                </c:pt>
              </c:strCache>
            </c:strRef>
          </c:cat>
          <c:val>
            <c:numRef>
              <c:f>'PIVOT TABLES'!$B$224:$B$232</c:f>
              <c:numCache>
                <c:formatCode>0</c:formatCode>
                <c:ptCount val="8"/>
                <c:pt idx="0">
                  <c:v>12450451</c:v>
                </c:pt>
                <c:pt idx="1">
                  <c:v>14516833</c:v>
                </c:pt>
                <c:pt idx="2">
                  <c:v>10339939</c:v>
                </c:pt>
                <c:pt idx="3">
                  <c:v>11170847</c:v>
                </c:pt>
                <c:pt idx="4">
                  <c:v>13011388</c:v>
                </c:pt>
                <c:pt idx="5">
                  <c:v>14166464</c:v>
                </c:pt>
                <c:pt idx="6">
                  <c:v>12673144</c:v>
                </c:pt>
                <c:pt idx="7">
                  <c:v>10972464</c:v>
                </c:pt>
              </c:numCache>
            </c:numRef>
          </c:val>
          <c:extLst>
            <c:ext xmlns:c16="http://schemas.microsoft.com/office/drawing/2014/chart" uri="{C3380CC4-5D6E-409C-BE32-E72D297353CC}">
              <c16:uniqueId val="{00000000-F6BB-4C5C-90DF-950E14E3A352}"/>
            </c:ext>
          </c:extLst>
        </c:ser>
        <c:dLbls>
          <c:dLblPos val="outEnd"/>
          <c:showLegendKey val="0"/>
          <c:showVal val="1"/>
          <c:showCatName val="0"/>
          <c:showSerName val="0"/>
          <c:showPercent val="0"/>
          <c:showBubbleSize val="0"/>
        </c:dLbls>
        <c:gapWidth val="219"/>
        <c:overlap val="-27"/>
        <c:axId val="1938727216"/>
        <c:axId val="1578226160"/>
      </c:barChart>
      <c:catAx>
        <c:axId val="1938727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1" i="0" u="none" strike="noStrike" kern="1200" baseline="0">
                <a:solidFill>
                  <a:schemeClr val="bg1"/>
                </a:solidFill>
                <a:latin typeface="+mn-lt"/>
                <a:ea typeface="+mn-ea"/>
                <a:cs typeface="+mn-cs"/>
              </a:defRPr>
            </a:pPr>
            <a:endParaRPr lang="en-US"/>
          </a:p>
        </c:txPr>
        <c:crossAx val="1578226160"/>
        <c:crosses val="autoZero"/>
        <c:auto val="1"/>
        <c:lblAlgn val="ctr"/>
        <c:lblOffset val="100"/>
        <c:noMultiLvlLbl val="0"/>
      </c:catAx>
      <c:valAx>
        <c:axId val="157822616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2800" b="1" i="0" u="none" strike="noStrike" kern="1200" baseline="0">
                <a:solidFill>
                  <a:schemeClr val="bg1"/>
                </a:solidFill>
                <a:latin typeface="+mn-lt"/>
                <a:ea typeface="+mn-ea"/>
                <a:cs typeface="+mn-cs"/>
              </a:defRPr>
            </a:pPr>
            <a:endParaRPr lang="en-US"/>
          </a:p>
        </c:txPr>
        <c:crossAx val="19387272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20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C0000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[Suvidha Finance Limited (1).xlsx]MAIN DASHBOARD PIVOTS!PivotTable31</c:name>
    <c:fmtId val="5"/>
  </c:pivotSource>
  <c:chart>
    <c:title>
      <c:tx>
        <c:rich>
          <a:bodyPr rot="0" spcFirstLastPara="1" vertOverflow="ellipsis" vert="horz" wrap="square" anchor="ctr" anchorCtr="1"/>
          <a:lstStyle/>
          <a:p>
            <a:pPr>
              <a:defRPr sz="8000" b="0" i="0" u="none" strike="noStrike" kern="1200" spc="0" baseline="0">
                <a:solidFill>
                  <a:schemeClr val="tx1">
                    <a:lumMod val="65000"/>
                    <a:lumOff val="35000"/>
                  </a:schemeClr>
                </a:solidFill>
                <a:latin typeface="+mn-lt"/>
                <a:ea typeface="+mn-ea"/>
                <a:cs typeface="+mn-cs"/>
              </a:defRPr>
            </a:pPr>
            <a:r>
              <a:rPr lang="en-IN" sz="8000" b="1"/>
              <a:t>MONTH</a:t>
            </a:r>
            <a:r>
              <a:rPr lang="en-IN" sz="8000" b="1" baseline="0"/>
              <a:t> BY LOAN AMOUNT VS COLLECTED</a:t>
            </a:r>
            <a:endParaRPr lang="en-IN" sz="8000" b="1"/>
          </a:p>
        </c:rich>
      </c:tx>
      <c:overlay val="0"/>
      <c:spPr>
        <a:noFill/>
        <a:ln>
          <a:noFill/>
        </a:ln>
        <a:effectLst/>
      </c:spPr>
      <c:txPr>
        <a:bodyPr rot="0" spcFirstLastPara="1" vertOverflow="ellipsis" vert="horz" wrap="square" anchor="ctr" anchorCtr="1"/>
        <a:lstStyle/>
        <a:p>
          <a:pPr>
            <a:defRPr sz="80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7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solidFill>
              <a:srgbClr val="4472C4">
                <a:lumMod val="60000"/>
                <a:lumOff val="4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5400" b="0"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ln w="28575" cap="rnd">
            <a:solidFill>
              <a:schemeClr val="accent2"/>
            </a:solidFill>
            <a:round/>
          </a:ln>
          <a:effectLst/>
        </c:spPr>
        <c:marker>
          <c:symbol val="none"/>
        </c:marker>
        <c:dLbl>
          <c:idx val="0"/>
          <c:layout>
            <c:manualLayout>
              <c:x val="-6.0824974438676009E-2"/>
              <c:y val="-7.6168110236220471E-2"/>
            </c:manualLayout>
          </c:layout>
          <c:spPr>
            <a:solidFill>
              <a:srgbClr val="4472C4">
                <a:lumMod val="60000"/>
                <a:lumOff val="4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54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ln w="28575" cap="rnd">
            <a:solidFill>
              <a:schemeClr val="accent2"/>
            </a:solidFill>
            <a:round/>
          </a:ln>
          <a:effectLst/>
        </c:spPr>
        <c:marker>
          <c:symbol val="none"/>
        </c:marker>
        <c:dLbl>
          <c:idx val="0"/>
          <c:layout>
            <c:manualLayout>
              <c:x val="-3.5528865557849565E-2"/>
              <c:y val="-0.15783477690288714"/>
            </c:manualLayout>
          </c:layout>
          <c:spPr>
            <a:solidFill>
              <a:srgbClr val="4472C4">
                <a:lumMod val="60000"/>
                <a:lumOff val="4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54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ln w="28575" cap="rnd">
            <a:solidFill>
              <a:schemeClr val="accent2"/>
            </a:solidFill>
            <a:round/>
          </a:ln>
          <a:effectLst/>
        </c:spPr>
        <c:marker>
          <c:symbol val="none"/>
        </c:marker>
        <c:dLbl>
          <c:idx val="0"/>
          <c:layout>
            <c:manualLayout>
              <c:x val="-5.8625312796865052E-2"/>
              <c:y val="-0.12283477690288713"/>
            </c:manualLayout>
          </c:layout>
          <c:spPr>
            <a:solidFill>
              <a:srgbClr val="4472C4">
                <a:lumMod val="60000"/>
                <a:lumOff val="4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54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ln w="28575" cap="rnd">
            <a:solidFill>
              <a:schemeClr val="accent2"/>
            </a:solidFill>
            <a:round/>
          </a:ln>
          <a:effectLst/>
        </c:spPr>
        <c:marker>
          <c:symbol val="none"/>
        </c:marker>
        <c:dLbl>
          <c:idx val="0"/>
          <c:layout>
            <c:manualLayout>
              <c:x val="-6.4124466901392507E-2"/>
              <c:y val="-9.2834776902887259E-2"/>
            </c:manualLayout>
          </c:layout>
          <c:spPr>
            <a:solidFill>
              <a:srgbClr val="4472C4">
                <a:lumMod val="60000"/>
                <a:lumOff val="4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54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ln w="28575" cap="rnd">
            <a:solidFill>
              <a:schemeClr val="accent2"/>
            </a:solidFill>
            <a:round/>
          </a:ln>
          <a:effectLst/>
        </c:spPr>
        <c:marker>
          <c:symbol val="none"/>
        </c:marker>
        <c:dLbl>
          <c:idx val="0"/>
          <c:layout>
            <c:manualLayout>
              <c:x val="-0.1299582181199207"/>
              <c:y val="4.5498556430446195E-2"/>
            </c:manualLayout>
          </c:layout>
          <c:spPr>
            <a:solidFill>
              <a:srgbClr val="4472C4">
                <a:lumMod val="60000"/>
                <a:lumOff val="4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54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ln w="28575" cap="rnd">
            <a:solidFill>
              <a:schemeClr val="accent2"/>
            </a:solidFill>
            <a:round/>
          </a:ln>
          <a:effectLst/>
        </c:spPr>
        <c:marker>
          <c:symbol val="none"/>
        </c:marker>
        <c:dLbl>
          <c:idx val="0"/>
          <c:layout>
            <c:manualLayout>
              <c:x val="5.1513867329486492E-2"/>
              <c:y val="-7.2834776902887144E-2"/>
            </c:manualLayout>
          </c:layout>
          <c:spPr>
            <a:solidFill>
              <a:srgbClr val="4472C4">
                <a:lumMod val="60000"/>
                <a:lumOff val="4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54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col"/>
        <c:grouping val="clustered"/>
        <c:varyColors val="0"/>
        <c:ser>
          <c:idx val="0"/>
          <c:order val="0"/>
          <c:tx>
            <c:strRef>
              <c:f>'MAIN DASHBOARD PIVOTS'!$B$1</c:f>
              <c:strCache>
                <c:ptCount val="1"/>
                <c:pt idx="0">
                  <c:v>Sum of LoanAmount</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7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'MAIN DASHBOARD PIVOTS'!$A$2:$A$8</c:f>
              <c:strCache>
                <c:ptCount val="6"/>
                <c:pt idx="0">
                  <c:v>Jan</c:v>
                </c:pt>
                <c:pt idx="1">
                  <c:v>Feb</c:v>
                </c:pt>
                <c:pt idx="2">
                  <c:v>Mar</c:v>
                </c:pt>
                <c:pt idx="3">
                  <c:v>Apr</c:v>
                </c:pt>
                <c:pt idx="4">
                  <c:v>May</c:v>
                </c:pt>
                <c:pt idx="5">
                  <c:v>Jun</c:v>
                </c:pt>
              </c:strCache>
            </c:strRef>
          </c:cat>
          <c:val>
            <c:numRef>
              <c:f>'MAIN DASHBOARD PIVOTS'!$B$2:$B$8</c:f>
              <c:numCache>
                <c:formatCode>#,##0</c:formatCode>
                <c:ptCount val="6"/>
                <c:pt idx="0">
                  <c:v>20734000</c:v>
                </c:pt>
                <c:pt idx="1">
                  <c:v>21663000</c:v>
                </c:pt>
                <c:pt idx="2">
                  <c:v>21818000</c:v>
                </c:pt>
                <c:pt idx="3">
                  <c:v>20642000</c:v>
                </c:pt>
                <c:pt idx="4">
                  <c:v>13097000</c:v>
                </c:pt>
                <c:pt idx="5">
                  <c:v>11421000</c:v>
                </c:pt>
              </c:numCache>
            </c:numRef>
          </c:val>
          <c:extLst>
            <c:ext xmlns:c16="http://schemas.microsoft.com/office/drawing/2014/chart" uri="{C3380CC4-5D6E-409C-BE32-E72D297353CC}">
              <c16:uniqueId val="{00000000-712B-49AD-8E56-21E744377B75}"/>
            </c:ext>
          </c:extLst>
        </c:ser>
        <c:dLbls>
          <c:dLblPos val="inEnd"/>
          <c:showLegendKey val="0"/>
          <c:showVal val="1"/>
          <c:showCatName val="0"/>
          <c:showSerName val="0"/>
          <c:showPercent val="0"/>
          <c:showBubbleSize val="0"/>
        </c:dLbls>
        <c:gapWidth val="150"/>
        <c:axId val="2038151472"/>
        <c:axId val="1578207440"/>
      </c:barChart>
      <c:lineChart>
        <c:grouping val="standard"/>
        <c:varyColors val="0"/>
        <c:ser>
          <c:idx val="1"/>
          <c:order val="1"/>
          <c:tx>
            <c:strRef>
              <c:f>'MAIN DASHBOARD PIVOTS'!$C$1</c:f>
              <c:strCache>
                <c:ptCount val="1"/>
                <c:pt idx="0">
                  <c:v>Sum of AmountCollectedTillDate</c:v>
                </c:pt>
              </c:strCache>
            </c:strRef>
          </c:tx>
          <c:spPr>
            <a:ln w="28575" cap="rnd">
              <a:solidFill>
                <a:schemeClr val="accent2"/>
              </a:solidFill>
              <a:round/>
            </a:ln>
            <a:effectLst/>
          </c:spPr>
          <c:marker>
            <c:symbol val="none"/>
          </c:marker>
          <c:dPt>
            <c:idx val="0"/>
            <c:marker>
              <c:symbol val="none"/>
            </c:marker>
            <c:bubble3D val="0"/>
            <c:spPr>
              <a:ln w="28575" cap="rnd">
                <a:solidFill>
                  <a:schemeClr val="accent2"/>
                </a:solidFill>
                <a:round/>
              </a:ln>
              <a:effectLst/>
            </c:spPr>
            <c:extLst>
              <c:ext xmlns:c16="http://schemas.microsoft.com/office/drawing/2014/chart" uri="{C3380CC4-5D6E-409C-BE32-E72D297353CC}">
                <c16:uniqueId val="{00000000-0F48-4A16-BF53-1939819233F0}"/>
              </c:ext>
            </c:extLst>
          </c:dPt>
          <c:dPt>
            <c:idx val="1"/>
            <c:marker>
              <c:symbol val="none"/>
            </c:marker>
            <c:bubble3D val="0"/>
            <c:spPr>
              <a:ln w="28575" cap="rnd">
                <a:solidFill>
                  <a:schemeClr val="accent2"/>
                </a:solidFill>
                <a:round/>
              </a:ln>
              <a:effectLst/>
            </c:spPr>
            <c:extLst>
              <c:ext xmlns:c16="http://schemas.microsoft.com/office/drawing/2014/chart" uri="{C3380CC4-5D6E-409C-BE32-E72D297353CC}">
                <c16:uniqueId val="{00000001-0F48-4A16-BF53-1939819233F0}"/>
              </c:ext>
            </c:extLst>
          </c:dPt>
          <c:dPt>
            <c:idx val="2"/>
            <c:marker>
              <c:symbol val="none"/>
            </c:marker>
            <c:bubble3D val="0"/>
            <c:spPr>
              <a:ln w="28575" cap="rnd">
                <a:solidFill>
                  <a:schemeClr val="accent2"/>
                </a:solidFill>
                <a:round/>
              </a:ln>
              <a:effectLst/>
            </c:spPr>
            <c:extLst>
              <c:ext xmlns:c16="http://schemas.microsoft.com/office/drawing/2014/chart" uri="{C3380CC4-5D6E-409C-BE32-E72D297353CC}">
                <c16:uniqueId val="{00000002-0F48-4A16-BF53-1939819233F0}"/>
              </c:ext>
            </c:extLst>
          </c:dPt>
          <c:dPt>
            <c:idx val="3"/>
            <c:marker>
              <c:symbol val="none"/>
            </c:marker>
            <c:bubble3D val="0"/>
            <c:spPr>
              <a:ln w="28575" cap="rnd">
                <a:solidFill>
                  <a:schemeClr val="accent2"/>
                </a:solidFill>
                <a:round/>
              </a:ln>
              <a:effectLst/>
            </c:spPr>
            <c:extLst>
              <c:ext xmlns:c16="http://schemas.microsoft.com/office/drawing/2014/chart" uri="{C3380CC4-5D6E-409C-BE32-E72D297353CC}">
                <c16:uniqueId val="{00000003-0F48-4A16-BF53-1939819233F0}"/>
              </c:ext>
            </c:extLst>
          </c:dPt>
          <c:dPt>
            <c:idx val="4"/>
            <c:marker>
              <c:symbol val="none"/>
            </c:marker>
            <c:bubble3D val="0"/>
            <c:spPr>
              <a:ln w="28575" cap="rnd">
                <a:solidFill>
                  <a:schemeClr val="accent2"/>
                </a:solidFill>
                <a:round/>
              </a:ln>
              <a:effectLst/>
            </c:spPr>
            <c:extLst>
              <c:ext xmlns:c16="http://schemas.microsoft.com/office/drawing/2014/chart" uri="{C3380CC4-5D6E-409C-BE32-E72D297353CC}">
                <c16:uniqueId val="{00000004-0F48-4A16-BF53-1939819233F0}"/>
              </c:ext>
            </c:extLst>
          </c:dPt>
          <c:dPt>
            <c:idx val="5"/>
            <c:marker>
              <c:symbol val="none"/>
            </c:marker>
            <c:bubble3D val="0"/>
            <c:spPr>
              <a:ln w="28575" cap="rnd">
                <a:solidFill>
                  <a:schemeClr val="accent2"/>
                </a:solidFill>
                <a:round/>
              </a:ln>
              <a:effectLst/>
            </c:spPr>
            <c:extLst>
              <c:ext xmlns:c16="http://schemas.microsoft.com/office/drawing/2014/chart" uri="{C3380CC4-5D6E-409C-BE32-E72D297353CC}">
                <c16:uniqueId val="{00000005-0F48-4A16-BF53-1939819233F0}"/>
              </c:ext>
            </c:extLst>
          </c:dPt>
          <c:dLbls>
            <c:dLbl>
              <c:idx val="0"/>
              <c:layout>
                <c:manualLayout>
                  <c:x val="-6.0824974438676009E-2"/>
                  <c:y val="-7.616811023622047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0F48-4A16-BF53-1939819233F0}"/>
                </c:ext>
              </c:extLst>
            </c:dLbl>
            <c:dLbl>
              <c:idx val="1"/>
              <c:layout>
                <c:manualLayout>
                  <c:x val="-3.5528865557849565E-2"/>
                  <c:y val="-0.15783477690288714"/>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F48-4A16-BF53-1939819233F0}"/>
                </c:ext>
              </c:extLst>
            </c:dLbl>
            <c:dLbl>
              <c:idx val="2"/>
              <c:layout>
                <c:manualLayout>
                  <c:x val="-5.8625312796865052E-2"/>
                  <c:y val="-0.1228347769028871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0F48-4A16-BF53-1939819233F0}"/>
                </c:ext>
              </c:extLst>
            </c:dLbl>
            <c:dLbl>
              <c:idx val="3"/>
              <c:layout>
                <c:manualLayout>
                  <c:x val="-6.4124466901392507E-2"/>
                  <c:y val="-9.283477690288725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F48-4A16-BF53-1939819233F0}"/>
                </c:ext>
              </c:extLst>
            </c:dLbl>
            <c:dLbl>
              <c:idx val="4"/>
              <c:layout>
                <c:manualLayout>
                  <c:x val="-0.1299582181199207"/>
                  <c:y val="4.549855643044619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F48-4A16-BF53-1939819233F0}"/>
                </c:ext>
              </c:extLst>
            </c:dLbl>
            <c:dLbl>
              <c:idx val="5"/>
              <c:layout>
                <c:manualLayout>
                  <c:x val="5.1513867329486492E-2"/>
                  <c:y val="-7.283477690288714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F48-4A16-BF53-1939819233F0}"/>
                </c:ext>
              </c:extLst>
            </c:dLbl>
            <c:spPr>
              <a:solidFill>
                <a:srgbClr val="4472C4">
                  <a:lumMod val="60000"/>
                  <a:lumOff val="4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5400" b="0"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'MAIN DASHBOARD PIVOTS'!$A$2:$A$8</c:f>
              <c:strCache>
                <c:ptCount val="6"/>
                <c:pt idx="0">
                  <c:v>Jan</c:v>
                </c:pt>
                <c:pt idx="1">
                  <c:v>Feb</c:v>
                </c:pt>
                <c:pt idx="2">
                  <c:v>Mar</c:v>
                </c:pt>
                <c:pt idx="3">
                  <c:v>Apr</c:v>
                </c:pt>
                <c:pt idx="4">
                  <c:v>May</c:v>
                </c:pt>
                <c:pt idx="5">
                  <c:v>Jun</c:v>
                </c:pt>
              </c:strCache>
            </c:strRef>
          </c:cat>
          <c:val>
            <c:numRef>
              <c:f>'MAIN DASHBOARD PIVOTS'!$C$2:$C$8</c:f>
              <c:numCache>
                <c:formatCode>#,##0</c:formatCode>
                <c:ptCount val="6"/>
                <c:pt idx="0">
                  <c:v>4387565</c:v>
                </c:pt>
                <c:pt idx="1">
                  <c:v>3784489</c:v>
                </c:pt>
                <c:pt idx="2">
                  <c:v>2519338</c:v>
                </c:pt>
                <c:pt idx="3">
                  <c:v>1670725</c:v>
                </c:pt>
                <c:pt idx="4">
                  <c:v>906181</c:v>
                </c:pt>
                <c:pt idx="5">
                  <c:v>433928</c:v>
                </c:pt>
              </c:numCache>
            </c:numRef>
          </c:val>
          <c:smooth val="0"/>
          <c:extLst>
            <c:ext xmlns:c16="http://schemas.microsoft.com/office/drawing/2014/chart" uri="{C3380CC4-5D6E-409C-BE32-E72D297353CC}">
              <c16:uniqueId val="{00000001-712B-49AD-8E56-21E744377B75}"/>
            </c:ext>
          </c:extLst>
        </c:ser>
        <c:dLbls>
          <c:showLegendKey val="0"/>
          <c:showVal val="1"/>
          <c:showCatName val="0"/>
          <c:showSerName val="0"/>
          <c:showPercent val="0"/>
          <c:showBubbleSize val="0"/>
        </c:dLbls>
        <c:marker val="1"/>
        <c:smooth val="0"/>
        <c:axId val="2038151472"/>
        <c:axId val="1578207440"/>
      </c:lineChart>
      <c:catAx>
        <c:axId val="203815147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6000" b="1" i="0" u="none" strike="noStrike" kern="1200" baseline="0">
                <a:solidFill>
                  <a:schemeClr val="tx1">
                    <a:lumMod val="65000"/>
                    <a:lumOff val="35000"/>
                  </a:schemeClr>
                </a:solidFill>
                <a:latin typeface="+mn-lt"/>
                <a:ea typeface="+mn-ea"/>
                <a:cs typeface="+mn-cs"/>
              </a:defRPr>
            </a:pPr>
            <a:endParaRPr lang="en-US"/>
          </a:p>
        </c:txPr>
        <c:crossAx val="1578207440"/>
        <c:crosses val="autoZero"/>
        <c:auto val="1"/>
        <c:lblAlgn val="ctr"/>
        <c:lblOffset val="100"/>
        <c:noMultiLvlLbl val="0"/>
      </c:catAx>
      <c:valAx>
        <c:axId val="157820744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5400" b="1" i="0" u="none" strike="noStrike" kern="1200" baseline="0">
                <a:solidFill>
                  <a:schemeClr val="tx1">
                    <a:lumMod val="65000"/>
                    <a:lumOff val="35000"/>
                  </a:schemeClr>
                </a:solidFill>
                <a:latin typeface="+mn-lt"/>
                <a:ea typeface="+mn-ea"/>
                <a:cs typeface="+mn-cs"/>
              </a:defRPr>
            </a:pPr>
            <a:endParaRPr lang="en-US"/>
          </a:p>
        </c:txPr>
        <c:crossAx val="2038151472"/>
        <c:crosses val="autoZero"/>
        <c:crossBetween val="between"/>
      </c:valAx>
      <c:spPr>
        <a:noFill/>
        <a:ln>
          <a:noFill/>
        </a:ln>
        <a:effectLst/>
      </c:spPr>
    </c:plotArea>
    <c:legend>
      <c:legendPos val="r"/>
      <c:layout>
        <c:manualLayout>
          <c:xMode val="edge"/>
          <c:yMode val="edge"/>
          <c:x val="0.68022287957696281"/>
          <c:y val="0.26991433312538782"/>
          <c:w val="0.31977712042303719"/>
          <c:h val="0.39123175570326085"/>
        </c:manualLayout>
      </c:layout>
      <c:overlay val="0"/>
      <c:spPr>
        <a:noFill/>
        <a:ln>
          <a:noFill/>
        </a:ln>
        <a:effectLst/>
      </c:spPr>
      <c:txPr>
        <a:bodyPr rot="0" spcFirstLastPara="1" vertOverflow="ellipsis" vert="horz" wrap="square" anchor="ctr" anchorCtr="1"/>
        <a:lstStyle/>
        <a:p>
          <a:pPr>
            <a:defRPr sz="48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8000" b="1" i="0" u="none" strike="noStrike" kern="1200" spc="0" baseline="0">
                <a:solidFill>
                  <a:schemeClr val="tx1">
                    <a:lumMod val="65000"/>
                    <a:lumOff val="35000"/>
                  </a:schemeClr>
                </a:solidFill>
                <a:latin typeface="+mn-lt"/>
                <a:ea typeface="+mn-ea"/>
                <a:cs typeface="+mn-cs"/>
              </a:defRPr>
            </a:pPr>
            <a:r>
              <a:rPr lang="en-IN" sz="8000" b="1"/>
              <a:t>NPA%</a:t>
            </a:r>
            <a:r>
              <a:rPr lang="en-IN" sz="8000" b="1" baseline="0"/>
              <a:t> BY BRANCH</a:t>
            </a:r>
            <a:endParaRPr lang="en-IN" sz="8000" b="1"/>
          </a:p>
        </c:rich>
      </c:tx>
      <c:overlay val="0"/>
      <c:spPr>
        <a:noFill/>
        <a:ln>
          <a:noFill/>
        </a:ln>
        <a:effectLst/>
      </c:spPr>
      <c:txPr>
        <a:bodyPr rot="0" spcFirstLastPara="1" vertOverflow="ellipsis" vert="horz" wrap="square" anchor="ctr" anchorCtr="1"/>
        <a:lstStyle/>
        <a:p>
          <a:pPr>
            <a:defRPr sz="8000" b="1"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barChart>
        <c:barDir val="col"/>
        <c:grouping val="clustered"/>
        <c:varyColors val="0"/>
        <c:ser>
          <c:idx val="1"/>
          <c:order val="1"/>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'MAIN DASHBOARD PIVOTS'!$G$18:$G$25</c:f>
              <c:strCache>
                <c:ptCount val="8"/>
                <c:pt idx="0">
                  <c:v>Bengaluru-01</c:v>
                </c:pt>
                <c:pt idx="1">
                  <c:v>Bhubaneswar-01</c:v>
                </c:pt>
                <c:pt idx="2">
                  <c:v>Chennai-01</c:v>
                </c:pt>
                <c:pt idx="3">
                  <c:v>Delhi-01</c:v>
                </c:pt>
                <c:pt idx="4">
                  <c:v>Kolkata-01</c:v>
                </c:pt>
                <c:pt idx="5">
                  <c:v>Lucknow-01</c:v>
                </c:pt>
                <c:pt idx="6">
                  <c:v>Mumbai-01</c:v>
                </c:pt>
                <c:pt idx="7">
                  <c:v>Pune-01</c:v>
                </c:pt>
              </c:strCache>
            </c:strRef>
          </c:cat>
          <c:val>
            <c:numRef>
              <c:f>'MAIN DASHBOARD PIVOTS'!$I$18:$I$25</c:f>
              <c:numCache>
                <c:formatCode>0.0%</c:formatCode>
                <c:ptCount val="8"/>
                <c:pt idx="0">
                  <c:v>9.5238095238095233E-2</c:v>
                </c:pt>
                <c:pt idx="1">
                  <c:v>0.04</c:v>
                </c:pt>
                <c:pt idx="2">
                  <c:v>0.10714285714285714</c:v>
                </c:pt>
                <c:pt idx="3">
                  <c:v>8.3333333333333329E-2</c:v>
                </c:pt>
                <c:pt idx="4">
                  <c:v>7.407407407407407E-2</c:v>
                </c:pt>
                <c:pt idx="5">
                  <c:v>8.3333333333333329E-2</c:v>
                </c:pt>
                <c:pt idx="6">
                  <c:v>6.4516129032258063E-2</c:v>
                </c:pt>
                <c:pt idx="7">
                  <c:v>0.1</c:v>
                </c:pt>
              </c:numCache>
            </c:numRef>
          </c:val>
          <c:extLst>
            <c:ext xmlns:c16="http://schemas.microsoft.com/office/drawing/2014/chart" uri="{C3380CC4-5D6E-409C-BE32-E72D297353CC}">
              <c16:uniqueId val="{00000000-1743-4B28-BD08-4F08C986D8B1}"/>
            </c:ext>
          </c:extLst>
        </c:ser>
        <c:dLbls>
          <c:dLblPos val="outEnd"/>
          <c:showLegendKey val="0"/>
          <c:showVal val="1"/>
          <c:showCatName val="0"/>
          <c:showSerName val="0"/>
          <c:showPercent val="0"/>
          <c:showBubbleSize val="0"/>
        </c:dLbls>
        <c:gapWidth val="219"/>
        <c:overlap val="-27"/>
        <c:axId val="1982626304"/>
        <c:axId val="1578217040"/>
        <c:extLst>
          <c:ext xmlns:c15="http://schemas.microsoft.com/office/drawing/2012/chart" uri="{02D57815-91ED-43cb-92C2-25804820EDAC}">
            <c15:filteredBarSeries>
              <c15: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ormulaRef>
                          <c15:sqref>'MAIN DASHBOARD PIVOTS'!$G$18:$G$25</c15:sqref>
                        </c15:formulaRef>
                      </c:ext>
                    </c:extLst>
                    <c:strCache>
                      <c:ptCount val="8"/>
                      <c:pt idx="0">
                        <c:v>Bengaluru-01</c:v>
                      </c:pt>
                      <c:pt idx="1">
                        <c:v>Bhubaneswar-01</c:v>
                      </c:pt>
                      <c:pt idx="2">
                        <c:v>Chennai-01</c:v>
                      </c:pt>
                      <c:pt idx="3">
                        <c:v>Delhi-01</c:v>
                      </c:pt>
                      <c:pt idx="4">
                        <c:v>Kolkata-01</c:v>
                      </c:pt>
                      <c:pt idx="5">
                        <c:v>Lucknow-01</c:v>
                      </c:pt>
                      <c:pt idx="6">
                        <c:v>Mumbai-01</c:v>
                      </c:pt>
                      <c:pt idx="7">
                        <c:v>Pune-01</c:v>
                      </c:pt>
                    </c:strCache>
                  </c:strRef>
                </c:cat>
                <c:val>
                  <c:numRef>
                    <c:extLst>
                      <c:ext uri="{02D57815-91ED-43cb-92C2-25804820EDAC}">
                        <c15:formulaRef>
                          <c15:sqref>'MAIN DASHBOARD PIVOTS'!$H$18:$H$25</c15:sqref>
                        </c15:formulaRef>
                      </c:ext>
                    </c:extLst>
                    <c:numCache>
                      <c:formatCode>General</c:formatCode>
                      <c:ptCount val="8"/>
                    </c:numCache>
                  </c:numRef>
                </c:val>
                <c:extLst>
                  <c:ext xmlns:c16="http://schemas.microsoft.com/office/drawing/2014/chart" uri="{C3380CC4-5D6E-409C-BE32-E72D297353CC}">
                    <c16:uniqueId val="{00000001-1743-4B28-BD08-4F08C986D8B1}"/>
                  </c:ext>
                </c:extLst>
              </c15:ser>
            </c15:filteredBarSeries>
          </c:ext>
        </c:extLst>
      </c:barChart>
      <c:catAx>
        <c:axId val="1982626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5400" b="1" i="0" u="none" strike="noStrike" kern="1200" baseline="0">
                <a:solidFill>
                  <a:schemeClr val="tx1">
                    <a:lumMod val="65000"/>
                    <a:lumOff val="35000"/>
                  </a:schemeClr>
                </a:solidFill>
                <a:latin typeface="+mn-lt"/>
                <a:ea typeface="+mn-ea"/>
                <a:cs typeface="+mn-cs"/>
              </a:defRPr>
            </a:pPr>
            <a:endParaRPr lang="en-US"/>
          </a:p>
        </c:txPr>
        <c:crossAx val="1578217040"/>
        <c:crosses val="autoZero"/>
        <c:auto val="1"/>
        <c:lblAlgn val="ctr"/>
        <c:lblOffset val="100"/>
        <c:noMultiLvlLbl val="0"/>
      </c:catAx>
      <c:valAx>
        <c:axId val="1578217040"/>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6600" b="1" i="0" u="none" strike="noStrike" kern="1200" baseline="0">
                <a:solidFill>
                  <a:schemeClr val="tx1">
                    <a:lumMod val="65000"/>
                    <a:lumOff val="35000"/>
                  </a:schemeClr>
                </a:solidFill>
                <a:latin typeface="+mn-lt"/>
                <a:ea typeface="+mn-ea"/>
                <a:cs typeface="+mn-cs"/>
              </a:defRPr>
            </a:pPr>
            <a:endParaRPr lang="en-US"/>
          </a:p>
        </c:txPr>
        <c:crossAx val="198262630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8000" b="1" i="0" u="none" strike="noStrike" kern="1200" spc="0" baseline="0">
                <a:solidFill>
                  <a:schemeClr val="tx1">
                    <a:lumMod val="65000"/>
                    <a:lumOff val="35000"/>
                  </a:schemeClr>
                </a:solidFill>
                <a:latin typeface="+mn-lt"/>
                <a:ea typeface="+mn-ea"/>
                <a:cs typeface="+mn-cs"/>
              </a:defRPr>
            </a:pPr>
            <a:r>
              <a:rPr lang="en-IN" sz="8000" b="1"/>
              <a:t>NPA</a:t>
            </a:r>
            <a:r>
              <a:rPr lang="en-IN" sz="8000" b="1" baseline="0"/>
              <a:t> % BY LOAN PRODUCT</a:t>
            </a:r>
            <a:endParaRPr lang="en-IN" sz="8000" b="1"/>
          </a:p>
        </c:rich>
      </c:tx>
      <c:overlay val="0"/>
      <c:spPr>
        <a:noFill/>
        <a:ln>
          <a:noFill/>
        </a:ln>
        <a:effectLst/>
      </c:spPr>
      <c:txPr>
        <a:bodyPr rot="0" spcFirstLastPara="1" vertOverflow="ellipsis" vert="horz" wrap="square" anchor="ctr" anchorCtr="1"/>
        <a:lstStyle/>
        <a:p>
          <a:pPr>
            <a:defRPr sz="8000" b="1"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36244078192603157"/>
          <c:y val="8.7967937964957679E-2"/>
          <c:w val="0.58847210672615002"/>
          <c:h val="0.8340272275306353"/>
        </c:manualLayout>
      </c:layout>
      <c:barChart>
        <c:barDir val="bar"/>
        <c:grouping val="clustered"/>
        <c:varyColors val="0"/>
        <c:ser>
          <c:idx val="1"/>
          <c:order val="1"/>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'MAIN DASHBOARD PIVOTS'!$G$33:$G$37</c:f>
              <c:strCache>
                <c:ptCount val="5"/>
                <c:pt idx="0">
                  <c:v>Business Loan</c:v>
                </c:pt>
                <c:pt idx="1">
                  <c:v>Gold Loan</c:v>
                </c:pt>
                <c:pt idx="2">
                  <c:v>Home Improvement Loan</c:v>
                </c:pt>
                <c:pt idx="3">
                  <c:v>Personal Loan</c:v>
                </c:pt>
                <c:pt idx="4">
                  <c:v>Vehicle Loan</c:v>
                </c:pt>
              </c:strCache>
            </c:strRef>
          </c:cat>
          <c:val>
            <c:numRef>
              <c:f>'MAIN DASHBOARD PIVOTS'!$I$33:$I$37</c:f>
              <c:numCache>
                <c:formatCode>0.0%</c:formatCode>
                <c:ptCount val="5"/>
                <c:pt idx="0">
                  <c:v>8.3333333333333329E-2</c:v>
                </c:pt>
                <c:pt idx="1">
                  <c:v>2.5000000000000001E-2</c:v>
                </c:pt>
                <c:pt idx="2">
                  <c:v>8.8235294117647065E-2</c:v>
                </c:pt>
                <c:pt idx="3">
                  <c:v>0.13636363636363635</c:v>
                </c:pt>
                <c:pt idx="4">
                  <c:v>6.5217391304347824E-2</c:v>
                </c:pt>
              </c:numCache>
            </c:numRef>
          </c:val>
          <c:extLst>
            <c:ext xmlns:c16="http://schemas.microsoft.com/office/drawing/2014/chart" uri="{C3380CC4-5D6E-409C-BE32-E72D297353CC}">
              <c16:uniqueId val="{00000000-E592-4C8D-A23D-5EF22315EF03}"/>
            </c:ext>
          </c:extLst>
        </c:ser>
        <c:dLbls>
          <c:dLblPos val="outEnd"/>
          <c:showLegendKey val="0"/>
          <c:showVal val="1"/>
          <c:showCatName val="0"/>
          <c:showSerName val="0"/>
          <c:showPercent val="0"/>
          <c:showBubbleSize val="0"/>
        </c:dLbls>
        <c:gapWidth val="182"/>
        <c:axId val="1942343072"/>
        <c:axId val="1578163280"/>
        <c:extLst>
          <c:ext xmlns:c15="http://schemas.microsoft.com/office/drawing/2012/chart" uri="{02D57815-91ED-43cb-92C2-25804820EDAC}">
            <c15:filteredBarSeries>
              <c15: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ormulaRef>
                          <c15:sqref>'MAIN DASHBOARD PIVOTS'!$G$33:$G$37</c15:sqref>
                        </c15:formulaRef>
                      </c:ext>
                    </c:extLst>
                    <c:strCache>
                      <c:ptCount val="5"/>
                      <c:pt idx="0">
                        <c:v>Business Loan</c:v>
                      </c:pt>
                      <c:pt idx="1">
                        <c:v>Gold Loan</c:v>
                      </c:pt>
                      <c:pt idx="2">
                        <c:v>Home Improvement Loan</c:v>
                      </c:pt>
                      <c:pt idx="3">
                        <c:v>Personal Loan</c:v>
                      </c:pt>
                      <c:pt idx="4">
                        <c:v>Vehicle Loan</c:v>
                      </c:pt>
                    </c:strCache>
                  </c:strRef>
                </c:cat>
                <c:val>
                  <c:numRef>
                    <c:extLst>
                      <c:ext uri="{02D57815-91ED-43cb-92C2-25804820EDAC}">
                        <c15:formulaRef>
                          <c15:sqref>'MAIN DASHBOARD PIVOTS'!$H$33:$H$37</c15:sqref>
                        </c15:formulaRef>
                      </c:ext>
                    </c:extLst>
                    <c:numCache>
                      <c:formatCode>General</c:formatCode>
                      <c:ptCount val="5"/>
                    </c:numCache>
                  </c:numRef>
                </c:val>
                <c:extLst>
                  <c:ext xmlns:c16="http://schemas.microsoft.com/office/drawing/2014/chart" uri="{C3380CC4-5D6E-409C-BE32-E72D297353CC}">
                    <c16:uniqueId val="{00000001-E592-4C8D-A23D-5EF22315EF03}"/>
                  </c:ext>
                </c:extLst>
              </c15:ser>
            </c15:filteredBarSeries>
          </c:ext>
        </c:extLst>
      </c:barChart>
      <c:catAx>
        <c:axId val="19423430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5400" b="1" i="0" u="none" strike="noStrike" kern="1200" baseline="0">
                <a:solidFill>
                  <a:schemeClr val="tx1">
                    <a:lumMod val="65000"/>
                    <a:lumOff val="35000"/>
                  </a:schemeClr>
                </a:solidFill>
                <a:latin typeface="+mn-lt"/>
                <a:ea typeface="+mn-ea"/>
                <a:cs typeface="+mn-cs"/>
              </a:defRPr>
            </a:pPr>
            <a:endParaRPr lang="en-US"/>
          </a:p>
        </c:txPr>
        <c:crossAx val="1578163280"/>
        <c:crosses val="autoZero"/>
        <c:auto val="1"/>
        <c:lblAlgn val="ctr"/>
        <c:lblOffset val="100"/>
        <c:noMultiLvlLbl val="0"/>
      </c:catAx>
      <c:valAx>
        <c:axId val="1578163280"/>
        <c:scaling>
          <c:orientation val="minMax"/>
        </c:scaling>
        <c:delete val="0"/>
        <c:axPos val="b"/>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6600" b="1" i="0" u="none" strike="noStrike" kern="1200" baseline="0">
                <a:solidFill>
                  <a:schemeClr val="tx1">
                    <a:lumMod val="65000"/>
                    <a:lumOff val="35000"/>
                  </a:schemeClr>
                </a:solidFill>
                <a:latin typeface="+mn-lt"/>
                <a:ea typeface="+mn-ea"/>
                <a:cs typeface="+mn-cs"/>
              </a:defRPr>
            </a:pPr>
            <a:endParaRPr lang="en-US"/>
          </a:p>
        </c:txPr>
        <c:crossAx val="194234307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8000" b="1" i="0" u="none" strike="noStrike" kern="1200" spc="0" baseline="0">
                <a:solidFill>
                  <a:schemeClr val="tx1">
                    <a:lumMod val="65000"/>
                    <a:lumOff val="35000"/>
                  </a:schemeClr>
                </a:solidFill>
                <a:latin typeface="+mn-lt"/>
                <a:ea typeface="+mn-ea"/>
                <a:cs typeface="+mn-cs"/>
              </a:defRPr>
            </a:pPr>
            <a:r>
              <a:rPr lang="en-IN" sz="8000" b="1"/>
              <a:t>NPA</a:t>
            </a:r>
            <a:r>
              <a:rPr lang="en-IN" sz="8000" b="1" baseline="0"/>
              <a:t> % BY REGION</a:t>
            </a:r>
            <a:endParaRPr lang="en-IN" sz="8000" b="1"/>
          </a:p>
        </c:rich>
      </c:tx>
      <c:overlay val="0"/>
      <c:spPr>
        <a:noFill/>
        <a:ln>
          <a:noFill/>
        </a:ln>
        <a:effectLst/>
      </c:spPr>
      <c:txPr>
        <a:bodyPr rot="0" spcFirstLastPara="1" vertOverflow="ellipsis" vert="horz" wrap="square" anchor="ctr" anchorCtr="1"/>
        <a:lstStyle/>
        <a:p>
          <a:pPr>
            <a:defRPr sz="8000" b="1"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BF2-4FBD-8A5F-EC1634172D1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BF2-4FBD-8A5F-EC1634172D1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BF2-4FBD-8A5F-EC1634172D1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BF2-4FBD-8A5F-EC1634172D18}"/>
              </c:ext>
            </c:extLst>
          </c:dPt>
          <c:dLbls>
            <c:spPr>
              <a:noFill/>
              <a:ln>
                <a:noFill/>
              </a:ln>
              <a:effectLst/>
            </c:spPr>
            <c:txPr>
              <a:bodyPr rot="0" spcFirstLastPara="1" vertOverflow="ellipsis" vert="horz" wrap="square" lIns="38100" tIns="19050" rIns="38100" bIns="19050" anchor="ctr" anchorCtr="1">
                <a:spAutoFit/>
              </a:bodyPr>
              <a:lstStyle/>
              <a:p>
                <a:pPr>
                  <a:defRPr sz="7200" b="1" i="0" u="none" strike="noStrike" kern="1200" baseline="0">
                    <a:solidFill>
                      <a:schemeClr val="tx1"/>
                    </a:solidFill>
                    <a:latin typeface="+mn-lt"/>
                    <a:ea typeface="+mn-ea"/>
                    <a:cs typeface="+mn-cs"/>
                  </a:defRPr>
                </a:pPr>
                <a:endParaRPr lang="en-US"/>
              </a:p>
            </c:txPr>
            <c:dLblPos val="bestFit"/>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'MAIN DASHBOARD PIVOTS'!$G$46:$G$49</c:f>
              <c:strCache>
                <c:ptCount val="4"/>
                <c:pt idx="0">
                  <c:v>East</c:v>
                </c:pt>
                <c:pt idx="1">
                  <c:v>North</c:v>
                </c:pt>
                <c:pt idx="2">
                  <c:v>South</c:v>
                </c:pt>
                <c:pt idx="3">
                  <c:v>West</c:v>
                </c:pt>
              </c:strCache>
            </c:strRef>
          </c:cat>
          <c:val>
            <c:numRef>
              <c:f>'MAIN DASHBOARD PIVOTS'!$H$46:$H$49</c:f>
              <c:numCache>
                <c:formatCode>0.0%</c:formatCode>
                <c:ptCount val="4"/>
                <c:pt idx="0">
                  <c:v>5.7692307692307696E-2</c:v>
                </c:pt>
                <c:pt idx="1">
                  <c:v>8.3333333333333329E-2</c:v>
                </c:pt>
                <c:pt idx="2">
                  <c:v>0.10204081632653061</c:v>
                </c:pt>
                <c:pt idx="3">
                  <c:v>7.8431372549019607E-2</c:v>
                </c:pt>
              </c:numCache>
            </c:numRef>
          </c:val>
          <c:extLst>
            <c:ext xmlns:c16="http://schemas.microsoft.com/office/drawing/2014/chart" uri="{C3380CC4-5D6E-409C-BE32-E72D297353CC}">
              <c16:uniqueId val="{00000008-4BF2-4FBD-8A5F-EC1634172D18}"/>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54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[Suvidha Finance Limited (1).xlsx]MAIN DASHBOARD PIVOTS!PivotTable53</c:name>
    <c:fmtId val="6"/>
  </c:pivotSource>
  <c:chart>
    <c:title>
      <c:tx>
        <c:rich>
          <a:bodyPr rot="0" spcFirstLastPara="1" vertOverflow="ellipsis" vert="horz" wrap="square" anchor="ctr" anchorCtr="1"/>
          <a:lstStyle/>
          <a:p>
            <a:pPr>
              <a:defRPr sz="8000" b="1" i="0" u="none" strike="noStrike" kern="1200" spc="0" baseline="0">
                <a:solidFill>
                  <a:schemeClr val="tx1">
                    <a:lumMod val="65000"/>
                    <a:lumOff val="35000"/>
                  </a:schemeClr>
                </a:solidFill>
                <a:latin typeface="+mn-lt"/>
                <a:ea typeface="+mn-ea"/>
                <a:cs typeface="+mn-cs"/>
              </a:defRPr>
            </a:pPr>
            <a:r>
              <a:rPr lang="en-IN" sz="8000" b="1"/>
              <a:t>INTEREST INCOME BY BRANCH</a:t>
            </a:r>
          </a:p>
        </c:rich>
      </c:tx>
      <c:overlay val="0"/>
      <c:spPr>
        <a:noFill/>
        <a:ln>
          <a:noFill/>
        </a:ln>
        <a:effectLst/>
      </c:spPr>
      <c:txPr>
        <a:bodyPr rot="0" spcFirstLastPara="1" vertOverflow="ellipsis" vert="horz" wrap="square" anchor="ctr" anchorCtr="1"/>
        <a:lstStyle/>
        <a:p>
          <a:pPr>
            <a:defRPr sz="80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'MAIN DASHBOARD PIVOTS'!$B$84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'MAIN DASHBOARD PIVOTS'!$A$85:$A$93</c:f>
              <c:strCache>
                <c:ptCount val="8"/>
                <c:pt idx="0">
                  <c:v>Bengaluru-01</c:v>
                </c:pt>
                <c:pt idx="1">
                  <c:v>Bhubaneswar-01</c:v>
                </c:pt>
                <c:pt idx="2">
                  <c:v>Chennai-01</c:v>
                </c:pt>
                <c:pt idx="3">
                  <c:v>Delhi-01</c:v>
                </c:pt>
                <c:pt idx="4">
                  <c:v>Kolkata-01</c:v>
                </c:pt>
                <c:pt idx="5">
                  <c:v>Lucknow-01</c:v>
                </c:pt>
                <c:pt idx="6">
                  <c:v>Mumbai-01</c:v>
                </c:pt>
                <c:pt idx="7">
                  <c:v>Pune-01</c:v>
                </c:pt>
              </c:strCache>
            </c:strRef>
          </c:cat>
          <c:val>
            <c:numRef>
              <c:f>'MAIN DASHBOARD PIVOTS'!$B$85:$B$93</c:f>
              <c:numCache>
                <c:formatCode>#,##0</c:formatCode>
                <c:ptCount val="8"/>
                <c:pt idx="0">
                  <c:v>437013</c:v>
                </c:pt>
                <c:pt idx="1">
                  <c:v>559662</c:v>
                </c:pt>
                <c:pt idx="2">
                  <c:v>364603</c:v>
                </c:pt>
                <c:pt idx="3">
                  <c:v>421154</c:v>
                </c:pt>
                <c:pt idx="4">
                  <c:v>570012</c:v>
                </c:pt>
                <c:pt idx="5">
                  <c:v>385297</c:v>
                </c:pt>
                <c:pt idx="6">
                  <c:v>509710</c:v>
                </c:pt>
                <c:pt idx="7">
                  <c:v>381305</c:v>
                </c:pt>
              </c:numCache>
            </c:numRef>
          </c:val>
          <c:extLst>
            <c:ext xmlns:c16="http://schemas.microsoft.com/office/drawing/2014/chart" uri="{C3380CC4-5D6E-409C-BE32-E72D297353CC}">
              <c16:uniqueId val="{00000000-8406-4C3E-8680-64E1011F3880}"/>
            </c:ext>
          </c:extLst>
        </c:ser>
        <c:dLbls>
          <c:dLblPos val="outEnd"/>
          <c:showLegendKey val="0"/>
          <c:showVal val="1"/>
          <c:showCatName val="0"/>
          <c:showSerName val="0"/>
          <c:showPercent val="0"/>
          <c:showBubbleSize val="0"/>
        </c:dLbls>
        <c:gapWidth val="219"/>
        <c:axId val="1838100656"/>
        <c:axId val="1578124880"/>
      </c:barChart>
      <c:catAx>
        <c:axId val="18381006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6000" b="1" i="0" u="none" strike="noStrike" kern="1200" baseline="0">
                <a:solidFill>
                  <a:schemeClr val="tx1">
                    <a:lumMod val="65000"/>
                    <a:lumOff val="35000"/>
                  </a:schemeClr>
                </a:solidFill>
                <a:latin typeface="+mn-lt"/>
                <a:ea typeface="+mn-ea"/>
                <a:cs typeface="+mn-cs"/>
              </a:defRPr>
            </a:pPr>
            <a:endParaRPr lang="en-US"/>
          </a:p>
        </c:txPr>
        <c:crossAx val="1578124880"/>
        <c:crosses val="autoZero"/>
        <c:auto val="1"/>
        <c:lblAlgn val="ctr"/>
        <c:lblOffset val="100"/>
        <c:noMultiLvlLbl val="0"/>
      </c:catAx>
      <c:valAx>
        <c:axId val="1578124880"/>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5400" b="1" i="0" u="none" strike="noStrike" kern="1200" baseline="0">
                <a:solidFill>
                  <a:schemeClr val="tx1">
                    <a:lumMod val="65000"/>
                    <a:lumOff val="35000"/>
                  </a:schemeClr>
                </a:solidFill>
                <a:latin typeface="+mn-lt"/>
                <a:ea typeface="+mn-ea"/>
                <a:cs typeface="+mn-cs"/>
              </a:defRPr>
            </a:pPr>
            <a:endParaRPr lang="en-US"/>
          </a:p>
        </c:txPr>
        <c:crossAx val="1838100656"/>
        <c:crosses val="autoZero"/>
        <c:crossBetween val="between"/>
      </c:valAx>
      <c:spPr>
        <a:noFill/>
        <a:ln>
          <a:noFill/>
        </a:ln>
        <a:effectLst/>
      </c:spPr>
    </c:plotArea>
    <c:legend>
      <c:legendPos val="r"/>
      <c:layout>
        <c:manualLayout>
          <c:xMode val="edge"/>
          <c:yMode val="edge"/>
          <c:x val="0.90098494199169954"/>
          <c:y val="0.27062774575573967"/>
          <c:w val="6.7497257551770676E-2"/>
          <c:h val="8.8384360188480823E-2"/>
        </c:manualLayout>
      </c:layout>
      <c:overlay val="0"/>
      <c:spPr>
        <a:noFill/>
        <a:ln>
          <a:noFill/>
        </a:ln>
        <a:effectLst/>
      </c:spPr>
      <c:txPr>
        <a:bodyPr rot="0" spcFirstLastPara="1" vertOverflow="ellipsis" vert="horz" wrap="square" anchor="ctr" anchorCtr="1"/>
        <a:lstStyle/>
        <a:p>
          <a:pPr>
            <a:defRPr sz="36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05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8000" b="1" i="0" u="none" strike="noStrike" kern="1200" spc="0" baseline="0">
                <a:solidFill>
                  <a:schemeClr val="tx1">
                    <a:lumMod val="65000"/>
                    <a:lumOff val="35000"/>
                  </a:schemeClr>
                </a:solidFill>
                <a:latin typeface="+mn-lt"/>
                <a:ea typeface="+mn-ea"/>
                <a:cs typeface="+mn-cs"/>
              </a:defRPr>
            </a:pPr>
            <a:r>
              <a:rPr lang="en-IN" sz="8000" b="1"/>
              <a:t>OVERDUE</a:t>
            </a:r>
            <a:r>
              <a:rPr lang="en-IN" sz="8000" b="1" baseline="0"/>
              <a:t> LOANS BY BRANCH</a:t>
            </a:r>
            <a:endParaRPr lang="en-IN" sz="8000" b="1"/>
          </a:p>
        </c:rich>
      </c:tx>
      <c:overlay val="0"/>
      <c:spPr>
        <a:noFill/>
        <a:ln>
          <a:noFill/>
        </a:ln>
        <a:effectLst/>
      </c:spPr>
      <c:txPr>
        <a:bodyPr rot="0" spcFirstLastPara="1" vertOverflow="ellipsis" vert="horz" wrap="square" anchor="ctr" anchorCtr="1"/>
        <a:lstStyle/>
        <a:p>
          <a:pPr>
            <a:defRPr sz="8000" b="1"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cked"/>
        <c:varyColors val="0"/>
        <c:ser>
          <c:idx val="0"/>
          <c:order val="0"/>
          <c:spPr>
            <a:ln w="174625" cap="rnd">
              <a:solidFill>
                <a:schemeClr val="accent1"/>
              </a:solidFill>
              <a:round/>
            </a:ln>
            <a:effectLst/>
          </c:spPr>
          <c:marker>
            <c:symbol val="circle"/>
            <c:size val="50"/>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88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'MAIN DASHBOARD PIVOTS'!$G$105:$G$112</c:f>
              <c:strCache>
                <c:ptCount val="8"/>
                <c:pt idx="0">
                  <c:v>Bengaluru-01</c:v>
                </c:pt>
                <c:pt idx="1">
                  <c:v>Bhubaneswar-01</c:v>
                </c:pt>
                <c:pt idx="2">
                  <c:v>Chennai-01</c:v>
                </c:pt>
                <c:pt idx="3">
                  <c:v>Delhi-01</c:v>
                </c:pt>
                <c:pt idx="4">
                  <c:v>Kolkata-01</c:v>
                </c:pt>
                <c:pt idx="5">
                  <c:v>Lucknow-01</c:v>
                </c:pt>
                <c:pt idx="6">
                  <c:v>Mumbai-01</c:v>
                </c:pt>
                <c:pt idx="7">
                  <c:v>Pune-01</c:v>
                </c:pt>
              </c:strCache>
            </c:strRef>
          </c:cat>
          <c:val>
            <c:numRef>
              <c:f>'MAIN DASHBOARD PIVOTS'!$H$105:$H$112</c:f>
              <c:numCache>
                <c:formatCode>General</c:formatCode>
                <c:ptCount val="8"/>
                <c:pt idx="0">
                  <c:v>5</c:v>
                </c:pt>
                <c:pt idx="1">
                  <c:v>6</c:v>
                </c:pt>
                <c:pt idx="2">
                  <c:v>5</c:v>
                </c:pt>
                <c:pt idx="3">
                  <c:v>3</c:v>
                </c:pt>
                <c:pt idx="4">
                  <c:v>4</c:v>
                </c:pt>
                <c:pt idx="5">
                  <c:v>5</c:v>
                </c:pt>
                <c:pt idx="6">
                  <c:v>5</c:v>
                </c:pt>
                <c:pt idx="7">
                  <c:v>4</c:v>
                </c:pt>
              </c:numCache>
            </c:numRef>
          </c:val>
          <c:smooth val="0"/>
          <c:extLst>
            <c:ext xmlns:c16="http://schemas.microsoft.com/office/drawing/2014/chart" uri="{C3380CC4-5D6E-409C-BE32-E72D297353CC}">
              <c16:uniqueId val="{00000000-A699-46BB-AE79-22FDF80F7A8B}"/>
            </c:ext>
          </c:extLst>
        </c:ser>
        <c:dLbls>
          <c:dLblPos val="t"/>
          <c:showLegendKey val="0"/>
          <c:showVal val="1"/>
          <c:showCatName val="0"/>
          <c:showSerName val="0"/>
          <c:showPercent val="0"/>
          <c:showBubbleSize val="0"/>
        </c:dLbls>
        <c:marker val="1"/>
        <c:smooth val="0"/>
        <c:axId val="1938746240"/>
        <c:axId val="1578215600"/>
      </c:lineChart>
      <c:catAx>
        <c:axId val="1938746240"/>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6600" b="1" i="0" u="none" strike="noStrike" kern="1200" baseline="0">
                <a:solidFill>
                  <a:schemeClr val="tx1">
                    <a:lumMod val="65000"/>
                    <a:lumOff val="35000"/>
                  </a:schemeClr>
                </a:solidFill>
                <a:latin typeface="+mn-lt"/>
                <a:ea typeface="+mn-ea"/>
                <a:cs typeface="+mn-cs"/>
              </a:defRPr>
            </a:pPr>
            <a:endParaRPr lang="en-US"/>
          </a:p>
        </c:txPr>
        <c:crossAx val="1578215600"/>
        <c:crosses val="autoZero"/>
        <c:auto val="1"/>
        <c:lblAlgn val="ctr"/>
        <c:lblOffset val="100"/>
        <c:noMultiLvlLbl val="0"/>
      </c:catAx>
      <c:valAx>
        <c:axId val="15782156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7200" b="1" i="0" u="none" strike="noStrike" kern="1200" baseline="0">
                <a:solidFill>
                  <a:schemeClr val="tx1">
                    <a:lumMod val="65000"/>
                    <a:lumOff val="35000"/>
                  </a:schemeClr>
                </a:solidFill>
                <a:latin typeface="+mn-lt"/>
                <a:ea typeface="+mn-ea"/>
                <a:cs typeface="+mn-cs"/>
              </a:defRPr>
            </a:pPr>
            <a:endParaRPr lang="en-US"/>
          </a:p>
        </c:txPr>
        <c:crossAx val="19387462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orientation="landscape"/>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8000" b="0" i="0" u="none" strike="noStrike" kern="1200" spc="0" baseline="0">
                <a:solidFill>
                  <a:schemeClr val="tx1">
                    <a:lumMod val="65000"/>
                    <a:lumOff val="35000"/>
                  </a:schemeClr>
                </a:solidFill>
                <a:latin typeface="+mn-lt"/>
                <a:ea typeface="+mn-ea"/>
                <a:cs typeface="+mn-cs"/>
              </a:defRPr>
            </a:pPr>
            <a:r>
              <a:rPr lang="en-IN" sz="8000" b="1"/>
              <a:t>NPA % BY AGE</a:t>
            </a:r>
            <a:r>
              <a:rPr lang="en-IN" sz="8000" b="1" baseline="0"/>
              <a:t> BAND</a:t>
            </a:r>
            <a:endParaRPr lang="en-IN" sz="8000" b="1"/>
          </a:p>
        </c:rich>
      </c:tx>
      <c:overlay val="0"/>
      <c:spPr>
        <a:noFill/>
        <a:ln>
          <a:noFill/>
        </a:ln>
        <a:effectLst/>
      </c:spPr>
      <c:txPr>
        <a:bodyPr rot="0" spcFirstLastPara="1" vertOverflow="ellipsis" vert="horz" wrap="square" anchor="ctr" anchorCtr="1"/>
        <a:lstStyle/>
        <a:p>
          <a:pPr>
            <a:defRPr sz="80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2566665508051433"/>
          <c:y val="0.11072006537911838"/>
          <c:w val="0.87433334491948567"/>
          <c:h val="0.79602429467377112"/>
        </c:manualLayout>
      </c:layout>
      <c:lineChart>
        <c:grouping val="stacked"/>
        <c:varyColors val="0"/>
        <c:ser>
          <c:idx val="0"/>
          <c:order val="0"/>
          <c:spPr>
            <a:ln w="174625" cap="rnd">
              <a:solidFill>
                <a:schemeClr val="accent1"/>
              </a:solidFill>
              <a:round/>
            </a:ln>
            <a:effectLst/>
          </c:spPr>
          <c:marker>
            <c:symbol val="circle"/>
            <c:size val="50"/>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80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'MAIN DASHBOARD PIVOTS'!$G$72:$G$75</c:f>
              <c:strCache>
                <c:ptCount val="4"/>
                <c:pt idx="0">
                  <c:v>&lt;30</c:v>
                </c:pt>
                <c:pt idx="1">
                  <c:v>30-40</c:v>
                </c:pt>
                <c:pt idx="2">
                  <c:v>40-50</c:v>
                </c:pt>
                <c:pt idx="3">
                  <c:v>50+</c:v>
                </c:pt>
              </c:strCache>
            </c:strRef>
          </c:cat>
          <c:val>
            <c:numRef>
              <c:f>'MAIN DASHBOARD PIVOTS'!$H$72:$H$75</c:f>
              <c:numCache>
                <c:formatCode>0.0%</c:formatCode>
                <c:ptCount val="4"/>
                <c:pt idx="0">
                  <c:v>6.0606060606060608E-2</c:v>
                </c:pt>
                <c:pt idx="1">
                  <c:v>0.10909090909090909</c:v>
                </c:pt>
                <c:pt idx="2">
                  <c:v>9.8360655737704916E-2</c:v>
                </c:pt>
                <c:pt idx="3">
                  <c:v>3.9215686274509803E-2</c:v>
                </c:pt>
              </c:numCache>
            </c:numRef>
          </c:val>
          <c:smooth val="0"/>
          <c:extLst>
            <c:ext xmlns:c16="http://schemas.microsoft.com/office/drawing/2014/chart" uri="{C3380CC4-5D6E-409C-BE32-E72D297353CC}">
              <c16:uniqueId val="{00000000-E868-4B43-85D6-9192D52B37A2}"/>
            </c:ext>
          </c:extLst>
        </c:ser>
        <c:dLbls>
          <c:showLegendKey val="0"/>
          <c:showVal val="0"/>
          <c:showCatName val="0"/>
          <c:showSerName val="0"/>
          <c:showPercent val="0"/>
          <c:showBubbleSize val="0"/>
        </c:dLbls>
        <c:marker val="1"/>
        <c:smooth val="0"/>
        <c:axId val="2038081872"/>
        <c:axId val="1578126800"/>
      </c:lineChart>
      <c:catAx>
        <c:axId val="2038081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6600" b="1" i="0" u="none" strike="noStrike" kern="1200" baseline="0">
                <a:solidFill>
                  <a:schemeClr val="tx1">
                    <a:lumMod val="65000"/>
                    <a:lumOff val="35000"/>
                  </a:schemeClr>
                </a:solidFill>
                <a:latin typeface="+mn-lt"/>
                <a:ea typeface="+mn-ea"/>
                <a:cs typeface="+mn-cs"/>
              </a:defRPr>
            </a:pPr>
            <a:endParaRPr lang="en-US"/>
          </a:p>
        </c:txPr>
        <c:crossAx val="1578126800"/>
        <c:crosses val="autoZero"/>
        <c:auto val="1"/>
        <c:lblAlgn val="ctr"/>
        <c:lblOffset val="100"/>
        <c:noMultiLvlLbl val="0"/>
      </c:catAx>
      <c:valAx>
        <c:axId val="1578126800"/>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6600" b="1" i="0" u="none" strike="noStrike" kern="1200" baseline="0">
                <a:solidFill>
                  <a:schemeClr val="tx1">
                    <a:lumMod val="65000"/>
                    <a:lumOff val="35000"/>
                  </a:schemeClr>
                </a:solidFill>
                <a:latin typeface="+mn-lt"/>
                <a:ea typeface="+mn-ea"/>
                <a:cs typeface="+mn-cs"/>
              </a:defRPr>
            </a:pPr>
            <a:endParaRPr lang="en-US"/>
          </a:p>
        </c:txPr>
        <c:crossAx val="2038081872"/>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_xlchart.v2.1</cx:f>
      </cx:numDim>
    </cx:data>
  </cx:chartData>
  <cx:chart>
    <cx:title pos="t" align="ctr" overlay="0">
      <cx:tx>
        <cx:txData>
          <cx:v>NPA% BY EMPLOYMENT TYPE</cx:v>
        </cx:txData>
      </cx:tx>
      <cx:txPr>
        <a:bodyPr spcFirstLastPara="1" vertOverflow="ellipsis" horzOverflow="overflow" wrap="square" lIns="0" tIns="0" rIns="0" bIns="0" anchor="ctr" anchorCtr="1"/>
        <a:lstStyle/>
        <a:p>
          <a:pPr algn="ctr" rtl="0">
            <a:defRPr>
              <a:solidFill>
                <a:schemeClr val="bg1"/>
              </a:solidFill>
            </a:defRPr>
          </a:pPr>
          <a:r>
            <a:rPr lang="en-US" sz="3200" b="1" i="0" u="none" strike="noStrike" baseline="0">
              <a:solidFill>
                <a:schemeClr val="bg1"/>
              </a:solidFill>
              <a:latin typeface="Calibri" panose="020F0502020204030204"/>
            </a:rPr>
            <a:t>NPA% BY EMPLOYMENT TYPE</a:t>
          </a:r>
        </a:p>
      </cx:txPr>
    </cx:title>
    <cx:plotArea>
      <cx:plotAreaRegion>
        <cx:series layoutId="funnel" uniqueId="{00000000-928F-45D7-BF34-2DF9ADBDA307}">
          <cx:dataPt idx="1">
            <cx:spPr>
              <a:solidFill>
                <a:srgbClr val="00B050"/>
              </a:solidFill>
            </cx:spPr>
          </cx:dataPt>
          <cx:dataLabels>
            <cx:txPr>
              <a:bodyPr spcFirstLastPara="1" vertOverflow="ellipsis" horzOverflow="overflow" wrap="square" lIns="0" tIns="0" rIns="0" bIns="0" anchor="ctr" anchorCtr="1"/>
              <a:lstStyle/>
              <a:p>
                <a:pPr algn="ctr" rtl="0">
                  <a:defRPr sz="4000" b="1">
                    <a:solidFill>
                      <a:schemeClr val="bg1"/>
                    </a:solidFill>
                  </a:defRPr>
                </a:pPr>
                <a:endParaRPr lang="en-US" sz="4000" b="1" i="0" u="none" strike="noStrike" baseline="0">
                  <a:solidFill>
                    <a:schemeClr val="bg1"/>
                  </a:solidFill>
                  <a:latin typeface="Calibri" panose="020F0502020204030204"/>
                </a:endParaRPr>
              </a:p>
            </cx:txPr>
            <cx:visibility seriesName="0" categoryName="0" value="1"/>
          </cx:dataLabels>
          <cx:dataId val="0"/>
        </cx:series>
      </cx:plotAreaRegion>
      <cx:axis id="0">
        <cx:catScaling gapWidth="0.0599999987"/>
        <cx:tickLabels/>
        <cx:txPr>
          <a:bodyPr spcFirstLastPara="1" vertOverflow="ellipsis" horzOverflow="overflow" wrap="square" lIns="0" tIns="0" rIns="0" bIns="0" anchor="ctr" anchorCtr="1"/>
          <a:lstStyle/>
          <a:p>
            <a:pPr algn="ctr" rtl="0">
              <a:defRPr sz="2400" b="1">
                <a:solidFill>
                  <a:schemeClr val="bg1"/>
                </a:solidFill>
              </a:defRPr>
            </a:pPr>
            <a:endParaRPr lang="en-US" sz="2400" b="1" i="0" u="none" strike="noStrike" baseline="0">
              <a:solidFill>
                <a:schemeClr val="bg1"/>
              </a:solidFill>
              <a:latin typeface="Calibri" panose="020F0502020204030204"/>
            </a:endParaRPr>
          </a:p>
        </cx:txPr>
      </cx:axis>
    </cx:plotArea>
  </cx:chart>
  <cx:spPr>
    <a:solidFill>
      <a:srgbClr val="C00000"/>
    </a:solidFill>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_xlchart.v2.2</cx:f>
      </cx:strDim>
      <cx:numDim type="val">
        <cx:f>_xlchart.v2.3</cx:f>
      </cx:numDim>
    </cx:data>
  </cx:chartData>
  <cx:chart>
    <cx:title pos="t" align="ctr" overlay="0">
      <cx:tx>
        <cx:txData>
          <cx:v>NPA % BY EMPLOYMENT TYPE</cx:v>
        </cx:txData>
      </cx:tx>
      <cx:txPr>
        <a:bodyPr spcFirstLastPara="1" vertOverflow="ellipsis" horzOverflow="overflow" wrap="square" lIns="0" tIns="0" rIns="0" bIns="0" anchor="ctr" anchorCtr="1"/>
        <a:lstStyle/>
        <a:p>
          <a:pPr algn="ctr" rtl="0">
            <a:defRPr sz="8000" b="1"/>
          </a:pPr>
          <a:r>
            <a:rPr lang="en-US" sz="8000" b="1" i="0" u="none" strike="noStrike" baseline="0">
              <a:solidFill>
                <a:sysClr val="windowText" lastClr="000000">
                  <a:lumMod val="65000"/>
                  <a:lumOff val="35000"/>
                </a:sysClr>
              </a:solidFill>
              <a:latin typeface="Calibri" panose="020F0502020204030204"/>
            </a:rPr>
            <a:t>NPA % BY EMPLOYMENT TYPE</a:t>
          </a:r>
        </a:p>
      </cx:txPr>
    </cx:title>
    <cx:plotArea>
      <cx:plotAreaRegion>
        <cx:series layoutId="funnel" uniqueId="{00000000-BB05-4E72-82BF-ABBCCE158DCD}">
          <cx:dataLabels>
            <cx:txPr>
              <a:bodyPr vertOverflow="overflow" horzOverflow="overflow" wrap="square" lIns="0" tIns="0" rIns="0" bIns="0"/>
              <a:lstStyle/>
              <a:p>
                <a:pPr algn="ctr" rtl="0">
                  <a:defRPr sz="9600" b="1" i="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IN" sz="9600" b="1">
                  <a:solidFill>
                    <a:schemeClr val="tx1"/>
                  </a:solidFill>
                </a:endParaRPr>
              </a:p>
            </cx:txPr>
            <cx:visibility seriesName="0" categoryName="0" value="1"/>
          </cx:dataLabels>
          <cx:dataId val="0"/>
        </cx:series>
      </cx:plotAreaRegion>
      <cx:axis id="0">
        <cx:catScaling gapWidth="0.0599999987"/>
        <cx:tickLabels/>
        <cx:txPr>
          <a:bodyPr vertOverflow="overflow" horzOverflow="overflow" wrap="square" lIns="0" tIns="0" rIns="0" bIns="0"/>
          <a:lstStyle/>
          <a:p>
            <a:pPr algn="ctr" rtl="0">
              <a:defRPr sz="6600" b="1" i="0">
                <a:solidFill>
                  <a:srgbClr val="595959"/>
                </a:solidFill>
                <a:latin typeface="Calibri" panose="020F0502020204030204" pitchFamily="34" charset="0"/>
                <a:ea typeface="Calibri" panose="020F0502020204030204" pitchFamily="34" charset="0"/>
                <a:cs typeface="Calibri" panose="020F0502020204030204" pitchFamily="34" charset="0"/>
              </a:defRPr>
            </a:pPr>
            <a:endParaRPr lang="en-IN" sz="6600" b="1"/>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7" Type="http://schemas.openxmlformats.org/officeDocument/2006/relationships/chart" Target="../charts/chart9.xml"/><Relationship Id="rId2" Type="http://schemas.openxmlformats.org/officeDocument/2006/relationships/chart" Target="../charts/chart5.xml"/><Relationship Id="rId1" Type="http://schemas.openxmlformats.org/officeDocument/2006/relationships/chart" Target="../charts/chart4.xml"/><Relationship Id="rId6" Type="http://schemas.openxmlformats.org/officeDocument/2006/relationships/chart" Target="../charts/chart8.xml"/><Relationship Id="rId5" Type="http://schemas.microsoft.com/office/2014/relationships/chartEx" Target="../charts/chartEx1.xml"/><Relationship Id="rId4" Type="http://schemas.openxmlformats.org/officeDocument/2006/relationships/chart" Target="../charts/chart7.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6.xml"/><Relationship Id="rId3" Type="http://schemas.openxmlformats.org/officeDocument/2006/relationships/chart" Target="../charts/chart12.xml"/><Relationship Id="rId7" Type="http://schemas.openxmlformats.org/officeDocument/2006/relationships/chart" Target="../charts/chart15.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4.xml"/><Relationship Id="rId5" Type="http://schemas.microsoft.com/office/2014/relationships/chartEx" Target="../charts/chartEx2.xml"/><Relationship Id="rId4"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3</xdr:col>
      <xdr:colOff>335280</xdr:colOff>
      <xdr:row>0</xdr:row>
      <xdr:rowOff>129540</xdr:rowOff>
    </xdr:from>
    <xdr:to>
      <xdr:col>11</xdr:col>
      <xdr:colOff>373380</xdr:colOff>
      <xdr:row>10</xdr:row>
      <xdr:rowOff>30480</xdr:rowOff>
    </xdr:to>
    <xdr:graphicFrame macro="">
      <xdr:nvGraphicFramePr>
        <xdr:cNvPr id="2" name="Chart 1">
          <a:extLst>
            <a:ext uri="{FF2B5EF4-FFF2-40B4-BE49-F238E27FC236}">
              <a16:creationId xmlns:a16="http://schemas.microsoft.com/office/drawing/2014/main" id="{D319F229-C9D7-ACDE-7B22-2D68322A93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632460</xdr:colOff>
      <xdr:row>123</xdr:row>
      <xdr:rowOff>137160</xdr:rowOff>
    </xdr:from>
    <xdr:to>
      <xdr:col>8</xdr:col>
      <xdr:colOff>487680</xdr:colOff>
      <xdr:row>135</xdr:row>
      <xdr:rowOff>99060</xdr:rowOff>
    </xdr:to>
    <xdr:graphicFrame macro="">
      <xdr:nvGraphicFramePr>
        <xdr:cNvPr id="3" name="Chart 2">
          <a:extLst>
            <a:ext uri="{FF2B5EF4-FFF2-40B4-BE49-F238E27FC236}">
              <a16:creationId xmlns:a16="http://schemas.microsoft.com/office/drawing/2014/main" id="{712AD66D-B5D7-6A47-077B-DDF0D83900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121920</xdr:colOff>
      <xdr:row>20</xdr:row>
      <xdr:rowOff>3810</xdr:rowOff>
    </xdr:from>
    <xdr:to>
      <xdr:col>9</xdr:col>
      <xdr:colOff>952500</xdr:colOff>
      <xdr:row>34</xdr:row>
      <xdr:rowOff>156210</xdr:rowOff>
    </xdr:to>
    <xdr:graphicFrame macro="">
      <xdr:nvGraphicFramePr>
        <xdr:cNvPr id="7" name="Chart 6">
          <a:extLst>
            <a:ext uri="{FF2B5EF4-FFF2-40B4-BE49-F238E27FC236}">
              <a16:creationId xmlns:a16="http://schemas.microsoft.com/office/drawing/2014/main" id="{EC24B2C3-B554-603F-7CB9-A6BEC8A190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144780</xdr:colOff>
      <xdr:row>20</xdr:row>
      <xdr:rowOff>68580</xdr:rowOff>
    </xdr:from>
    <xdr:to>
      <xdr:col>19</xdr:col>
      <xdr:colOff>144780</xdr:colOff>
      <xdr:row>33</xdr:row>
      <xdr:rowOff>158115</xdr:rowOff>
    </xdr:to>
    <mc:AlternateContent xmlns:mc="http://schemas.openxmlformats.org/markup-compatibility/2006" xmlns:a14="http://schemas.microsoft.com/office/drawing/2010/main">
      <mc:Choice Requires="a14">
        <xdr:graphicFrame macro="">
          <xdr:nvGraphicFramePr>
            <xdr:cNvPr id="2" name="LoanStatus">
              <a:extLst>
                <a:ext uri="{FF2B5EF4-FFF2-40B4-BE49-F238E27FC236}">
                  <a16:creationId xmlns:a16="http://schemas.microsoft.com/office/drawing/2014/main" id="{859E8315-2307-EC88-0F0B-6B6E2315A489}"/>
                </a:ext>
              </a:extLst>
            </xdr:cNvPr>
            <xdr:cNvGraphicFramePr/>
          </xdr:nvGraphicFramePr>
          <xdr:xfrm>
            <a:off x="0" y="0"/>
            <a:ext cx="0" cy="0"/>
          </xdr:xfrm>
          <a:graphic>
            <a:graphicData uri="http://schemas.microsoft.com/office/drawing/2010/slicer">
              <sle:slicer xmlns:sle="http://schemas.microsoft.com/office/drawing/2010/slicer" name="LoanStatus"/>
            </a:graphicData>
          </a:graphic>
        </xdr:graphicFrame>
      </mc:Choice>
      <mc:Fallback xmlns="">
        <xdr:sp macro="" textlink="">
          <xdr:nvSpPr>
            <xdr:cNvPr id="0" name=""/>
            <xdr:cNvSpPr>
              <a:spLocks noTextEdit="1"/>
            </xdr:cNvSpPr>
          </xdr:nvSpPr>
          <xdr:spPr>
            <a:xfrm>
              <a:off x="13868400" y="37261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326572</xdr:colOff>
      <xdr:row>1</xdr:row>
      <xdr:rowOff>16328</xdr:rowOff>
    </xdr:from>
    <xdr:to>
      <xdr:col>65</xdr:col>
      <xdr:colOff>478970</xdr:colOff>
      <xdr:row>10</xdr:row>
      <xdr:rowOff>157843</xdr:rowOff>
    </xdr:to>
    <xdr:grpSp>
      <xdr:nvGrpSpPr>
        <xdr:cNvPr id="24" name="Group 23">
          <a:extLst>
            <a:ext uri="{FF2B5EF4-FFF2-40B4-BE49-F238E27FC236}">
              <a16:creationId xmlns:a16="http://schemas.microsoft.com/office/drawing/2014/main" id="{A80C8033-1304-C2A2-9FD8-30B4FDF478D8}"/>
            </a:ext>
          </a:extLst>
        </xdr:cNvPr>
        <xdr:cNvGrpSpPr/>
      </xdr:nvGrpSpPr>
      <xdr:grpSpPr>
        <a:xfrm>
          <a:off x="326572" y="190499"/>
          <a:ext cx="40843198" cy="1709058"/>
          <a:chOff x="283029" y="234042"/>
          <a:chExt cx="40843198" cy="1709058"/>
        </a:xfrm>
      </xdr:grpSpPr>
      <xdr:sp macro="" textlink="">
        <xdr:nvSpPr>
          <xdr:cNvPr id="4" name="Rectangle: Rounded Corners 3">
            <a:extLst>
              <a:ext uri="{FF2B5EF4-FFF2-40B4-BE49-F238E27FC236}">
                <a16:creationId xmlns:a16="http://schemas.microsoft.com/office/drawing/2014/main" id="{C730F5AB-61BD-A0C2-5C7D-7321F388F004}"/>
              </a:ext>
            </a:extLst>
          </xdr:cNvPr>
          <xdr:cNvSpPr/>
        </xdr:nvSpPr>
        <xdr:spPr>
          <a:xfrm>
            <a:off x="22073506" y="258535"/>
            <a:ext cx="5881007" cy="1662793"/>
          </a:xfrm>
          <a:prstGeom prst="round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4000" b="1">
                <a:solidFill>
                  <a:schemeClr val="bg1"/>
                </a:solidFill>
              </a:rPr>
              <a:t>OUTSTANDING BALANCE</a:t>
            </a:r>
          </a:p>
        </xdr:txBody>
      </xdr:sp>
      <xdr:sp macro="" textlink="BJ5">
        <xdr:nvSpPr>
          <xdr:cNvPr id="5" name="Rectangle: Rounded Corners 4">
            <a:extLst>
              <a:ext uri="{FF2B5EF4-FFF2-40B4-BE49-F238E27FC236}">
                <a16:creationId xmlns:a16="http://schemas.microsoft.com/office/drawing/2014/main" id="{58E1B004-B3B6-966A-E6E9-2874812BFED9}"/>
              </a:ext>
            </a:extLst>
          </xdr:cNvPr>
          <xdr:cNvSpPr/>
        </xdr:nvSpPr>
        <xdr:spPr>
          <a:xfrm>
            <a:off x="22536150" y="1001486"/>
            <a:ext cx="4857750" cy="674914"/>
          </a:xfrm>
          <a:prstGeom prst="roundRect">
            <a:avLst/>
          </a:prstGeom>
          <a:solidFill>
            <a:srgbClr val="947DCF"/>
          </a:soli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CA5AC0B5-061B-499E-A5AF-DE69E6381D67}" type="TxLink">
              <a:rPr lang="en-US" sz="4800" b="1" i="0" u="none" strike="noStrike">
                <a:solidFill>
                  <a:schemeClr val="bg1"/>
                </a:solidFill>
                <a:latin typeface="Calibri"/>
                <a:ea typeface="Calibri"/>
                <a:cs typeface="Calibri"/>
              </a:rPr>
              <a:pPr algn="ctr"/>
              <a:t> ₹ 9,93,01,530.00 </a:t>
            </a:fld>
            <a:endParaRPr lang="en-IN" sz="1100" b="1">
              <a:solidFill>
                <a:schemeClr val="bg1"/>
              </a:solidFill>
            </a:endParaRPr>
          </a:p>
        </xdr:txBody>
      </xdr:sp>
      <xdr:sp macro="" textlink="">
        <xdr:nvSpPr>
          <xdr:cNvPr id="6" name="Rectangle: Rounded Corners 5">
            <a:extLst>
              <a:ext uri="{FF2B5EF4-FFF2-40B4-BE49-F238E27FC236}">
                <a16:creationId xmlns:a16="http://schemas.microsoft.com/office/drawing/2014/main" id="{5C2CC3A2-7A03-4A0D-AB59-7AF712C0815E}"/>
              </a:ext>
            </a:extLst>
          </xdr:cNvPr>
          <xdr:cNvSpPr/>
        </xdr:nvSpPr>
        <xdr:spPr>
          <a:xfrm>
            <a:off x="33680400" y="255813"/>
            <a:ext cx="7445827" cy="1662793"/>
          </a:xfrm>
          <a:prstGeom prst="round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4000" b="1">
                <a:solidFill>
                  <a:schemeClr val="bg1"/>
                </a:solidFill>
              </a:rPr>
              <a:t>TOTAL</a:t>
            </a:r>
            <a:r>
              <a:rPr lang="en-IN" sz="4000" b="1" baseline="0">
                <a:solidFill>
                  <a:schemeClr val="bg1"/>
                </a:solidFill>
              </a:rPr>
              <a:t> OVERDUE %</a:t>
            </a:r>
            <a:endParaRPr lang="en-IN" sz="4000" b="1">
              <a:solidFill>
                <a:schemeClr val="bg1"/>
              </a:solidFill>
            </a:endParaRPr>
          </a:p>
        </xdr:txBody>
      </xdr:sp>
      <xdr:sp macro="" textlink="$BJ$6">
        <xdr:nvSpPr>
          <xdr:cNvPr id="8" name="Rectangle: Rounded Corners 7">
            <a:extLst>
              <a:ext uri="{FF2B5EF4-FFF2-40B4-BE49-F238E27FC236}">
                <a16:creationId xmlns:a16="http://schemas.microsoft.com/office/drawing/2014/main" id="{FF9C0C00-B30E-46DA-9E0B-87C77EF9F4DD}"/>
              </a:ext>
            </a:extLst>
          </xdr:cNvPr>
          <xdr:cNvSpPr/>
        </xdr:nvSpPr>
        <xdr:spPr>
          <a:xfrm>
            <a:off x="35234336" y="974271"/>
            <a:ext cx="4343400" cy="723899"/>
          </a:xfrm>
          <a:prstGeom prst="roundRect">
            <a:avLst/>
          </a:prstGeom>
          <a:solidFill>
            <a:srgbClr val="947DCF"/>
          </a:soli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FE74AD9A-BBDF-4502-9B92-437650B2D17F}" type="TxLink">
              <a:rPr lang="en-US" sz="4800" b="1" i="0" u="none" strike="noStrike">
                <a:solidFill>
                  <a:schemeClr val="bg1"/>
                </a:solidFill>
                <a:latin typeface="Calibri"/>
                <a:ea typeface="Calibri"/>
                <a:cs typeface="Calibri"/>
              </a:rPr>
              <a:pPr algn="ctr"/>
              <a:t>18.5%</a:t>
            </a:fld>
            <a:endParaRPr lang="en-US" sz="3200" b="1" i="0" u="none" strike="noStrike">
              <a:solidFill>
                <a:schemeClr val="bg1"/>
              </a:solidFill>
              <a:latin typeface="Calibri"/>
              <a:ea typeface="Calibri"/>
              <a:cs typeface="Calibri"/>
            </a:endParaRPr>
          </a:p>
        </xdr:txBody>
      </xdr:sp>
      <xdr:sp macro="" textlink="">
        <xdr:nvSpPr>
          <xdr:cNvPr id="9" name="Rectangle: Rounded Corners 8">
            <a:extLst>
              <a:ext uri="{FF2B5EF4-FFF2-40B4-BE49-F238E27FC236}">
                <a16:creationId xmlns:a16="http://schemas.microsoft.com/office/drawing/2014/main" id="{A88A1276-8264-414C-AEA3-2BF4B206FC4E}"/>
              </a:ext>
            </a:extLst>
          </xdr:cNvPr>
          <xdr:cNvSpPr/>
        </xdr:nvSpPr>
        <xdr:spPr>
          <a:xfrm>
            <a:off x="28120520" y="239485"/>
            <a:ext cx="5342166" cy="1662793"/>
          </a:xfrm>
          <a:prstGeom prst="round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4000" b="1">
                <a:solidFill>
                  <a:schemeClr val="bg1"/>
                </a:solidFill>
              </a:rPr>
              <a:t>TOTAL</a:t>
            </a:r>
            <a:r>
              <a:rPr lang="en-IN" sz="4000" b="1" baseline="0">
                <a:solidFill>
                  <a:schemeClr val="bg1"/>
                </a:solidFill>
              </a:rPr>
              <a:t> NPA</a:t>
            </a:r>
            <a:endParaRPr lang="en-IN" sz="4000" b="1">
              <a:solidFill>
                <a:schemeClr val="bg1"/>
              </a:solidFill>
            </a:endParaRPr>
          </a:p>
        </xdr:txBody>
      </xdr:sp>
      <xdr:sp macro="" textlink="$BJ$7">
        <xdr:nvSpPr>
          <xdr:cNvPr id="10" name="Rectangle: Rounded Corners 9">
            <a:extLst>
              <a:ext uri="{FF2B5EF4-FFF2-40B4-BE49-F238E27FC236}">
                <a16:creationId xmlns:a16="http://schemas.microsoft.com/office/drawing/2014/main" id="{70079719-C3DC-46F5-ACCA-21B768C9F780}"/>
              </a:ext>
            </a:extLst>
          </xdr:cNvPr>
          <xdr:cNvSpPr/>
        </xdr:nvSpPr>
        <xdr:spPr>
          <a:xfrm>
            <a:off x="29701672" y="982436"/>
            <a:ext cx="2114550" cy="658585"/>
          </a:xfrm>
          <a:prstGeom prst="roundRect">
            <a:avLst/>
          </a:prstGeom>
          <a:solidFill>
            <a:srgbClr val="947DCF"/>
          </a:soli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E9888FEA-D865-4BDE-A32E-B2FD3CD45CB4}" type="TxLink">
              <a:rPr lang="en-US" sz="4800" b="1" i="0" u="none" strike="noStrike">
                <a:solidFill>
                  <a:schemeClr val="bg1"/>
                </a:solidFill>
                <a:latin typeface="Calibri"/>
                <a:ea typeface="Calibri"/>
                <a:cs typeface="Calibri"/>
              </a:rPr>
              <a:pPr algn="ctr"/>
              <a:t>8%</a:t>
            </a:fld>
            <a:endParaRPr lang="en-US" sz="4000" b="1" i="0" u="none" strike="noStrike">
              <a:solidFill>
                <a:schemeClr val="bg1"/>
              </a:solidFill>
              <a:latin typeface="Calibri"/>
              <a:ea typeface="Calibri"/>
              <a:cs typeface="Calibri"/>
            </a:endParaRPr>
          </a:p>
        </xdr:txBody>
      </xdr:sp>
      <xdr:sp macro="" textlink="">
        <xdr:nvSpPr>
          <xdr:cNvPr id="11" name="Rectangle: Rounded Corners 10">
            <a:extLst>
              <a:ext uri="{FF2B5EF4-FFF2-40B4-BE49-F238E27FC236}">
                <a16:creationId xmlns:a16="http://schemas.microsoft.com/office/drawing/2014/main" id="{608A8EF5-D08F-47B1-9655-9674AF97E114}"/>
              </a:ext>
            </a:extLst>
          </xdr:cNvPr>
          <xdr:cNvSpPr/>
        </xdr:nvSpPr>
        <xdr:spPr>
          <a:xfrm>
            <a:off x="12600214" y="234042"/>
            <a:ext cx="9236528" cy="1662793"/>
          </a:xfrm>
          <a:prstGeom prst="roundRect">
            <a:avLst/>
          </a:prstGeom>
          <a:solidFill>
            <a:srgbClr val="C00000"/>
          </a:solidFill>
          <a:ln>
            <a:noFill/>
          </a:ln>
          <a:effectLst>
            <a:innerShdw blurRad="114300">
              <a:prstClr val="black"/>
            </a:innerShdw>
            <a:softEdge rad="31750"/>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5400" b="1"/>
              <a:t>RISK</a:t>
            </a:r>
            <a:r>
              <a:rPr lang="en-IN" sz="5400" b="1" baseline="0"/>
              <a:t> ANALYSIS DASHBOARD</a:t>
            </a:r>
            <a:endParaRPr lang="en-IN" sz="5400" b="1">
              <a:solidFill>
                <a:schemeClr val="bg1"/>
              </a:solidFill>
            </a:endParaRPr>
          </a:p>
        </xdr:txBody>
      </xdr:sp>
      <xdr:sp macro="" textlink="">
        <xdr:nvSpPr>
          <xdr:cNvPr id="2" name="Rectangle: Rounded Corners 1">
            <a:extLst>
              <a:ext uri="{FF2B5EF4-FFF2-40B4-BE49-F238E27FC236}">
                <a16:creationId xmlns:a16="http://schemas.microsoft.com/office/drawing/2014/main" id="{EBD2236F-BA12-40DD-812D-DC33D3419709}"/>
              </a:ext>
            </a:extLst>
          </xdr:cNvPr>
          <xdr:cNvSpPr/>
        </xdr:nvSpPr>
        <xdr:spPr>
          <a:xfrm>
            <a:off x="283029" y="255814"/>
            <a:ext cx="6204857" cy="1662793"/>
          </a:xfrm>
          <a:prstGeom prst="round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4000" b="1">
                <a:solidFill>
                  <a:schemeClr val="bg1"/>
                </a:solidFill>
              </a:rPr>
              <a:t>TOTAL</a:t>
            </a:r>
            <a:r>
              <a:rPr lang="en-IN" sz="4000" b="1" baseline="0">
                <a:solidFill>
                  <a:schemeClr val="bg1"/>
                </a:solidFill>
              </a:rPr>
              <a:t> LOANS</a:t>
            </a:r>
            <a:endParaRPr lang="en-IN" sz="4000" b="1">
              <a:solidFill>
                <a:schemeClr val="bg1"/>
              </a:solidFill>
            </a:endParaRPr>
          </a:p>
        </xdr:txBody>
      </xdr:sp>
      <xdr:sp macro="" textlink="$BJ$8">
        <xdr:nvSpPr>
          <xdr:cNvPr id="3" name="Rectangle: Rounded Corners 2">
            <a:extLst>
              <a:ext uri="{FF2B5EF4-FFF2-40B4-BE49-F238E27FC236}">
                <a16:creationId xmlns:a16="http://schemas.microsoft.com/office/drawing/2014/main" id="{E7AE2920-EFB3-4316-A12D-83ECD2B9E3EF}"/>
              </a:ext>
            </a:extLst>
          </xdr:cNvPr>
          <xdr:cNvSpPr/>
        </xdr:nvSpPr>
        <xdr:spPr>
          <a:xfrm>
            <a:off x="884464" y="998764"/>
            <a:ext cx="4686300" cy="677635"/>
          </a:xfrm>
          <a:prstGeom prst="roundRect">
            <a:avLst/>
          </a:prstGeom>
          <a:solidFill>
            <a:srgbClr val="947DCF"/>
          </a:soli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C4C5CE52-CCF9-4CC0-87B6-6C9AD6F54475}" type="TxLink">
              <a:rPr lang="en-US" sz="4800" b="1" i="0" u="none" strike="noStrike">
                <a:solidFill>
                  <a:schemeClr val="bg1"/>
                </a:solidFill>
                <a:latin typeface="Calibri"/>
                <a:ea typeface="Calibri"/>
                <a:cs typeface="Calibri"/>
              </a:rPr>
              <a:pPr algn="ctr"/>
              <a:t>200</a:t>
            </a:fld>
            <a:endParaRPr lang="en-US" sz="4000" b="1" i="0" u="none" strike="noStrike">
              <a:solidFill>
                <a:schemeClr val="bg1"/>
              </a:solidFill>
              <a:latin typeface="Calibri"/>
              <a:ea typeface="Calibri"/>
              <a:cs typeface="Calibri"/>
            </a:endParaRPr>
          </a:p>
        </xdr:txBody>
      </xdr:sp>
      <xdr:sp macro="" textlink="">
        <xdr:nvSpPr>
          <xdr:cNvPr id="7" name="Rectangle: Rounded Corners 6">
            <a:extLst>
              <a:ext uri="{FF2B5EF4-FFF2-40B4-BE49-F238E27FC236}">
                <a16:creationId xmlns:a16="http://schemas.microsoft.com/office/drawing/2014/main" id="{F21EBC6A-153D-492C-A195-00537DA2B7E5}"/>
              </a:ext>
            </a:extLst>
          </xdr:cNvPr>
          <xdr:cNvSpPr/>
        </xdr:nvSpPr>
        <xdr:spPr>
          <a:xfrm>
            <a:off x="6683829" y="280307"/>
            <a:ext cx="5682342" cy="1662793"/>
          </a:xfrm>
          <a:prstGeom prst="round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4000" b="1">
                <a:solidFill>
                  <a:schemeClr val="bg1"/>
                </a:solidFill>
              </a:rPr>
              <a:t>LOAN</a:t>
            </a:r>
            <a:r>
              <a:rPr lang="en-IN" sz="4000" b="1" baseline="0">
                <a:solidFill>
                  <a:schemeClr val="bg1"/>
                </a:solidFill>
              </a:rPr>
              <a:t> AMOUNT</a:t>
            </a:r>
            <a:endParaRPr lang="en-IN" sz="4000" b="1">
              <a:solidFill>
                <a:schemeClr val="bg1"/>
              </a:solidFill>
            </a:endParaRPr>
          </a:p>
        </xdr:txBody>
      </xdr:sp>
      <xdr:sp macro="" textlink="$BJ$9">
        <xdr:nvSpPr>
          <xdr:cNvPr id="12" name="Rectangle: Rounded Corners 11">
            <a:extLst>
              <a:ext uri="{FF2B5EF4-FFF2-40B4-BE49-F238E27FC236}">
                <a16:creationId xmlns:a16="http://schemas.microsoft.com/office/drawing/2014/main" id="{73D764EC-03BD-4435-A003-A41536A39BBF}"/>
              </a:ext>
            </a:extLst>
          </xdr:cNvPr>
          <xdr:cNvSpPr/>
        </xdr:nvSpPr>
        <xdr:spPr>
          <a:xfrm>
            <a:off x="7181850" y="1001486"/>
            <a:ext cx="4724400" cy="693964"/>
          </a:xfrm>
          <a:prstGeom prst="roundRect">
            <a:avLst/>
          </a:prstGeom>
          <a:solidFill>
            <a:srgbClr val="947DCF"/>
          </a:soli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5D728DE-2719-44F9-8E28-27B9BDC06D8E}" type="TxLink">
              <a:rPr lang="en-US" sz="4400" b="1" i="0" u="none" strike="noStrike">
                <a:solidFill>
                  <a:schemeClr val="bg1"/>
                </a:solidFill>
                <a:latin typeface="Calibri"/>
                <a:ea typeface="Calibri"/>
                <a:cs typeface="Calibri"/>
              </a:rPr>
              <a:pPr algn="ctr"/>
              <a:t> ₹ 10,93,75,000.00 </a:t>
            </a:fld>
            <a:endParaRPr lang="en-US" sz="4000" b="1" i="0" u="none" strike="noStrike">
              <a:solidFill>
                <a:schemeClr val="bg1"/>
              </a:solidFill>
              <a:latin typeface="Calibri"/>
              <a:ea typeface="Calibri"/>
              <a:cs typeface="Calibri"/>
            </a:endParaRPr>
          </a:p>
        </xdr:txBody>
      </xdr:sp>
    </xdr:grpSp>
    <xdr:clientData/>
  </xdr:twoCellAnchor>
  <xdr:twoCellAnchor>
    <xdr:from>
      <xdr:col>0</xdr:col>
      <xdr:colOff>323850</xdr:colOff>
      <xdr:row>12</xdr:row>
      <xdr:rowOff>-1</xdr:rowOff>
    </xdr:from>
    <xdr:to>
      <xdr:col>14</xdr:col>
      <xdr:colOff>304800</xdr:colOff>
      <xdr:row>50</xdr:row>
      <xdr:rowOff>43543</xdr:rowOff>
    </xdr:to>
    <xdr:graphicFrame macro="">
      <xdr:nvGraphicFramePr>
        <xdr:cNvPr id="14" name="Chart 13">
          <a:extLst>
            <a:ext uri="{FF2B5EF4-FFF2-40B4-BE49-F238E27FC236}">
              <a16:creationId xmlns:a16="http://schemas.microsoft.com/office/drawing/2014/main" id="{2504969D-7606-45BA-8C5A-4C48FD5986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571500</xdr:colOff>
      <xdr:row>12</xdr:row>
      <xdr:rowOff>-1</xdr:rowOff>
    </xdr:from>
    <xdr:to>
      <xdr:col>28</xdr:col>
      <xdr:colOff>19050</xdr:colOff>
      <xdr:row>50</xdr:row>
      <xdr:rowOff>65315</xdr:rowOff>
    </xdr:to>
    <xdr:graphicFrame macro="">
      <xdr:nvGraphicFramePr>
        <xdr:cNvPr id="15" name="Chart 14">
          <a:extLst>
            <a:ext uri="{FF2B5EF4-FFF2-40B4-BE49-F238E27FC236}">
              <a16:creationId xmlns:a16="http://schemas.microsoft.com/office/drawing/2014/main" id="{96015D54-8159-41FD-A56F-17156A22BB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326570</xdr:colOff>
      <xdr:row>51</xdr:row>
      <xdr:rowOff>21771</xdr:rowOff>
    </xdr:from>
    <xdr:to>
      <xdr:col>19</xdr:col>
      <xdr:colOff>53661</xdr:colOff>
      <xdr:row>83</xdr:row>
      <xdr:rowOff>109833</xdr:rowOff>
    </xdr:to>
    <xdr:graphicFrame macro="">
      <xdr:nvGraphicFramePr>
        <xdr:cNvPr id="16" name="Chart 15">
          <a:extLst>
            <a:ext uri="{FF2B5EF4-FFF2-40B4-BE49-F238E27FC236}">
              <a16:creationId xmlns:a16="http://schemas.microsoft.com/office/drawing/2014/main" id="{576B600B-A496-43A3-8351-BCBCFA58BF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35</xdr:col>
      <xdr:colOff>345202</xdr:colOff>
      <xdr:row>51</xdr:row>
      <xdr:rowOff>43544</xdr:rowOff>
    </xdr:from>
    <xdr:to>
      <xdr:col>52</xdr:col>
      <xdr:colOff>497602</xdr:colOff>
      <xdr:row>83</xdr:row>
      <xdr:rowOff>130628</xdr:rowOff>
    </xdr:to>
    <xdr:graphicFrame macro="">
      <xdr:nvGraphicFramePr>
        <xdr:cNvPr id="17" name="Chart 16">
          <a:extLst>
            <a:ext uri="{FF2B5EF4-FFF2-40B4-BE49-F238E27FC236}">
              <a16:creationId xmlns:a16="http://schemas.microsoft.com/office/drawing/2014/main" id="{D71F7DD5-B29D-4AF9-B01E-0D36F5649F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19</xdr:col>
      <xdr:colOff>312894</xdr:colOff>
      <xdr:row>51</xdr:row>
      <xdr:rowOff>0</xdr:rowOff>
    </xdr:from>
    <xdr:to>
      <xdr:col>35</xdr:col>
      <xdr:colOff>122394</xdr:colOff>
      <xdr:row>83</xdr:row>
      <xdr:rowOff>108857</xdr:rowOff>
    </xdr:to>
    <mc:AlternateContent xmlns:mc="http://schemas.openxmlformats.org/markup-compatibility/2006">
      <mc:Choice xmlns:cx2="http://schemas.microsoft.com/office/drawing/2015/10/21/chartex" Requires="cx2">
        <xdr:graphicFrame macro="">
          <xdr:nvGraphicFramePr>
            <xdr:cNvPr id="18" name="Chart 17">
              <a:extLst>
                <a:ext uri="{FF2B5EF4-FFF2-40B4-BE49-F238E27FC236}">
                  <a16:creationId xmlns:a16="http://schemas.microsoft.com/office/drawing/2014/main" id="{BEFA7E05-D1D2-4E25-8ECA-691B6CF236A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11895294" y="9326880"/>
              <a:ext cx="9563100" cy="596101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47</xdr:col>
      <xdr:colOff>108856</xdr:colOff>
      <xdr:row>12</xdr:row>
      <xdr:rowOff>43543</xdr:rowOff>
    </xdr:from>
    <xdr:to>
      <xdr:col>65</xdr:col>
      <xdr:colOff>391885</xdr:colOff>
      <xdr:row>50</xdr:row>
      <xdr:rowOff>43543</xdr:rowOff>
    </xdr:to>
    <xdr:graphicFrame macro="">
      <xdr:nvGraphicFramePr>
        <xdr:cNvPr id="20" name="Chart 19">
          <a:extLst>
            <a:ext uri="{FF2B5EF4-FFF2-40B4-BE49-F238E27FC236}">
              <a16:creationId xmlns:a16="http://schemas.microsoft.com/office/drawing/2014/main" id="{F5B433EC-5451-4046-88FA-304E834DFB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53</xdr:col>
      <xdr:colOff>217712</xdr:colOff>
      <xdr:row>51</xdr:row>
      <xdr:rowOff>21771</xdr:rowOff>
    </xdr:from>
    <xdr:to>
      <xdr:col>57</xdr:col>
      <xdr:colOff>100798</xdr:colOff>
      <xdr:row>84</xdr:row>
      <xdr:rowOff>130629</xdr:rowOff>
    </xdr:to>
    <mc:AlternateContent xmlns:mc="http://schemas.openxmlformats.org/markup-compatibility/2006" xmlns:a14="http://schemas.microsoft.com/office/drawing/2010/main">
      <mc:Choice Requires="a14">
        <xdr:graphicFrame macro="">
          <xdr:nvGraphicFramePr>
            <xdr:cNvPr id="21" name="Region">
              <a:extLst>
                <a:ext uri="{FF2B5EF4-FFF2-40B4-BE49-F238E27FC236}">
                  <a16:creationId xmlns:a16="http://schemas.microsoft.com/office/drawing/2014/main" id="{58581C6B-BEC3-4625-B07E-8B66543A4C0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2526512" y="8904514"/>
              <a:ext cx="2844000" cy="587828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28</xdr:col>
      <xdr:colOff>239485</xdr:colOff>
      <xdr:row>12</xdr:row>
      <xdr:rowOff>21772</xdr:rowOff>
    </xdr:from>
    <xdr:to>
      <xdr:col>46</xdr:col>
      <xdr:colOff>435429</xdr:colOff>
      <xdr:row>50</xdr:row>
      <xdr:rowOff>21772</xdr:rowOff>
    </xdr:to>
    <xdr:graphicFrame macro="">
      <xdr:nvGraphicFramePr>
        <xdr:cNvPr id="22" name="Chart 21">
          <a:extLst>
            <a:ext uri="{FF2B5EF4-FFF2-40B4-BE49-F238E27FC236}">
              <a16:creationId xmlns:a16="http://schemas.microsoft.com/office/drawing/2014/main" id="{CBF2789D-6A32-4271-A034-650C10A805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57</xdr:col>
      <xdr:colOff>391885</xdr:colOff>
      <xdr:row>51</xdr:row>
      <xdr:rowOff>43542</xdr:rowOff>
    </xdr:from>
    <xdr:to>
      <xdr:col>65</xdr:col>
      <xdr:colOff>326570</xdr:colOff>
      <xdr:row>84</xdr:row>
      <xdr:rowOff>152400</xdr:rowOff>
    </xdr:to>
    <mc:AlternateContent xmlns:mc="http://schemas.openxmlformats.org/markup-compatibility/2006" xmlns:a14="http://schemas.microsoft.com/office/drawing/2010/main">
      <mc:Choice Requires="a14">
        <xdr:graphicFrame macro="">
          <xdr:nvGraphicFramePr>
            <xdr:cNvPr id="23" name="LoanProduct">
              <a:extLst>
                <a:ext uri="{FF2B5EF4-FFF2-40B4-BE49-F238E27FC236}">
                  <a16:creationId xmlns:a16="http://schemas.microsoft.com/office/drawing/2014/main" id="{B957F5CB-F557-4991-A4D4-55E2416BC15D}"/>
                </a:ext>
              </a:extLst>
            </xdr:cNvPr>
            <xdr:cNvGraphicFramePr/>
          </xdr:nvGraphicFramePr>
          <xdr:xfrm>
            <a:off x="0" y="0"/>
            <a:ext cx="0" cy="0"/>
          </xdr:xfrm>
          <a:graphic>
            <a:graphicData uri="http://schemas.microsoft.com/office/drawing/2010/slicer">
              <sle:slicer xmlns:sle="http://schemas.microsoft.com/office/drawing/2010/slicer" name="LoanProduct"/>
            </a:graphicData>
          </a:graphic>
        </xdr:graphicFrame>
      </mc:Choice>
      <mc:Fallback xmlns="">
        <xdr:sp macro="" textlink="">
          <xdr:nvSpPr>
            <xdr:cNvPr id="0" name=""/>
            <xdr:cNvSpPr>
              <a:spLocks noTextEdit="1"/>
            </xdr:cNvSpPr>
          </xdr:nvSpPr>
          <xdr:spPr>
            <a:xfrm>
              <a:off x="35661599" y="8926285"/>
              <a:ext cx="5355771" cy="585651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1</xdr:col>
      <xdr:colOff>117231</xdr:colOff>
      <xdr:row>33</xdr:row>
      <xdr:rowOff>0</xdr:rowOff>
    </xdr:from>
    <xdr:to>
      <xdr:col>40</xdr:col>
      <xdr:colOff>351692</xdr:colOff>
      <xdr:row>119</xdr:row>
      <xdr:rowOff>117231</xdr:rowOff>
    </xdr:to>
    <xdr:graphicFrame macro="">
      <xdr:nvGraphicFramePr>
        <xdr:cNvPr id="2" name="Chart 1">
          <a:extLst>
            <a:ext uri="{FF2B5EF4-FFF2-40B4-BE49-F238E27FC236}">
              <a16:creationId xmlns:a16="http://schemas.microsoft.com/office/drawing/2014/main" id="{DED93403-800E-497B-A9C2-0A6C0ADB94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123</xdr:col>
      <xdr:colOff>293077</xdr:colOff>
      <xdr:row>33</xdr:row>
      <xdr:rowOff>117231</xdr:rowOff>
    </xdr:from>
    <xdr:to>
      <xdr:col>162</xdr:col>
      <xdr:colOff>234463</xdr:colOff>
      <xdr:row>118</xdr:row>
      <xdr:rowOff>117231</xdr:rowOff>
    </xdr:to>
    <xdr:graphicFrame macro="">
      <xdr:nvGraphicFramePr>
        <xdr:cNvPr id="3" name="Chart 2">
          <a:extLst>
            <a:ext uri="{FF2B5EF4-FFF2-40B4-BE49-F238E27FC236}">
              <a16:creationId xmlns:a16="http://schemas.microsoft.com/office/drawing/2014/main" id="{15AE8751-2762-4268-BD41-EF6A5F277C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217715</xdr:colOff>
      <xdr:row>124</xdr:row>
      <xdr:rowOff>0</xdr:rowOff>
    </xdr:from>
    <xdr:to>
      <xdr:col>35</xdr:col>
      <xdr:colOff>527538</xdr:colOff>
      <xdr:row>222</xdr:row>
      <xdr:rowOff>58616</xdr:rowOff>
    </xdr:to>
    <xdr:graphicFrame macro="">
      <xdr:nvGraphicFramePr>
        <xdr:cNvPr id="4" name="Chart 3">
          <a:extLst>
            <a:ext uri="{FF2B5EF4-FFF2-40B4-BE49-F238E27FC236}">
              <a16:creationId xmlns:a16="http://schemas.microsoft.com/office/drawing/2014/main" id="{F1F05AB2-485C-40CA-80AC-AAF69E696B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89</xdr:col>
      <xdr:colOff>187011</xdr:colOff>
      <xdr:row>33</xdr:row>
      <xdr:rowOff>-2</xdr:rowOff>
    </xdr:from>
    <xdr:to>
      <xdr:col>122</xdr:col>
      <xdr:colOff>58616</xdr:colOff>
      <xdr:row>118</xdr:row>
      <xdr:rowOff>117230</xdr:rowOff>
    </xdr:to>
    <xdr:graphicFrame macro="">
      <xdr:nvGraphicFramePr>
        <xdr:cNvPr id="5" name="Chart 4">
          <a:extLst>
            <a:ext uri="{FF2B5EF4-FFF2-40B4-BE49-F238E27FC236}">
              <a16:creationId xmlns:a16="http://schemas.microsoft.com/office/drawing/2014/main" id="{FC9E18B9-66EE-4CB3-AEC1-3E997C167F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79</xdr:col>
      <xdr:colOff>351693</xdr:colOff>
      <xdr:row>123</xdr:row>
      <xdr:rowOff>117233</xdr:rowOff>
    </xdr:from>
    <xdr:to>
      <xdr:col>121</xdr:col>
      <xdr:colOff>468923</xdr:colOff>
      <xdr:row>222</xdr:row>
      <xdr:rowOff>117232</xdr:rowOff>
    </xdr:to>
    <mc:AlternateContent xmlns:mc="http://schemas.openxmlformats.org/markup-compatibility/2006">
      <mc:Choice xmlns:cx2="http://schemas.microsoft.com/office/drawing/2015/10/21/chartex" Requires="cx2">
        <xdr:graphicFrame macro="">
          <xdr:nvGraphicFramePr>
            <xdr:cNvPr id="6" name="Chart 5">
              <a:extLst>
                <a:ext uri="{FF2B5EF4-FFF2-40B4-BE49-F238E27FC236}">
                  <a16:creationId xmlns:a16="http://schemas.microsoft.com/office/drawing/2014/main" id="{62A06496-68C0-4556-BF2D-DB9199856C7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48510093" y="22611473"/>
              <a:ext cx="25720430" cy="18105119"/>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42</xdr:col>
      <xdr:colOff>0</xdr:colOff>
      <xdr:row>33</xdr:row>
      <xdr:rowOff>0</xdr:rowOff>
    </xdr:from>
    <xdr:to>
      <xdr:col>88</xdr:col>
      <xdr:colOff>58616</xdr:colOff>
      <xdr:row>119</xdr:row>
      <xdr:rowOff>58616</xdr:rowOff>
    </xdr:to>
    <xdr:graphicFrame macro="">
      <xdr:nvGraphicFramePr>
        <xdr:cNvPr id="7" name="Chart 6">
          <a:extLst>
            <a:ext uri="{FF2B5EF4-FFF2-40B4-BE49-F238E27FC236}">
              <a16:creationId xmlns:a16="http://schemas.microsoft.com/office/drawing/2014/main" id="{677E9292-4306-4B12-9C39-F6C327D06D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123</xdr:col>
      <xdr:colOff>175846</xdr:colOff>
      <xdr:row>124</xdr:row>
      <xdr:rowOff>0</xdr:rowOff>
    </xdr:from>
    <xdr:to>
      <xdr:col>162</xdr:col>
      <xdr:colOff>170019</xdr:colOff>
      <xdr:row>223</xdr:row>
      <xdr:rowOff>1</xdr:rowOff>
    </xdr:to>
    <xdr:graphicFrame macro="">
      <xdr:nvGraphicFramePr>
        <xdr:cNvPr id="8" name="Chart 7">
          <a:extLst>
            <a:ext uri="{FF2B5EF4-FFF2-40B4-BE49-F238E27FC236}">
              <a16:creationId xmlns:a16="http://schemas.microsoft.com/office/drawing/2014/main" id="{01392DC0-4E50-4808-8439-9A6330CF68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36</xdr:col>
      <xdr:colOff>286589</xdr:colOff>
      <xdr:row>123</xdr:row>
      <xdr:rowOff>117232</xdr:rowOff>
    </xdr:from>
    <xdr:to>
      <xdr:col>78</xdr:col>
      <xdr:colOff>410307</xdr:colOff>
      <xdr:row>222</xdr:row>
      <xdr:rowOff>117231</xdr:rowOff>
    </xdr:to>
    <xdr:graphicFrame macro="">
      <xdr:nvGraphicFramePr>
        <xdr:cNvPr id="9" name="Chart 8">
          <a:extLst>
            <a:ext uri="{FF2B5EF4-FFF2-40B4-BE49-F238E27FC236}">
              <a16:creationId xmlns:a16="http://schemas.microsoft.com/office/drawing/2014/main" id="{A4F628BA-02E7-4882-BC33-5114E3D37C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504744</xdr:colOff>
      <xdr:row>4</xdr:row>
      <xdr:rowOff>-1</xdr:rowOff>
    </xdr:from>
    <xdr:to>
      <xdr:col>187</xdr:col>
      <xdr:colOff>293076</xdr:colOff>
      <xdr:row>29</xdr:row>
      <xdr:rowOff>100950</xdr:rowOff>
    </xdr:to>
    <xdr:grpSp>
      <xdr:nvGrpSpPr>
        <xdr:cNvPr id="24" name="Group 23">
          <a:extLst>
            <a:ext uri="{FF2B5EF4-FFF2-40B4-BE49-F238E27FC236}">
              <a16:creationId xmlns:a16="http://schemas.microsoft.com/office/drawing/2014/main" id="{FDAE98E6-AA86-72CD-BCB1-3F12A53133CE}"/>
            </a:ext>
          </a:extLst>
        </xdr:cNvPr>
        <xdr:cNvGrpSpPr/>
      </xdr:nvGrpSpPr>
      <xdr:grpSpPr>
        <a:xfrm>
          <a:off x="504744" y="703384"/>
          <a:ext cx="109750794" cy="4497104"/>
          <a:chOff x="446128" y="586153"/>
          <a:chExt cx="109727404" cy="4497104"/>
        </a:xfrm>
      </xdr:grpSpPr>
      <xdr:sp macro="" textlink="">
        <xdr:nvSpPr>
          <xdr:cNvPr id="14" name="Rectangle: Rounded Corners 13">
            <a:extLst>
              <a:ext uri="{FF2B5EF4-FFF2-40B4-BE49-F238E27FC236}">
                <a16:creationId xmlns:a16="http://schemas.microsoft.com/office/drawing/2014/main" id="{C4ADB76E-73A6-4858-A747-67CA875520CD}"/>
              </a:ext>
            </a:extLst>
          </xdr:cNvPr>
          <xdr:cNvSpPr/>
        </xdr:nvSpPr>
        <xdr:spPr>
          <a:xfrm>
            <a:off x="40679078" y="586154"/>
            <a:ext cx="26787230" cy="4396154"/>
          </a:xfrm>
          <a:prstGeom prst="roundRect">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8800" b="1"/>
              <a:t> </a:t>
            </a:r>
            <a:r>
              <a:rPr lang="en-IN" sz="11500" b="1"/>
              <a:t>SUVIDHA</a:t>
            </a:r>
            <a:r>
              <a:rPr lang="en-IN" sz="11500" b="1" baseline="0"/>
              <a:t> </a:t>
            </a:r>
            <a:r>
              <a:rPr lang="en-IN" sz="11500" b="1"/>
              <a:t>FINANCE Ltd. (NBFC LOAN PORTFOLIO)</a:t>
            </a:r>
            <a:endParaRPr lang="en-IN" sz="8000" b="1"/>
          </a:p>
        </xdr:txBody>
      </xdr:sp>
      <xdr:sp macro="" textlink="">
        <xdr:nvSpPr>
          <xdr:cNvPr id="15" name="Rectangle: Rounded Corners 14">
            <a:extLst>
              <a:ext uri="{FF2B5EF4-FFF2-40B4-BE49-F238E27FC236}">
                <a16:creationId xmlns:a16="http://schemas.microsoft.com/office/drawing/2014/main" id="{0B907EA4-18E5-449B-AEF3-41A747F889F7}"/>
              </a:ext>
            </a:extLst>
          </xdr:cNvPr>
          <xdr:cNvSpPr/>
        </xdr:nvSpPr>
        <xdr:spPr>
          <a:xfrm>
            <a:off x="26723014" y="644769"/>
            <a:ext cx="13633676" cy="4321257"/>
          </a:xfrm>
          <a:prstGeom prst="roundRect">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9600" b="1"/>
              <a:t>TOTAL</a:t>
            </a:r>
            <a:r>
              <a:rPr lang="en-IN" sz="9600" b="1" baseline="0"/>
              <a:t> INTEREST INCOME</a:t>
            </a:r>
            <a:endParaRPr lang="en-IN" sz="9600" b="1"/>
          </a:p>
        </xdr:txBody>
      </xdr:sp>
      <xdr:sp macro="" textlink="">
        <xdr:nvSpPr>
          <xdr:cNvPr id="10" name="Rectangle: Rounded Corners 9">
            <a:extLst>
              <a:ext uri="{FF2B5EF4-FFF2-40B4-BE49-F238E27FC236}">
                <a16:creationId xmlns:a16="http://schemas.microsoft.com/office/drawing/2014/main" id="{099F51B9-25E4-8F11-2958-C8C8C5B40C6A}"/>
              </a:ext>
            </a:extLst>
          </xdr:cNvPr>
          <xdr:cNvSpPr/>
        </xdr:nvSpPr>
        <xdr:spPr>
          <a:xfrm>
            <a:off x="446128" y="703383"/>
            <a:ext cx="10573565" cy="4220309"/>
          </a:xfrm>
          <a:prstGeom prst="roundRect">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9600" b="1"/>
              <a:t>TOTAL</a:t>
            </a:r>
            <a:r>
              <a:rPr lang="en-IN" sz="9600" b="1" baseline="0"/>
              <a:t> LOANS</a:t>
            </a:r>
            <a:endParaRPr lang="en-IN" sz="9600" b="1"/>
          </a:p>
        </xdr:txBody>
      </xdr:sp>
      <xdr:sp macro="" textlink="$EJ$5">
        <xdr:nvSpPr>
          <xdr:cNvPr id="11" name="Oval 10">
            <a:extLst>
              <a:ext uri="{FF2B5EF4-FFF2-40B4-BE49-F238E27FC236}">
                <a16:creationId xmlns:a16="http://schemas.microsoft.com/office/drawing/2014/main" id="{F8078634-8741-3EE6-AE88-37216F5FB793}"/>
              </a:ext>
            </a:extLst>
          </xdr:cNvPr>
          <xdr:cNvSpPr/>
        </xdr:nvSpPr>
        <xdr:spPr>
          <a:xfrm>
            <a:off x="1175565" y="2035257"/>
            <a:ext cx="9375205" cy="2478127"/>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F5B72CD-DA7C-4F02-9452-ACB65B95C8D6}" type="TxLink">
              <a:rPr lang="en-US" sz="11500" b="1" i="0" u="none" strike="noStrike">
                <a:solidFill>
                  <a:schemeClr val="bg1"/>
                </a:solidFill>
                <a:latin typeface="Calibri"/>
                <a:ea typeface="Calibri"/>
                <a:cs typeface="Calibri"/>
              </a:rPr>
              <a:pPr algn="ctr"/>
              <a:t>200</a:t>
            </a:fld>
            <a:endParaRPr lang="en-IN" sz="1400" b="1">
              <a:solidFill>
                <a:schemeClr val="bg1"/>
              </a:solidFill>
            </a:endParaRPr>
          </a:p>
        </xdr:txBody>
      </xdr:sp>
      <xdr:sp macro="" textlink="">
        <xdr:nvSpPr>
          <xdr:cNvPr id="12" name="Rectangle: Rounded Corners 11">
            <a:extLst>
              <a:ext uri="{FF2B5EF4-FFF2-40B4-BE49-F238E27FC236}">
                <a16:creationId xmlns:a16="http://schemas.microsoft.com/office/drawing/2014/main" id="{26132204-3C51-4C0E-BAE5-0DA5702B1937}"/>
              </a:ext>
            </a:extLst>
          </xdr:cNvPr>
          <xdr:cNvSpPr/>
        </xdr:nvSpPr>
        <xdr:spPr>
          <a:xfrm>
            <a:off x="11720674" y="703384"/>
            <a:ext cx="14363184" cy="4337538"/>
          </a:xfrm>
          <a:prstGeom prst="roundRect">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9600" b="1"/>
              <a:t>TOTAL</a:t>
            </a:r>
            <a:r>
              <a:rPr lang="en-IN" sz="9600" b="1" baseline="0"/>
              <a:t> LOAN AMOUNT</a:t>
            </a:r>
            <a:endParaRPr lang="en-IN" sz="9600" b="1"/>
          </a:p>
        </xdr:txBody>
      </xdr:sp>
      <xdr:sp macro="" textlink="EJ1">
        <xdr:nvSpPr>
          <xdr:cNvPr id="13" name="Oval 12">
            <a:extLst>
              <a:ext uri="{FF2B5EF4-FFF2-40B4-BE49-F238E27FC236}">
                <a16:creationId xmlns:a16="http://schemas.microsoft.com/office/drawing/2014/main" id="{9DC57E0A-1925-2B3D-0705-DAC74E31997B}"/>
              </a:ext>
            </a:extLst>
          </xdr:cNvPr>
          <xdr:cNvSpPr/>
        </xdr:nvSpPr>
        <xdr:spPr>
          <a:xfrm>
            <a:off x="13299181" y="2168768"/>
            <a:ext cx="11136922" cy="2461846"/>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81EA31C-57CF-4C64-A168-81509DBA5618}" type="TxLink">
              <a:rPr lang="en-US" sz="11500" b="1" i="0" u="none" strike="noStrike">
                <a:solidFill>
                  <a:schemeClr val="bg1"/>
                </a:solidFill>
                <a:latin typeface="Calibri"/>
                <a:ea typeface="Calibri"/>
                <a:cs typeface="Calibri"/>
              </a:rPr>
              <a:pPr algn="ctr"/>
              <a:t>109375000</a:t>
            </a:fld>
            <a:endParaRPr lang="en-IN" sz="1600" b="1">
              <a:solidFill>
                <a:schemeClr val="bg1"/>
              </a:solidFill>
            </a:endParaRPr>
          </a:p>
        </xdr:txBody>
      </xdr:sp>
      <xdr:sp macro="" textlink="$EI$2">
        <xdr:nvSpPr>
          <xdr:cNvPr id="16" name="Oval 15">
            <a:extLst>
              <a:ext uri="{FF2B5EF4-FFF2-40B4-BE49-F238E27FC236}">
                <a16:creationId xmlns:a16="http://schemas.microsoft.com/office/drawing/2014/main" id="{335DBEF8-4B62-6A60-238F-6444151BCA05}"/>
              </a:ext>
            </a:extLst>
          </xdr:cNvPr>
          <xdr:cNvSpPr/>
        </xdr:nvSpPr>
        <xdr:spPr>
          <a:xfrm>
            <a:off x="27294082" y="2344614"/>
            <a:ext cx="11919611" cy="22860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2634BFBE-9605-4C7F-B6FB-A2BCA185F4C9}" type="TxLink">
              <a:rPr lang="en-US" sz="11500" b="1" i="0" u="none" strike="noStrike">
                <a:solidFill>
                  <a:schemeClr val="bg1"/>
                </a:solidFill>
                <a:latin typeface="Calibri"/>
                <a:ea typeface="Calibri"/>
                <a:cs typeface="Calibri"/>
              </a:rPr>
              <a:pPr algn="ctr"/>
              <a:t>3628756</a:t>
            </a:fld>
            <a:endParaRPr lang="en-US" sz="1200" b="1">
              <a:solidFill>
                <a:schemeClr val="bg1"/>
              </a:solidFill>
            </a:endParaRPr>
          </a:p>
        </xdr:txBody>
      </xdr:sp>
      <xdr:sp macro="" textlink="">
        <xdr:nvSpPr>
          <xdr:cNvPr id="17" name="Rectangle: Rounded Corners 16">
            <a:extLst>
              <a:ext uri="{FF2B5EF4-FFF2-40B4-BE49-F238E27FC236}">
                <a16:creationId xmlns:a16="http://schemas.microsoft.com/office/drawing/2014/main" id="{B15BF802-C26F-446C-8C39-E066C268B409}"/>
              </a:ext>
            </a:extLst>
          </xdr:cNvPr>
          <xdr:cNvSpPr/>
        </xdr:nvSpPr>
        <xdr:spPr>
          <a:xfrm>
            <a:off x="67993847" y="644768"/>
            <a:ext cx="17174307" cy="4438489"/>
          </a:xfrm>
          <a:prstGeom prst="roundRect">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9600" b="1"/>
              <a:t>TOTAL</a:t>
            </a:r>
            <a:r>
              <a:rPr lang="en-IN" sz="9600" b="1" baseline="0"/>
              <a:t> OUTSTANDING AMOUNT</a:t>
            </a:r>
            <a:endParaRPr lang="en-IN" sz="9600" b="1"/>
          </a:p>
        </xdr:txBody>
      </xdr:sp>
      <xdr:sp macro="" textlink="$EH$2">
        <xdr:nvSpPr>
          <xdr:cNvPr id="18" name="Oval 17">
            <a:extLst>
              <a:ext uri="{FF2B5EF4-FFF2-40B4-BE49-F238E27FC236}">
                <a16:creationId xmlns:a16="http://schemas.microsoft.com/office/drawing/2014/main" id="{A5E10423-EF7A-995E-4C0A-524FCC539112}"/>
              </a:ext>
            </a:extLst>
          </xdr:cNvPr>
          <xdr:cNvSpPr/>
        </xdr:nvSpPr>
        <xdr:spPr>
          <a:xfrm>
            <a:off x="70310880" y="2227384"/>
            <a:ext cx="12757466" cy="2461846"/>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3E1A5E72-BACF-49CE-97AC-B06BEADF81DC}" type="TxLink">
              <a:rPr lang="en-US" sz="11500" b="1" i="0" u="none" strike="noStrike">
                <a:solidFill>
                  <a:schemeClr val="bg1"/>
                </a:solidFill>
                <a:latin typeface="Calibri"/>
                <a:ea typeface="Calibri"/>
                <a:cs typeface="Calibri"/>
              </a:rPr>
              <a:pPr algn="ctr"/>
              <a:t>99301530</a:t>
            </a:fld>
            <a:endParaRPr lang="en-IN" sz="1600" b="1">
              <a:solidFill>
                <a:schemeClr val="bg1"/>
              </a:solidFill>
            </a:endParaRPr>
          </a:p>
        </xdr:txBody>
      </xdr:sp>
      <xdr:sp macro="" textlink="">
        <xdr:nvSpPr>
          <xdr:cNvPr id="19" name="Rectangle: Rounded Corners 18">
            <a:extLst>
              <a:ext uri="{FF2B5EF4-FFF2-40B4-BE49-F238E27FC236}">
                <a16:creationId xmlns:a16="http://schemas.microsoft.com/office/drawing/2014/main" id="{F0DEEA24-1647-4E6B-9CF1-1C2F26C9E270}"/>
              </a:ext>
            </a:extLst>
          </xdr:cNvPr>
          <xdr:cNvSpPr/>
        </xdr:nvSpPr>
        <xdr:spPr>
          <a:xfrm>
            <a:off x="85519847" y="586153"/>
            <a:ext cx="10726615" cy="4371500"/>
          </a:xfrm>
          <a:prstGeom prst="roundRect">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8800" b="1"/>
              <a:t>TOTAL</a:t>
            </a:r>
            <a:r>
              <a:rPr lang="en-IN" sz="8800" b="1" baseline="0"/>
              <a:t> NPA%</a:t>
            </a:r>
            <a:endParaRPr lang="en-IN" sz="8800" b="1"/>
          </a:p>
        </xdr:txBody>
      </xdr:sp>
      <xdr:sp macro="" textlink="$FU$3">
        <xdr:nvSpPr>
          <xdr:cNvPr id="21" name="Oval 20">
            <a:extLst>
              <a:ext uri="{FF2B5EF4-FFF2-40B4-BE49-F238E27FC236}">
                <a16:creationId xmlns:a16="http://schemas.microsoft.com/office/drawing/2014/main" id="{000AD096-D233-52F8-7AFB-76B403418287}"/>
              </a:ext>
            </a:extLst>
          </xdr:cNvPr>
          <xdr:cNvSpPr/>
        </xdr:nvSpPr>
        <xdr:spPr>
          <a:xfrm>
            <a:off x="86064132" y="2219009"/>
            <a:ext cx="9458011" cy="2294374"/>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8B803B64-97FE-4989-B313-3140C3D03242}" type="TxLink">
              <a:rPr lang="en-US" sz="11500" b="1" i="0" u="none" strike="noStrike">
                <a:solidFill>
                  <a:schemeClr val="bg1"/>
                </a:solidFill>
                <a:latin typeface="Calibri"/>
                <a:ea typeface="Calibri"/>
                <a:cs typeface="Calibri"/>
              </a:rPr>
              <a:pPr algn="ctr"/>
              <a:t>8%</a:t>
            </a:fld>
            <a:endParaRPr lang="en-IN" sz="1400" b="1">
              <a:solidFill>
                <a:schemeClr val="bg1"/>
              </a:solidFill>
            </a:endParaRPr>
          </a:p>
        </xdr:txBody>
      </xdr:sp>
      <xdr:sp macro="" textlink="">
        <xdr:nvSpPr>
          <xdr:cNvPr id="22" name="Rectangle: Rounded Corners 21">
            <a:extLst>
              <a:ext uri="{FF2B5EF4-FFF2-40B4-BE49-F238E27FC236}">
                <a16:creationId xmlns:a16="http://schemas.microsoft.com/office/drawing/2014/main" id="{76B3C7DB-4AE8-4497-ADED-13694CE2119B}"/>
              </a:ext>
            </a:extLst>
          </xdr:cNvPr>
          <xdr:cNvSpPr/>
        </xdr:nvSpPr>
        <xdr:spPr>
          <a:xfrm>
            <a:off x="96656769" y="586153"/>
            <a:ext cx="13516763" cy="4364801"/>
          </a:xfrm>
          <a:prstGeom prst="roundRect">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8800" b="1"/>
              <a:t>TOTAL</a:t>
            </a:r>
            <a:r>
              <a:rPr lang="en-IN" sz="8800" b="1" baseline="0"/>
              <a:t> OVERDUE %</a:t>
            </a:r>
            <a:endParaRPr lang="en-IN" sz="8800" b="1"/>
          </a:p>
        </xdr:txBody>
      </xdr:sp>
      <xdr:sp macro="" textlink="$GA$9">
        <xdr:nvSpPr>
          <xdr:cNvPr id="23" name="Oval 22">
            <a:extLst>
              <a:ext uri="{FF2B5EF4-FFF2-40B4-BE49-F238E27FC236}">
                <a16:creationId xmlns:a16="http://schemas.microsoft.com/office/drawing/2014/main" id="{9401DC77-316A-A486-0710-9FB639B5E6B0}"/>
              </a:ext>
            </a:extLst>
          </xdr:cNvPr>
          <xdr:cNvSpPr/>
        </xdr:nvSpPr>
        <xdr:spPr>
          <a:xfrm>
            <a:off x="97711845" y="2168768"/>
            <a:ext cx="11605847" cy="2403231"/>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674F8CB-BC9F-49B1-AC66-297703228B7A}" type="TxLink">
              <a:rPr lang="en-US" sz="11500" b="1" i="0" u="none" strike="noStrike">
                <a:solidFill>
                  <a:schemeClr val="bg1"/>
                </a:solidFill>
                <a:latin typeface="Calibri"/>
                <a:ea typeface="Calibri"/>
                <a:cs typeface="Calibri"/>
              </a:rPr>
              <a:pPr algn="ctr"/>
              <a:t>18.5%</a:t>
            </a:fld>
            <a:endParaRPr lang="en-IN" sz="1400" b="1">
              <a:solidFill>
                <a:schemeClr val="bg1"/>
              </a:solidFill>
            </a:endParaRPr>
          </a:p>
        </xdr:txBody>
      </xdr:sp>
    </xdr:grpSp>
    <xdr:clientData/>
  </xdr:twoCellAnchor>
  <xdr:twoCellAnchor editAs="oneCell">
    <xdr:from>
      <xdr:col>163</xdr:col>
      <xdr:colOff>527539</xdr:colOff>
      <xdr:row>33</xdr:row>
      <xdr:rowOff>117228</xdr:rowOff>
    </xdr:from>
    <xdr:to>
      <xdr:col>187</xdr:col>
      <xdr:colOff>293078</xdr:colOff>
      <xdr:row>144</xdr:row>
      <xdr:rowOff>117231</xdr:rowOff>
    </xdr:to>
    <mc:AlternateContent xmlns:mc="http://schemas.openxmlformats.org/markup-compatibility/2006" xmlns:a14="http://schemas.microsoft.com/office/drawing/2010/main">
      <mc:Choice Requires="a14">
        <xdr:graphicFrame macro="">
          <xdr:nvGraphicFramePr>
            <xdr:cNvPr id="25" name="LOAN PRODUCT">
              <a:extLst>
                <a:ext uri="{FF2B5EF4-FFF2-40B4-BE49-F238E27FC236}">
                  <a16:creationId xmlns:a16="http://schemas.microsoft.com/office/drawing/2014/main" id="{AF63F062-480A-4B9E-B876-A6437684100D}"/>
                </a:ext>
              </a:extLst>
            </xdr:cNvPr>
            <xdr:cNvGraphicFramePr/>
          </xdr:nvGraphicFramePr>
          <xdr:xfrm>
            <a:off x="0" y="0"/>
            <a:ext cx="0" cy="0"/>
          </xdr:xfrm>
          <a:graphic>
            <a:graphicData uri="http://schemas.microsoft.com/office/drawing/2010/slicer">
              <sle:slicer xmlns:sle="http://schemas.microsoft.com/office/drawing/2010/slicer" name="LOAN PRODUCT"/>
            </a:graphicData>
          </a:graphic>
        </xdr:graphicFrame>
      </mc:Choice>
      <mc:Fallback xmlns="">
        <xdr:sp macro="" textlink="">
          <xdr:nvSpPr>
            <xdr:cNvPr id="0" name=""/>
            <xdr:cNvSpPr>
              <a:spLocks noTextEdit="1"/>
            </xdr:cNvSpPr>
          </xdr:nvSpPr>
          <xdr:spPr>
            <a:xfrm>
              <a:off x="96422308" y="5920151"/>
              <a:ext cx="13833232" cy="195189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163</xdr:col>
      <xdr:colOff>527540</xdr:colOff>
      <xdr:row>149</xdr:row>
      <xdr:rowOff>58614</xdr:rowOff>
    </xdr:from>
    <xdr:to>
      <xdr:col>187</xdr:col>
      <xdr:colOff>175847</xdr:colOff>
      <xdr:row>223</xdr:row>
      <xdr:rowOff>0</xdr:rowOff>
    </xdr:to>
    <mc:AlternateContent xmlns:mc="http://schemas.openxmlformats.org/markup-compatibility/2006" xmlns:a14="http://schemas.microsoft.com/office/drawing/2010/main">
      <mc:Choice Requires="a14">
        <xdr:graphicFrame macro="">
          <xdr:nvGraphicFramePr>
            <xdr:cNvPr id="26" name="Region 1">
              <a:extLst>
                <a:ext uri="{FF2B5EF4-FFF2-40B4-BE49-F238E27FC236}">
                  <a16:creationId xmlns:a16="http://schemas.microsoft.com/office/drawing/2014/main" id="{C46998DE-75A6-4174-8F05-3A8CCC339D37}"/>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96422309" y="26259691"/>
              <a:ext cx="13716000" cy="129540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wanth mt" refreshedDate="46297.860374768519" createdVersion="8" refreshedVersion="8" minRefreshableVersion="3" recordCount="200" xr:uid="{1450F59A-4A92-44D4-92D3-D11870A1EB43}">
  <cacheSource type="worksheet">
    <worksheetSource ref="A1:T201" sheet="LoanData"/>
  </cacheSource>
  <cacheFields count="26">
    <cacheField name="LoanID" numFmtId="0">
      <sharedItems count="200">
        <s v="SFL-10001"/>
        <s v="SFL-10002"/>
        <s v="SFL-10003"/>
        <s v="SFL-10004"/>
        <s v="SFL-10005"/>
        <s v="SFL-10006"/>
        <s v="SFL-10007"/>
        <s v="SFL-10008"/>
        <s v="SFL-10009"/>
        <s v="SFL-10010"/>
        <s v="SFL-10011"/>
        <s v="SFL-10012"/>
        <s v="SFL-10013"/>
        <s v="SFL-10014"/>
        <s v="SFL-10015"/>
        <s v="SFL-10016"/>
        <s v="SFL-10017"/>
        <s v="SFL-10018"/>
        <s v="SFL-10019"/>
        <s v="SFL-10020"/>
        <s v="SFL-10021"/>
        <s v="SFL-10022"/>
        <s v="SFL-10023"/>
        <s v="SFL-10024"/>
        <s v="SFL-10025"/>
        <s v="SFL-10026"/>
        <s v="SFL-10027"/>
        <s v="SFL-10028"/>
        <s v="SFL-10029"/>
        <s v="SFL-10030"/>
        <s v="SFL-10031"/>
        <s v="SFL-10032"/>
        <s v="SFL-10033"/>
        <s v="SFL-10034"/>
        <s v="SFL-10035"/>
        <s v="SFL-10036"/>
        <s v="SFL-10037"/>
        <s v="SFL-10038"/>
        <s v="SFL-10039"/>
        <s v="SFL-10040"/>
        <s v="SFL-10041"/>
        <s v="SFL-10042"/>
        <s v="SFL-10043"/>
        <s v="SFL-10044"/>
        <s v="SFL-10045"/>
        <s v="SFL-10046"/>
        <s v="SFL-10047"/>
        <s v="SFL-10048"/>
        <s v="SFL-10049"/>
        <s v="SFL-10050"/>
        <s v="SFL-10051"/>
        <s v="SFL-10052"/>
        <s v="SFL-10053"/>
        <s v="SFL-10054"/>
        <s v="SFL-10055"/>
        <s v="SFL-10056"/>
        <s v="SFL-10057"/>
        <s v="SFL-10058"/>
        <s v="SFL-10059"/>
        <s v="SFL-10060"/>
        <s v="SFL-10061"/>
        <s v="SFL-10062"/>
        <s v="SFL-10063"/>
        <s v="SFL-10064"/>
        <s v="SFL-10065"/>
        <s v="SFL-10066"/>
        <s v="SFL-10067"/>
        <s v="SFL-10068"/>
        <s v="SFL-10069"/>
        <s v="SFL-10070"/>
        <s v="SFL-10071"/>
        <s v="SFL-10072"/>
        <s v="SFL-10073"/>
        <s v="SFL-10074"/>
        <s v="SFL-10075"/>
        <s v="SFL-10076"/>
        <s v="SFL-10077"/>
        <s v="SFL-10078"/>
        <s v="SFL-10079"/>
        <s v="SFL-10080"/>
        <s v="SFL-10081"/>
        <s v="SFL-10082"/>
        <s v="SFL-10083"/>
        <s v="SFL-10084"/>
        <s v="SFL-10085"/>
        <s v="SFL-10086"/>
        <s v="SFL-10087"/>
        <s v="SFL-10088"/>
        <s v="SFL-10089"/>
        <s v="SFL-10090"/>
        <s v="SFL-10091"/>
        <s v="SFL-10092"/>
        <s v="SFL-10093"/>
        <s v="SFL-10094"/>
        <s v="SFL-10095"/>
        <s v="SFL-10096"/>
        <s v="SFL-10097"/>
        <s v="SFL-10098"/>
        <s v="SFL-10099"/>
        <s v="SFL-10100"/>
        <s v="SFL-10101"/>
        <s v="SFL-10102"/>
        <s v="SFL-10103"/>
        <s v="SFL-10104"/>
        <s v="SFL-10105"/>
        <s v="SFL-10106"/>
        <s v="SFL-10107"/>
        <s v="SFL-10108"/>
        <s v="SFL-10109"/>
        <s v="SFL-10110"/>
        <s v="SFL-10111"/>
        <s v="SFL-10112"/>
        <s v="SFL-10113"/>
        <s v="SFL-10114"/>
        <s v="SFL-10115"/>
        <s v="SFL-10116"/>
        <s v="SFL-10117"/>
        <s v="SFL-10118"/>
        <s v="SFL-10119"/>
        <s v="SFL-10120"/>
        <s v="SFL-10121"/>
        <s v="SFL-10122"/>
        <s v="SFL-10123"/>
        <s v="SFL-10124"/>
        <s v="SFL-10125"/>
        <s v="SFL-10126"/>
        <s v="SFL-10127"/>
        <s v="SFL-10128"/>
        <s v="SFL-10129"/>
        <s v="SFL-10130"/>
        <s v="SFL-10131"/>
        <s v="SFL-10132"/>
        <s v="SFL-10133"/>
        <s v="SFL-10134"/>
        <s v="SFL-10135"/>
        <s v="SFL-10136"/>
        <s v="SFL-10137"/>
        <s v="SFL-10138"/>
        <s v="SFL-10139"/>
        <s v="SFL-10140"/>
        <s v="SFL-10141"/>
        <s v="SFL-10142"/>
        <s v="SFL-10143"/>
        <s v="SFL-10144"/>
        <s v="SFL-10145"/>
        <s v="SFL-10146"/>
        <s v="SFL-10147"/>
        <s v="SFL-10148"/>
        <s v="SFL-10149"/>
        <s v="SFL-10150"/>
        <s v="SFL-10151"/>
        <s v="SFL-10152"/>
        <s v="SFL-10153"/>
        <s v="SFL-10154"/>
        <s v="SFL-10155"/>
        <s v="SFL-10156"/>
        <s v="SFL-10157"/>
        <s v="SFL-10158"/>
        <s v="SFL-10159"/>
        <s v="SFL-10160"/>
        <s v="SFL-10161"/>
        <s v="SFL-10162"/>
        <s v="SFL-10163"/>
        <s v="SFL-10164"/>
        <s v="SFL-10165"/>
        <s v="SFL-10166"/>
        <s v="SFL-10167"/>
        <s v="SFL-10168"/>
        <s v="SFL-10169"/>
        <s v="SFL-10170"/>
        <s v="SFL-10171"/>
        <s v="SFL-10172"/>
        <s v="SFL-10173"/>
        <s v="SFL-10174"/>
        <s v="SFL-10175"/>
        <s v="SFL-10176"/>
        <s v="SFL-10177"/>
        <s v="SFL-10178"/>
        <s v="SFL-10179"/>
        <s v="SFL-10180"/>
        <s v="SFL-10181"/>
        <s v="SFL-10182"/>
        <s v="SFL-10183"/>
        <s v="SFL-10184"/>
        <s v="SFL-10185"/>
        <s v="SFL-10186"/>
        <s v="SFL-10187"/>
        <s v="SFL-10188"/>
        <s v="SFL-10189"/>
        <s v="SFL-10190"/>
        <s v="SFL-10191"/>
        <s v="SFL-10192"/>
        <s v="SFL-10193"/>
        <s v="SFL-10194"/>
        <s v="SFL-10195"/>
        <s v="SFL-10196"/>
        <s v="SFL-10197"/>
        <s v="SFL-10198"/>
        <s v="SFL-10199"/>
        <s v="SFL-10200"/>
      </sharedItems>
    </cacheField>
    <cacheField name="BranchName" numFmtId="0">
      <sharedItems count="8">
        <s v="Bengaluru-01"/>
        <s v="Delhi-01"/>
        <s v="Pune-01"/>
        <s v="Mumbai-01"/>
        <s v="Kolkata-01"/>
        <s v="Chennai-01"/>
        <s v="Lucknow-01"/>
        <s v="Bhubaneswar-01"/>
      </sharedItems>
    </cacheField>
    <cacheField name="Region" numFmtId="0">
      <sharedItems count="4">
        <s v="South"/>
        <s v="North"/>
        <s v="West"/>
        <s v="East"/>
      </sharedItems>
    </cacheField>
    <cacheField name="LoanProduct" numFmtId="0">
      <sharedItems count="5">
        <s v="Vehicle Loan"/>
        <s v="Gold Loan"/>
        <s v="Personal Loan"/>
        <s v="Home Improvement Loan"/>
        <s v="Business Loan"/>
      </sharedItems>
    </cacheField>
    <cacheField name="CustomerID" numFmtId="0">
      <sharedItems/>
    </cacheField>
    <cacheField name="EmploymentType" numFmtId="0">
      <sharedItems count="3">
        <s v="Self-Employed"/>
        <s v="Salaried"/>
        <s v="Business Owner"/>
      </sharedItems>
    </cacheField>
    <cacheField name="CustomerAge" numFmtId="0">
      <sharedItems containsSemiMixedTypes="0" containsString="0" containsNumber="1" containsInteger="1" minValue="23" maxValue="58"/>
    </cacheField>
    <cacheField name="Age Bands" numFmtId="0">
      <sharedItems count="4">
        <s v="50+"/>
        <s v="30-40"/>
        <s v="40-50"/>
        <s v="&lt;30"/>
      </sharedItems>
    </cacheField>
    <cacheField name="DisbursementDate" numFmtId="164">
      <sharedItems containsSemiMixedTypes="0" containsNonDate="0" containsDate="1" containsString="0" minDate="2024-01-01T00:00:00" maxDate="2024-06-26T00:00:00" count="117">
        <d v="2024-02-17T00:00:00"/>
        <d v="2024-06-02T00:00:00"/>
        <d v="2024-01-05T00:00:00"/>
        <d v="2024-02-06T00:00:00"/>
        <d v="2024-01-18T00:00:00"/>
        <d v="2024-04-17T00:00:00"/>
        <d v="2024-01-16T00:00:00"/>
        <d v="2024-03-12T00:00:00"/>
        <d v="2024-02-22T00:00:00"/>
        <d v="2024-04-22T00:00:00"/>
        <d v="2024-01-28T00:00:00"/>
        <d v="2024-02-24T00:00:00"/>
        <d v="2024-03-26T00:00:00"/>
        <d v="2024-02-25T00:00:00"/>
        <d v="2024-03-22T00:00:00"/>
        <d v="2024-02-03T00:00:00"/>
        <d v="2024-04-28T00:00:00"/>
        <d v="2024-04-05T00:00:00"/>
        <d v="2024-03-23T00:00:00"/>
        <d v="2024-06-14T00:00:00"/>
        <d v="2024-05-13T00:00:00"/>
        <d v="2024-04-06T00:00:00"/>
        <d v="2024-04-13T00:00:00"/>
        <d v="2024-02-08T00:00:00"/>
        <d v="2024-06-06T00:00:00"/>
        <d v="2024-01-03T00:00:00"/>
        <d v="2024-01-10T00:00:00"/>
        <d v="2024-03-07T00:00:00"/>
        <d v="2024-01-14T00:00:00"/>
        <d v="2024-01-22T00:00:00"/>
        <d v="2024-02-23T00:00:00"/>
        <d v="2024-05-18T00:00:00"/>
        <d v="2024-03-06T00:00:00"/>
        <d v="2024-05-05T00:00:00"/>
        <d v="2024-01-06T00:00:00"/>
        <d v="2024-04-16T00:00:00"/>
        <d v="2024-06-08T00:00:00"/>
        <d v="2024-02-16T00:00:00"/>
        <d v="2024-03-13T00:00:00"/>
        <d v="2024-01-07T00:00:00"/>
        <d v="2024-06-07T00:00:00"/>
        <d v="2024-03-01T00:00:00"/>
        <d v="2024-01-24T00:00:00"/>
        <d v="2024-06-12T00:00:00"/>
        <d v="2024-02-02T00:00:00"/>
        <d v="2024-03-24T00:00:00"/>
        <d v="2024-04-21T00:00:00"/>
        <d v="2024-02-07T00:00:00"/>
        <d v="2024-06-20T00:00:00"/>
        <d v="2024-06-25T00:00:00"/>
        <d v="2024-01-21T00:00:00"/>
        <d v="2024-04-07T00:00:00"/>
        <d v="2024-03-21T00:00:00"/>
        <d v="2024-02-28T00:00:00"/>
        <d v="2024-05-15T00:00:00"/>
        <d v="2024-06-18T00:00:00"/>
        <d v="2024-04-24T00:00:00"/>
        <d v="2024-05-09T00:00:00"/>
        <d v="2024-02-15T00:00:00"/>
        <d v="2024-05-14T00:00:00"/>
        <d v="2024-03-27T00:00:00"/>
        <d v="2024-02-18T00:00:00"/>
        <d v="2024-04-10T00:00:00"/>
        <d v="2024-01-09T00:00:00"/>
        <d v="2024-03-20T00:00:00"/>
        <d v="2024-02-13T00:00:00"/>
        <d v="2024-01-11T00:00:00"/>
        <d v="2024-04-25T00:00:00"/>
        <d v="2024-03-09T00:00:00"/>
        <d v="2024-03-25T00:00:00"/>
        <d v="2024-06-03T00:00:00"/>
        <d v="2024-06-16T00:00:00"/>
        <d v="2024-01-01T00:00:00"/>
        <d v="2024-05-06T00:00:00"/>
        <d v="2024-04-23T00:00:00"/>
        <d v="2024-06-24T00:00:00"/>
        <d v="2024-01-17T00:00:00"/>
        <d v="2024-02-12T00:00:00"/>
        <d v="2024-05-02T00:00:00"/>
        <d v="2024-06-21T00:00:00"/>
        <d v="2024-03-14T00:00:00"/>
        <d v="2024-03-11T00:00:00"/>
        <d v="2024-02-26T00:00:00"/>
        <d v="2024-03-05T00:00:00"/>
        <d v="2024-02-20T00:00:00"/>
        <d v="2024-05-07T00:00:00"/>
        <d v="2024-05-21T00:00:00"/>
        <d v="2024-04-09T00:00:00"/>
        <d v="2024-06-23T00:00:00"/>
        <d v="2024-01-19T00:00:00"/>
        <d v="2024-02-01T00:00:00"/>
        <d v="2024-05-17T00:00:00"/>
        <d v="2024-04-26T00:00:00"/>
        <d v="2024-05-27T00:00:00"/>
        <d v="2024-02-04T00:00:00"/>
        <d v="2024-05-25T00:00:00"/>
        <d v="2024-05-22T00:00:00"/>
        <d v="2024-04-08T00:00:00"/>
        <d v="2024-01-25T00:00:00"/>
        <d v="2024-01-04T00:00:00"/>
        <d v="2024-05-04T00:00:00"/>
        <d v="2024-05-26T00:00:00"/>
        <d v="2024-01-15T00:00:00"/>
        <d v="2024-03-19T00:00:00"/>
        <d v="2024-04-02T00:00:00"/>
        <d v="2024-04-15T00:00:00"/>
        <d v="2024-06-15T00:00:00"/>
        <d v="2024-02-11T00:00:00"/>
        <d v="2024-06-10T00:00:00"/>
        <d v="2024-04-11T00:00:00"/>
        <d v="2024-03-08T00:00:00"/>
        <d v="2024-06-01T00:00:00"/>
        <d v="2024-01-12T00:00:00"/>
        <d v="2024-04-19T00:00:00"/>
        <d v="2024-04-20T00:00:00"/>
        <d v="2024-01-23T00:00:00"/>
        <d v="2024-01-27T00:00:00"/>
      </sharedItems>
      <fieldGroup par="22"/>
    </cacheField>
    <cacheField name="LoanAmount" numFmtId="3">
      <sharedItems containsSemiMixedTypes="0" containsString="0" containsNumber="1" containsInteger="1" minValue="28000" maxValue="1969000"/>
    </cacheField>
    <cacheField name="TenureMonths" numFmtId="0">
      <sharedItems containsSemiMixedTypes="0" containsString="0" containsNumber="1" containsInteger="1" minValue="6" maxValue="60"/>
    </cacheField>
    <cacheField name="InterestRate" numFmtId="165">
      <sharedItems containsSemiMixedTypes="0" containsString="0" containsNumber="1" minValue="9.1" maxValue="17.7"/>
    </cacheField>
    <cacheField name="EMIAmount" numFmtId="3">
      <sharedItems containsSemiMixedTypes="0" containsString="0" containsNumber="1" containsInteger="1" minValue="1283" maxValue="70867"/>
    </cacheField>
    <cacheField name="MonthsElapsed" numFmtId="0">
      <sharedItems containsSemiMixedTypes="0" containsString="0" containsNumber="1" containsInteger="1" minValue="1" maxValue="6"/>
    </cacheField>
    <cacheField name="InstallmentsPaid" numFmtId="0">
      <sharedItems containsSemiMixedTypes="0" containsString="0" containsNumber="1" containsInteger="1" minValue="0" maxValue="6"/>
    </cacheField>
    <cacheField name="AmountCollectedTillDate" numFmtId="3">
      <sharedItems containsSemiMixedTypes="0" containsString="0" containsNumber="1" containsInteger="1" minValue="0" maxValue="354335"/>
    </cacheField>
    <cacheField name="OutstandingPrincipal" numFmtId="3">
      <sharedItems containsSemiMixedTypes="0" containsString="0" containsNumber="1" containsInteger="1" minValue="0" maxValue="1881170"/>
    </cacheField>
    <cacheField name="DPD" numFmtId="0">
      <sharedItems containsSemiMixedTypes="0" containsString="0" containsNumber="1" containsInteger="1" minValue="0" maxValue="236" count="47">
        <n v="0"/>
        <n v="77"/>
        <n v="224"/>
        <n v="32"/>
        <n v="48"/>
        <n v="236"/>
        <n v="10"/>
        <n v="71"/>
        <n v="66"/>
        <n v="68"/>
        <n v="55"/>
        <n v="69"/>
        <n v="19"/>
        <n v="52"/>
        <n v="44"/>
        <n v="195"/>
        <n v="173"/>
        <n v="38"/>
        <n v="73"/>
        <n v="93"/>
        <n v="165"/>
        <n v="188"/>
        <n v="67"/>
        <n v="157"/>
        <n v="27"/>
        <n v="57"/>
        <n v="84"/>
        <n v="59"/>
        <n v="40"/>
        <n v="14"/>
        <n v="43"/>
        <n v="63"/>
        <n v="9"/>
        <n v="35"/>
        <n v="233"/>
        <n v="75"/>
        <n v="146"/>
        <n v="51"/>
        <n v="218"/>
        <n v="193"/>
        <n v="8"/>
        <n v="135"/>
        <n v="18"/>
        <n v="76"/>
        <n v="28"/>
        <n v="213"/>
        <n v="13"/>
      </sharedItems>
      <fieldGroup base="17">
        <rangePr autoStart="0" autoEnd="0" startNum="1" endNum="90" groupInterval="90"/>
        <groupItems count="3">
          <s v="&lt;1"/>
          <s v="1-90"/>
          <s v="&gt;91"/>
        </groupItems>
      </fieldGroup>
    </cacheField>
    <cacheField name="LoanStatus" numFmtId="0">
      <sharedItems count="3">
        <s v="Active"/>
        <s v="Overdue"/>
        <s v="NPA"/>
      </sharedItems>
    </cacheField>
    <cacheField name="NPA" numFmtId="0">
      <sharedItems containsSemiMixedTypes="0" containsString="0" containsNumber="1" containsInteger="1" minValue="0" maxValue="1" count="2">
        <n v="0"/>
        <n v="1"/>
      </sharedItems>
    </cacheField>
    <cacheField name="InterestIncomeEarned" numFmtId="3">
      <sharedItems containsSemiMixedTypes="0" containsString="0" containsNumber="1" containsInteger="1" minValue="0" maxValue="122454"/>
    </cacheField>
    <cacheField name="Days (DisbursementDate)" numFmtId="0" databaseField="0">
      <fieldGroup base="8">
        <rangePr groupBy="days" startDate="2024-01-01T00:00:00" endDate="2024-06-26T00:00:00"/>
        <groupItems count="368">
          <s v="&lt;01-01-2024"/>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6-06-2024"/>
        </groupItems>
      </fieldGroup>
    </cacheField>
    <cacheField name="Months (DisbursementDate)" numFmtId="0" databaseField="0">
      <fieldGroup base="8">
        <rangePr groupBy="months" startDate="2024-01-01T00:00:00" endDate="2024-06-26T00:00:00"/>
        <groupItems count="14">
          <s v="&lt;01-01-2024"/>
          <s v="Jan"/>
          <s v="Feb"/>
          <s v="Mar"/>
          <s v="Apr"/>
          <s v="May"/>
          <s v="Jun"/>
          <s v="Jul"/>
          <s v="Aug"/>
          <s v="Sep"/>
          <s v="Oct"/>
          <s v="Nov"/>
          <s v="Dec"/>
          <s v="&gt;26-06-2024"/>
        </groupItems>
      </fieldGroup>
    </cacheField>
    <cacheField name="%Outstanding" numFmtId="0" formula="OutstandingPrincipal/LoanAmount" databaseField="0"/>
    <cacheField name="age&lt;30" numFmtId="0" formula="CustomerAge&lt;30" databaseField="0"/>
    <cacheField name="%Loan Amount" numFmtId="0" formula="InterestIncomeEarned/LoanAmount" databaseField="0"/>
  </cacheFields>
  <extLst>
    <ext xmlns:x14="http://schemas.microsoft.com/office/spreadsheetml/2009/9/main" uri="{725AE2AE-9491-48be-B2B4-4EB974FC3084}">
      <x14:pivotCacheDefinition pivotCacheId="125023293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x v="0"/>
    <x v="0"/>
    <x v="0"/>
    <x v="0"/>
    <s v="CUS-4001"/>
    <x v="0"/>
    <n v="55"/>
    <x v="0"/>
    <x v="0"/>
    <n v="989000"/>
    <n v="24"/>
    <n v="11.9"/>
    <n v="46509"/>
    <n v="5"/>
    <n v="5"/>
    <n v="232545"/>
    <n v="801815"/>
    <x v="0"/>
    <x v="0"/>
    <x v="0"/>
    <n v="45360"/>
  </r>
  <r>
    <x v="1"/>
    <x v="1"/>
    <x v="1"/>
    <x v="1"/>
    <s v="CUS-4002"/>
    <x v="1"/>
    <n v="37"/>
    <x v="1"/>
    <x v="1"/>
    <n v="281000"/>
    <n v="6"/>
    <n v="10.3"/>
    <n v="48250"/>
    <n v="1"/>
    <n v="1"/>
    <n v="48250"/>
    <n v="235162"/>
    <x v="0"/>
    <x v="0"/>
    <x v="0"/>
    <n v="2412"/>
  </r>
  <r>
    <x v="2"/>
    <x v="2"/>
    <x v="2"/>
    <x v="2"/>
    <s v="CUS-4003"/>
    <x v="1"/>
    <n v="46"/>
    <x v="2"/>
    <x v="2"/>
    <n v="481000"/>
    <n v="36"/>
    <n v="16.2"/>
    <n v="16958"/>
    <n v="6"/>
    <n v="6"/>
    <n v="101748"/>
    <n v="416055"/>
    <x v="0"/>
    <x v="0"/>
    <x v="0"/>
    <n v="36803"/>
  </r>
  <r>
    <x v="3"/>
    <x v="1"/>
    <x v="1"/>
    <x v="2"/>
    <s v="CUS-4004"/>
    <x v="0"/>
    <n v="54"/>
    <x v="0"/>
    <x v="3"/>
    <n v="254000"/>
    <n v="24"/>
    <n v="16.2"/>
    <n v="12461"/>
    <n v="5"/>
    <n v="5"/>
    <n v="62305"/>
    <n v="207605"/>
    <x v="0"/>
    <x v="0"/>
    <x v="0"/>
    <n v="15910"/>
  </r>
  <r>
    <x v="4"/>
    <x v="3"/>
    <x v="2"/>
    <x v="2"/>
    <s v="CUS-4005"/>
    <x v="2"/>
    <n v="27"/>
    <x v="3"/>
    <x v="4"/>
    <n v="401000"/>
    <n v="36"/>
    <n v="14.8"/>
    <n v="13862"/>
    <n v="6"/>
    <n v="6"/>
    <n v="83172"/>
    <n v="345828"/>
    <x v="0"/>
    <x v="0"/>
    <x v="0"/>
    <n v="28000"/>
  </r>
  <r>
    <x v="5"/>
    <x v="3"/>
    <x v="2"/>
    <x v="1"/>
    <s v="CUS-4006"/>
    <x v="0"/>
    <n v="46"/>
    <x v="2"/>
    <x v="5"/>
    <n v="278000"/>
    <n v="12"/>
    <n v="11.7"/>
    <n v="24661"/>
    <n v="3"/>
    <n v="3"/>
    <n v="73983"/>
    <n v="211504"/>
    <x v="0"/>
    <x v="0"/>
    <x v="0"/>
    <n v="7487"/>
  </r>
  <r>
    <x v="6"/>
    <x v="2"/>
    <x v="2"/>
    <x v="1"/>
    <s v="CUS-4007"/>
    <x v="2"/>
    <n v="54"/>
    <x v="0"/>
    <x v="6"/>
    <n v="28000"/>
    <n v="24"/>
    <n v="9.3000000000000007"/>
    <n v="1283"/>
    <n v="6"/>
    <n v="3"/>
    <n v="3849"/>
    <n v="24777"/>
    <x v="1"/>
    <x v="1"/>
    <x v="0"/>
    <n v="626"/>
  </r>
  <r>
    <x v="7"/>
    <x v="0"/>
    <x v="0"/>
    <x v="3"/>
    <s v="CUS-4008"/>
    <x v="2"/>
    <n v="45"/>
    <x v="2"/>
    <x v="7"/>
    <n v="785000"/>
    <n v="36"/>
    <n v="11.5"/>
    <n v="25886"/>
    <n v="4"/>
    <n v="4"/>
    <n v="103544"/>
    <n v="710484"/>
    <x v="0"/>
    <x v="0"/>
    <x v="0"/>
    <n v="29028"/>
  </r>
  <r>
    <x v="8"/>
    <x v="4"/>
    <x v="3"/>
    <x v="2"/>
    <s v="CUS-4009"/>
    <x v="0"/>
    <n v="46"/>
    <x v="2"/>
    <x v="8"/>
    <n v="126000"/>
    <n v="12"/>
    <n v="17.7"/>
    <n v="11534"/>
    <n v="5"/>
    <n v="0"/>
    <n v="0"/>
    <n v="126000"/>
    <x v="2"/>
    <x v="2"/>
    <x v="1"/>
    <n v="0"/>
  </r>
  <r>
    <x v="9"/>
    <x v="0"/>
    <x v="0"/>
    <x v="4"/>
    <s v="CUS-4010"/>
    <x v="0"/>
    <n v="55"/>
    <x v="0"/>
    <x v="9"/>
    <n v="1931000"/>
    <n v="48"/>
    <n v="14.4"/>
    <n v="53156"/>
    <n v="3"/>
    <n v="2"/>
    <n v="106312"/>
    <n v="1870673"/>
    <x v="3"/>
    <x v="1"/>
    <x v="0"/>
    <n v="45985"/>
  </r>
  <r>
    <x v="10"/>
    <x v="5"/>
    <x v="0"/>
    <x v="0"/>
    <s v="CUS-4011"/>
    <x v="1"/>
    <n v="41"/>
    <x v="2"/>
    <x v="10"/>
    <n v="1227000"/>
    <n v="36"/>
    <n v="13.1"/>
    <n v="41402"/>
    <n v="6"/>
    <n v="6"/>
    <n v="248412"/>
    <n v="1054305"/>
    <x v="0"/>
    <x v="0"/>
    <x v="0"/>
    <n v="75717"/>
  </r>
  <r>
    <x v="11"/>
    <x v="4"/>
    <x v="3"/>
    <x v="0"/>
    <s v="CUS-4012"/>
    <x v="2"/>
    <n v="32"/>
    <x v="1"/>
    <x v="11"/>
    <n v="448000"/>
    <n v="36"/>
    <n v="11.6"/>
    <n v="14795"/>
    <n v="5"/>
    <n v="5"/>
    <n v="73975"/>
    <n v="394659"/>
    <x v="0"/>
    <x v="0"/>
    <x v="0"/>
    <n v="20634"/>
  </r>
  <r>
    <x v="12"/>
    <x v="6"/>
    <x v="1"/>
    <x v="4"/>
    <s v="CUS-4013"/>
    <x v="1"/>
    <n v="36"/>
    <x v="1"/>
    <x v="12"/>
    <n v="1926000"/>
    <n v="60"/>
    <n v="14.1"/>
    <n v="44915"/>
    <n v="4"/>
    <n v="2"/>
    <n v="89830"/>
    <n v="1881170"/>
    <x v="4"/>
    <x v="1"/>
    <x v="0"/>
    <n v="45000"/>
  </r>
  <r>
    <x v="13"/>
    <x v="2"/>
    <x v="2"/>
    <x v="3"/>
    <s v="CUS-4014"/>
    <x v="2"/>
    <n v="40"/>
    <x v="1"/>
    <x v="13"/>
    <n v="727000"/>
    <n v="36"/>
    <n v="12.9"/>
    <n v="24461"/>
    <n v="5"/>
    <n v="5"/>
    <n v="122305"/>
    <n v="641965"/>
    <x v="0"/>
    <x v="0"/>
    <x v="0"/>
    <n v="37270"/>
  </r>
  <r>
    <x v="14"/>
    <x v="3"/>
    <x v="2"/>
    <x v="2"/>
    <s v="CUS-4015"/>
    <x v="2"/>
    <n v="49"/>
    <x v="2"/>
    <x v="14"/>
    <n v="169000"/>
    <n v="12"/>
    <n v="15.3"/>
    <n v="15278"/>
    <n v="4"/>
    <n v="4"/>
    <n v="61112"/>
    <n v="115496"/>
    <x v="0"/>
    <x v="0"/>
    <x v="0"/>
    <n v="7608"/>
  </r>
  <r>
    <x v="15"/>
    <x v="5"/>
    <x v="0"/>
    <x v="4"/>
    <s v="CUS-4016"/>
    <x v="2"/>
    <n v="51"/>
    <x v="0"/>
    <x v="15"/>
    <n v="371000"/>
    <n v="24"/>
    <n v="12.4"/>
    <n v="17534"/>
    <n v="5"/>
    <n v="5"/>
    <n v="87670"/>
    <n v="301070"/>
    <x v="0"/>
    <x v="0"/>
    <x v="0"/>
    <n v="17740"/>
  </r>
  <r>
    <x v="16"/>
    <x v="4"/>
    <x v="3"/>
    <x v="1"/>
    <s v="CUS-4017"/>
    <x v="1"/>
    <n v="33"/>
    <x v="1"/>
    <x v="3"/>
    <n v="171000"/>
    <n v="12"/>
    <n v="10"/>
    <n v="15034"/>
    <n v="5"/>
    <n v="5"/>
    <n v="75170"/>
    <n v="101813"/>
    <x v="0"/>
    <x v="0"/>
    <x v="0"/>
    <n v="5983"/>
  </r>
  <r>
    <x v="17"/>
    <x v="5"/>
    <x v="0"/>
    <x v="3"/>
    <s v="CUS-4018"/>
    <x v="1"/>
    <n v="47"/>
    <x v="2"/>
    <x v="16"/>
    <n v="583000"/>
    <n v="24"/>
    <n v="14.5"/>
    <n v="28129"/>
    <n v="3"/>
    <n v="0"/>
    <n v="0"/>
    <n v="583000"/>
    <x v="5"/>
    <x v="2"/>
    <x v="1"/>
    <n v="0"/>
  </r>
  <r>
    <x v="18"/>
    <x v="5"/>
    <x v="0"/>
    <x v="1"/>
    <s v="CUS-4019"/>
    <x v="1"/>
    <n v="38"/>
    <x v="1"/>
    <x v="17"/>
    <n v="290000"/>
    <n v="24"/>
    <n v="10.8"/>
    <n v="13489"/>
    <n v="3"/>
    <n v="3"/>
    <n v="40467"/>
    <n v="257067"/>
    <x v="0"/>
    <x v="0"/>
    <x v="0"/>
    <n v="7534"/>
  </r>
  <r>
    <x v="19"/>
    <x v="7"/>
    <x v="3"/>
    <x v="3"/>
    <s v="CUS-4020"/>
    <x v="2"/>
    <n v="42"/>
    <x v="2"/>
    <x v="18"/>
    <n v="124000"/>
    <n v="48"/>
    <n v="13.4"/>
    <n v="3351"/>
    <n v="4"/>
    <n v="4"/>
    <n v="13404"/>
    <n v="116001"/>
    <x v="0"/>
    <x v="0"/>
    <x v="0"/>
    <n v="5405"/>
  </r>
  <r>
    <x v="20"/>
    <x v="5"/>
    <x v="0"/>
    <x v="3"/>
    <s v="CUS-4021"/>
    <x v="1"/>
    <n v="43"/>
    <x v="2"/>
    <x v="19"/>
    <n v="661000"/>
    <n v="48"/>
    <n v="14.9"/>
    <n v="18363"/>
    <n v="1"/>
    <n v="0"/>
    <n v="0"/>
    <n v="661000"/>
    <x v="6"/>
    <x v="1"/>
    <x v="0"/>
    <n v="0"/>
  </r>
  <r>
    <x v="21"/>
    <x v="6"/>
    <x v="1"/>
    <x v="3"/>
    <s v="CUS-4022"/>
    <x v="0"/>
    <n v="56"/>
    <x v="0"/>
    <x v="20"/>
    <n v="516000"/>
    <n v="60"/>
    <n v="11.1"/>
    <n v="11245"/>
    <n v="2"/>
    <n v="2"/>
    <n v="22490"/>
    <n v="502996"/>
    <x v="0"/>
    <x v="0"/>
    <x v="0"/>
    <n v="9486"/>
  </r>
  <r>
    <x v="22"/>
    <x v="1"/>
    <x v="1"/>
    <x v="2"/>
    <s v="CUS-4023"/>
    <x v="0"/>
    <n v="48"/>
    <x v="2"/>
    <x v="19"/>
    <n v="72000"/>
    <n v="12"/>
    <n v="15.7"/>
    <n v="6522"/>
    <n v="1"/>
    <n v="1"/>
    <n v="6522"/>
    <n v="66420"/>
    <x v="0"/>
    <x v="0"/>
    <x v="0"/>
    <n v="942"/>
  </r>
  <r>
    <x v="23"/>
    <x v="0"/>
    <x v="0"/>
    <x v="0"/>
    <s v="CUS-4024"/>
    <x v="1"/>
    <n v="25"/>
    <x v="3"/>
    <x v="21"/>
    <n v="558000"/>
    <n v="48"/>
    <n v="10.9"/>
    <n v="14395"/>
    <n v="3"/>
    <n v="3"/>
    <n v="43185"/>
    <n v="529766"/>
    <x v="0"/>
    <x v="0"/>
    <x v="0"/>
    <n v="14951"/>
  </r>
  <r>
    <x v="24"/>
    <x v="0"/>
    <x v="0"/>
    <x v="3"/>
    <s v="CUS-4025"/>
    <x v="1"/>
    <n v="53"/>
    <x v="0"/>
    <x v="22"/>
    <n v="551000"/>
    <n v="48"/>
    <n v="14.4"/>
    <n v="15168"/>
    <n v="3"/>
    <n v="3"/>
    <n v="45504"/>
    <n v="525024"/>
    <x v="0"/>
    <x v="0"/>
    <x v="0"/>
    <n v="19528"/>
  </r>
  <r>
    <x v="25"/>
    <x v="3"/>
    <x v="2"/>
    <x v="4"/>
    <s v="CUS-4026"/>
    <x v="2"/>
    <n v="32"/>
    <x v="1"/>
    <x v="4"/>
    <n v="763000"/>
    <n v="60"/>
    <n v="13.2"/>
    <n v="17439"/>
    <n v="6"/>
    <n v="0"/>
    <n v="0"/>
    <n v="763000"/>
    <x v="2"/>
    <x v="2"/>
    <x v="1"/>
    <n v="0"/>
  </r>
  <r>
    <x v="26"/>
    <x v="7"/>
    <x v="3"/>
    <x v="0"/>
    <s v="CUS-4027"/>
    <x v="2"/>
    <n v="50"/>
    <x v="2"/>
    <x v="8"/>
    <n v="1476000"/>
    <n v="24"/>
    <n v="14"/>
    <n v="70867"/>
    <n v="5"/>
    <n v="5"/>
    <n v="354335"/>
    <n v="1201433"/>
    <x v="0"/>
    <x v="0"/>
    <x v="0"/>
    <n v="79768"/>
  </r>
  <r>
    <x v="27"/>
    <x v="0"/>
    <x v="0"/>
    <x v="2"/>
    <s v="CUS-4028"/>
    <x v="1"/>
    <n v="55"/>
    <x v="0"/>
    <x v="23"/>
    <n v="478000"/>
    <n v="24"/>
    <n v="15.3"/>
    <n v="23245"/>
    <n v="5"/>
    <n v="5"/>
    <n v="116225"/>
    <n v="390034"/>
    <x v="0"/>
    <x v="0"/>
    <x v="0"/>
    <n v="28259"/>
  </r>
  <r>
    <x v="28"/>
    <x v="7"/>
    <x v="3"/>
    <x v="4"/>
    <s v="CUS-4029"/>
    <x v="0"/>
    <n v="40"/>
    <x v="1"/>
    <x v="24"/>
    <n v="1893000"/>
    <n v="60"/>
    <n v="13.9"/>
    <n v="43949"/>
    <n v="1"/>
    <n v="1"/>
    <n v="43949"/>
    <n v="1870979"/>
    <x v="0"/>
    <x v="0"/>
    <x v="0"/>
    <n v="21928"/>
  </r>
  <r>
    <x v="29"/>
    <x v="4"/>
    <x v="3"/>
    <x v="4"/>
    <s v="CUS-4030"/>
    <x v="2"/>
    <n v="46"/>
    <x v="2"/>
    <x v="25"/>
    <n v="1955000"/>
    <n v="48"/>
    <n v="12.9"/>
    <n v="52351"/>
    <n v="6"/>
    <n v="6"/>
    <n v="314106"/>
    <n v="1761867"/>
    <x v="0"/>
    <x v="0"/>
    <x v="0"/>
    <n v="120973"/>
  </r>
  <r>
    <x v="30"/>
    <x v="6"/>
    <x v="1"/>
    <x v="3"/>
    <s v="CUS-4031"/>
    <x v="2"/>
    <n v="32"/>
    <x v="1"/>
    <x v="26"/>
    <n v="381000"/>
    <n v="24"/>
    <n v="12.8"/>
    <n v="18078"/>
    <n v="6"/>
    <n v="4"/>
    <n v="72312"/>
    <n v="324042"/>
    <x v="4"/>
    <x v="1"/>
    <x v="0"/>
    <n v="15354"/>
  </r>
  <r>
    <x v="31"/>
    <x v="6"/>
    <x v="1"/>
    <x v="4"/>
    <s v="CUS-4032"/>
    <x v="2"/>
    <n v="26"/>
    <x v="3"/>
    <x v="27"/>
    <n v="443000"/>
    <n v="60"/>
    <n v="15.2"/>
    <n v="10586"/>
    <n v="4"/>
    <n v="2"/>
    <n v="21172"/>
    <n v="432989"/>
    <x v="7"/>
    <x v="1"/>
    <x v="0"/>
    <n v="11161"/>
  </r>
  <r>
    <x v="32"/>
    <x v="5"/>
    <x v="0"/>
    <x v="3"/>
    <s v="CUS-4033"/>
    <x v="1"/>
    <n v="27"/>
    <x v="3"/>
    <x v="28"/>
    <n v="652000"/>
    <n v="60"/>
    <n v="14.4"/>
    <n v="15306"/>
    <n v="6"/>
    <n v="6"/>
    <n v="91836"/>
    <n v="605737"/>
    <x v="0"/>
    <x v="0"/>
    <x v="0"/>
    <n v="45573"/>
  </r>
  <r>
    <x v="33"/>
    <x v="5"/>
    <x v="0"/>
    <x v="2"/>
    <s v="CUS-4034"/>
    <x v="2"/>
    <n v="54"/>
    <x v="0"/>
    <x v="9"/>
    <n v="274000"/>
    <n v="36"/>
    <n v="16.100000000000001"/>
    <n v="9647"/>
    <n v="3"/>
    <n v="3"/>
    <n v="28941"/>
    <n v="255847"/>
    <x v="0"/>
    <x v="0"/>
    <x v="0"/>
    <n v="10788"/>
  </r>
  <r>
    <x v="34"/>
    <x v="4"/>
    <x v="3"/>
    <x v="1"/>
    <s v="CUS-4035"/>
    <x v="2"/>
    <n v="23"/>
    <x v="3"/>
    <x v="29"/>
    <n v="63000"/>
    <n v="24"/>
    <n v="9.9"/>
    <n v="2904"/>
    <n v="6"/>
    <n v="4"/>
    <n v="11616"/>
    <n v="53343"/>
    <x v="8"/>
    <x v="1"/>
    <x v="0"/>
    <n v="1959"/>
  </r>
  <r>
    <x v="35"/>
    <x v="1"/>
    <x v="1"/>
    <x v="1"/>
    <s v="CUS-4036"/>
    <x v="2"/>
    <n v="54"/>
    <x v="0"/>
    <x v="14"/>
    <n v="96000"/>
    <n v="6"/>
    <n v="9.1999999999999993"/>
    <n v="16432"/>
    <n v="4"/>
    <n v="4"/>
    <n v="65728"/>
    <n v="32490"/>
    <x v="0"/>
    <x v="0"/>
    <x v="0"/>
    <n v="2218"/>
  </r>
  <r>
    <x v="36"/>
    <x v="3"/>
    <x v="2"/>
    <x v="2"/>
    <s v="CUS-4037"/>
    <x v="0"/>
    <n v="49"/>
    <x v="2"/>
    <x v="30"/>
    <n v="97000"/>
    <n v="36"/>
    <n v="17.7"/>
    <n v="3492"/>
    <n v="5"/>
    <n v="3"/>
    <n v="10476"/>
    <n v="90724"/>
    <x v="9"/>
    <x v="1"/>
    <x v="0"/>
    <n v="4200"/>
  </r>
  <r>
    <x v="37"/>
    <x v="3"/>
    <x v="2"/>
    <x v="1"/>
    <s v="CUS-4038"/>
    <x v="2"/>
    <n v="45"/>
    <x v="2"/>
    <x v="31"/>
    <n v="252000"/>
    <n v="6"/>
    <n v="9.6"/>
    <n v="43184"/>
    <n v="2"/>
    <n v="2"/>
    <n v="86368"/>
    <n v="169335"/>
    <x v="0"/>
    <x v="0"/>
    <x v="0"/>
    <n v="3703"/>
  </r>
  <r>
    <x v="38"/>
    <x v="5"/>
    <x v="0"/>
    <x v="1"/>
    <s v="CUS-4039"/>
    <x v="1"/>
    <n v="40"/>
    <x v="1"/>
    <x v="1"/>
    <n v="158000"/>
    <n v="12"/>
    <n v="9.5"/>
    <n v="13854"/>
    <n v="1"/>
    <n v="1"/>
    <n v="13854"/>
    <n v="145397"/>
    <x v="0"/>
    <x v="0"/>
    <x v="0"/>
    <n v="1251"/>
  </r>
  <r>
    <x v="39"/>
    <x v="6"/>
    <x v="1"/>
    <x v="0"/>
    <s v="CUS-4040"/>
    <x v="0"/>
    <n v="23"/>
    <x v="3"/>
    <x v="32"/>
    <n v="394000"/>
    <n v="48"/>
    <n v="11.9"/>
    <n v="10356"/>
    <n v="4"/>
    <n v="4"/>
    <n v="41424"/>
    <n v="367818"/>
    <x v="0"/>
    <x v="0"/>
    <x v="0"/>
    <n v="15242"/>
  </r>
  <r>
    <x v="40"/>
    <x v="6"/>
    <x v="1"/>
    <x v="4"/>
    <s v="CUS-4041"/>
    <x v="1"/>
    <n v="37"/>
    <x v="1"/>
    <x v="31"/>
    <n v="528000"/>
    <n v="60"/>
    <n v="15.9"/>
    <n v="12812"/>
    <n v="2"/>
    <n v="2"/>
    <n v="25624"/>
    <n v="516291"/>
    <x v="0"/>
    <x v="0"/>
    <x v="0"/>
    <n v="13915"/>
  </r>
  <r>
    <x v="41"/>
    <x v="2"/>
    <x v="2"/>
    <x v="2"/>
    <s v="CUS-4042"/>
    <x v="2"/>
    <n v="46"/>
    <x v="2"/>
    <x v="33"/>
    <n v="158000"/>
    <n v="24"/>
    <n v="16.399999999999999"/>
    <n v="7766"/>
    <n v="2"/>
    <n v="2"/>
    <n v="15532"/>
    <n v="146709"/>
    <x v="0"/>
    <x v="0"/>
    <x v="0"/>
    <n v="4241"/>
  </r>
  <r>
    <x v="42"/>
    <x v="3"/>
    <x v="2"/>
    <x v="4"/>
    <s v="CUS-4043"/>
    <x v="2"/>
    <n v="41"/>
    <x v="2"/>
    <x v="34"/>
    <n v="1535000"/>
    <n v="48"/>
    <n v="12.9"/>
    <n v="41104"/>
    <n v="6"/>
    <n v="4"/>
    <n v="164416"/>
    <n v="1434990"/>
    <x v="10"/>
    <x v="1"/>
    <x v="0"/>
    <n v="64406"/>
  </r>
  <r>
    <x v="43"/>
    <x v="2"/>
    <x v="2"/>
    <x v="4"/>
    <s v="CUS-4044"/>
    <x v="0"/>
    <n v="37"/>
    <x v="1"/>
    <x v="35"/>
    <n v="1371000"/>
    <n v="60"/>
    <n v="13"/>
    <n v="31194"/>
    <n v="3"/>
    <n v="1"/>
    <n v="31194"/>
    <n v="1354658"/>
    <x v="11"/>
    <x v="1"/>
    <x v="0"/>
    <n v="14852"/>
  </r>
  <r>
    <x v="44"/>
    <x v="3"/>
    <x v="2"/>
    <x v="2"/>
    <s v="CUS-4045"/>
    <x v="0"/>
    <n v="31"/>
    <x v="1"/>
    <x v="36"/>
    <n v="405000"/>
    <n v="24"/>
    <n v="15.3"/>
    <n v="19695"/>
    <n v="1"/>
    <n v="1"/>
    <n v="19695"/>
    <n v="390469"/>
    <x v="0"/>
    <x v="0"/>
    <x v="0"/>
    <n v="5164"/>
  </r>
  <r>
    <x v="45"/>
    <x v="3"/>
    <x v="2"/>
    <x v="0"/>
    <s v="CUS-4046"/>
    <x v="0"/>
    <n v="52"/>
    <x v="0"/>
    <x v="37"/>
    <n v="146000"/>
    <n v="48"/>
    <n v="13.1"/>
    <n v="3924"/>
    <n v="5"/>
    <n v="3"/>
    <n v="11772"/>
    <n v="138933"/>
    <x v="7"/>
    <x v="1"/>
    <x v="0"/>
    <n v="4705"/>
  </r>
  <r>
    <x v="46"/>
    <x v="3"/>
    <x v="2"/>
    <x v="2"/>
    <s v="CUS-4047"/>
    <x v="0"/>
    <n v="52"/>
    <x v="0"/>
    <x v="38"/>
    <n v="217000"/>
    <n v="24"/>
    <n v="17.3"/>
    <n v="10760"/>
    <n v="4"/>
    <n v="4"/>
    <n v="43040"/>
    <n v="185806"/>
    <x v="0"/>
    <x v="0"/>
    <x v="0"/>
    <n v="11846"/>
  </r>
  <r>
    <x v="47"/>
    <x v="3"/>
    <x v="2"/>
    <x v="1"/>
    <s v="CUS-4048"/>
    <x v="2"/>
    <n v="52"/>
    <x v="0"/>
    <x v="39"/>
    <n v="230000"/>
    <n v="12"/>
    <n v="10.1"/>
    <n v="20231"/>
    <n v="6"/>
    <n v="6"/>
    <n v="121386"/>
    <n v="117891"/>
    <x v="0"/>
    <x v="0"/>
    <x v="0"/>
    <n v="9277"/>
  </r>
  <r>
    <x v="48"/>
    <x v="4"/>
    <x v="3"/>
    <x v="1"/>
    <s v="CUS-4049"/>
    <x v="1"/>
    <n v="41"/>
    <x v="2"/>
    <x v="40"/>
    <n v="90000"/>
    <n v="12"/>
    <n v="9.4"/>
    <n v="7887"/>
    <n v="1"/>
    <n v="1"/>
    <n v="7887"/>
    <n v="82818"/>
    <x v="0"/>
    <x v="0"/>
    <x v="0"/>
    <n v="705"/>
  </r>
  <r>
    <x v="49"/>
    <x v="0"/>
    <x v="0"/>
    <x v="0"/>
    <s v="CUS-4050"/>
    <x v="2"/>
    <n v="56"/>
    <x v="0"/>
    <x v="41"/>
    <n v="405000"/>
    <n v="36"/>
    <n v="12.7"/>
    <n v="13588"/>
    <n v="4"/>
    <n v="3"/>
    <n v="40764"/>
    <n v="376800"/>
    <x v="12"/>
    <x v="1"/>
    <x v="0"/>
    <n v="12564"/>
  </r>
  <r>
    <x v="50"/>
    <x v="4"/>
    <x v="3"/>
    <x v="1"/>
    <s v="CUS-4051"/>
    <x v="2"/>
    <n v="55"/>
    <x v="0"/>
    <x v="42"/>
    <n v="215000"/>
    <n v="6"/>
    <n v="10.199999999999999"/>
    <n v="36907"/>
    <n v="6"/>
    <n v="6"/>
    <n v="221442"/>
    <n v="0"/>
    <x v="0"/>
    <x v="0"/>
    <x v="0"/>
    <n v="6442"/>
  </r>
  <r>
    <x v="51"/>
    <x v="2"/>
    <x v="2"/>
    <x v="3"/>
    <s v="CUS-4052"/>
    <x v="2"/>
    <n v="24"/>
    <x v="3"/>
    <x v="43"/>
    <n v="453000"/>
    <n v="60"/>
    <n v="13.2"/>
    <n v="10354"/>
    <n v="1"/>
    <n v="0"/>
    <n v="0"/>
    <n v="453000"/>
    <x v="13"/>
    <x v="1"/>
    <x v="0"/>
    <n v="0"/>
  </r>
  <r>
    <x v="52"/>
    <x v="2"/>
    <x v="2"/>
    <x v="3"/>
    <s v="CUS-4053"/>
    <x v="1"/>
    <n v="52"/>
    <x v="0"/>
    <x v="13"/>
    <n v="490000"/>
    <n v="36"/>
    <n v="12.8"/>
    <n v="16463"/>
    <n v="5"/>
    <n v="5"/>
    <n v="82315"/>
    <n v="432608"/>
    <x v="0"/>
    <x v="0"/>
    <x v="0"/>
    <n v="24923"/>
  </r>
  <r>
    <x v="53"/>
    <x v="6"/>
    <x v="1"/>
    <x v="0"/>
    <s v="CUS-4054"/>
    <x v="0"/>
    <n v="44"/>
    <x v="2"/>
    <x v="27"/>
    <n v="316000"/>
    <n v="36"/>
    <n v="10.1"/>
    <n v="10211"/>
    <n v="4"/>
    <n v="4"/>
    <n v="40844"/>
    <n v="285410"/>
    <x v="0"/>
    <x v="0"/>
    <x v="0"/>
    <n v="10254"/>
  </r>
  <r>
    <x v="54"/>
    <x v="3"/>
    <x v="2"/>
    <x v="4"/>
    <s v="CUS-4055"/>
    <x v="1"/>
    <n v="58"/>
    <x v="0"/>
    <x v="34"/>
    <n v="473000"/>
    <n v="36"/>
    <n v="14.5"/>
    <n v="16281"/>
    <n v="6"/>
    <n v="6"/>
    <n v="97686"/>
    <n v="407660"/>
    <x v="0"/>
    <x v="0"/>
    <x v="0"/>
    <n v="32346"/>
  </r>
  <r>
    <x v="55"/>
    <x v="6"/>
    <x v="1"/>
    <x v="2"/>
    <s v="CUS-4056"/>
    <x v="1"/>
    <n v="57"/>
    <x v="0"/>
    <x v="25"/>
    <n v="392000"/>
    <n v="36"/>
    <n v="14.8"/>
    <n v="13550"/>
    <n v="6"/>
    <n v="6"/>
    <n v="81300"/>
    <n v="338066"/>
    <x v="0"/>
    <x v="0"/>
    <x v="0"/>
    <n v="27366"/>
  </r>
  <r>
    <x v="56"/>
    <x v="5"/>
    <x v="0"/>
    <x v="4"/>
    <s v="CUS-4057"/>
    <x v="0"/>
    <n v="42"/>
    <x v="2"/>
    <x v="12"/>
    <n v="567000"/>
    <n v="24"/>
    <n v="14.3"/>
    <n v="27304"/>
    <n v="4"/>
    <n v="4"/>
    <n v="109216"/>
    <n v="483331"/>
    <x v="0"/>
    <x v="0"/>
    <x v="0"/>
    <n v="25547"/>
  </r>
  <r>
    <x v="57"/>
    <x v="7"/>
    <x v="3"/>
    <x v="2"/>
    <s v="CUS-4058"/>
    <x v="2"/>
    <n v="53"/>
    <x v="0"/>
    <x v="44"/>
    <n v="310000"/>
    <n v="24"/>
    <n v="14.2"/>
    <n v="14913"/>
    <n v="5"/>
    <n v="5"/>
    <n v="74565"/>
    <n v="252429"/>
    <x v="0"/>
    <x v="0"/>
    <x v="0"/>
    <n v="16994"/>
  </r>
  <r>
    <x v="58"/>
    <x v="6"/>
    <x v="1"/>
    <x v="0"/>
    <s v="CUS-4059"/>
    <x v="0"/>
    <n v="44"/>
    <x v="2"/>
    <x v="14"/>
    <n v="1108000"/>
    <n v="24"/>
    <n v="12.1"/>
    <n v="52209"/>
    <n v="4"/>
    <n v="4"/>
    <n v="208836"/>
    <n v="941353"/>
    <x v="0"/>
    <x v="0"/>
    <x v="0"/>
    <n v="42189"/>
  </r>
  <r>
    <x v="59"/>
    <x v="7"/>
    <x v="3"/>
    <x v="1"/>
    <s v="CUS-4060"/>
    <x v="0"/>
    <n v="43"/>
    <x v="2"/>
    <x v="13"/>
    <n v="35000"/>
    <n v="6"/>
    <n v="9.9"/>
    <n v="6003"/>
    <n v="5"/>
    <n v="5"/>
    <n v="30015"/>
    <n v="5954"/>
    <x v="0"/>
    <x v="0"/>
    <x v="0"/>
    <n v="969"/>
  </r>
  <r>
    <x v="60"/>
    <x v="7"/>
    <x v="3"/>
    <x v="0"/>
    <s v="CUS-4061"/>
    <x v="1"/>
    <n v="26"/>
    <x v="3"/>
    <x v="45"/>
    <n v="257000"/>
    <n v="36"/>
    <n v="12.6"/>
    <n v="8610"/>
    <n v="4"/>
    <n v="4"/>
    <n v="34440"/>
    <n v="232979"/>
    <x v="0"/>
    <x v="0"/>
    <x v="0"/>
    <n v="10419"/>
  </r>
  <r>
    <x v="61"/>
    <x v="3"/>
    <x v="2"/>
    <x v="0"/>
    <s v="CUS-4062"/>
    <x v="1"/>
    <n v="25"/>
    <x v="3"/>
    <x v="46"/>
    <n v="405000"/>
    <n v="48"/>
    <n v="13.5"/>
    <n v="10966"/>
    <n v="3"/>
    <n v="3"/>
    <n v="32898"/>
    <n v="385554"/>
    <x v="0"/>
    <x v="0"/>
    <x v="0"/>
    <n v="13452"/>
  </r>
  <r>
    <x v="62"/>
    <x v="7"/>
    <x v="3"/>
    <x v="4"/>
    <s v="CUS-4063"/>
    <x v="1"/>
    <n v="25"/>
    <x v="3"/>
    <x v="47"/>
    <n v="1587000"/>
    <n v="36"/>
    <n v="12.1"/>
    <n v="52787"/>
    <n v="5"/>
    <n v="4"/>
    <n v="211148"/>
    <n v="1437621"/>
    <x v="14"/>
    <x v="1"/>
    <x v="0"/>
    <n v="61769"/>
  </r>
  <r>
    <x v="63"/>
    <x v="1"/>
    <x v="1"/>
    <x v="0"/>
    <s v="CUS-4064"/>
    <x v="1"/>
    <n v="40"/>
    <x v="1"/>
    <x v="48"/>
    <n v="448000"/>
    <n v="36"/>
    <n v="11.4"/>
    <n v="14752"/>
    <n v="1"/>
    <n v="1"/>
    <n v="14752"/>
    <n v="437504"/>
    <x v="0"/>
    <x v="0"/>
    <x v="0"/>
    <n v="4256"/>
  </r>
  <r>
    <x v="64"/>
    <x v="0"/>
    <x v="0"/>
    <x v="0"/>
    <s v="CUS-4065"/>
    <x v="1"/>
    <n v="41"/>
    <x v="2"/>
    <x v="49"/>
    <n v="301000"/>
    <n v="48"/>
    <n v="11.5"/>
    <n v="7853"/>
    <n v="1"/>
    <n v="1"/>
    <n v="7853"/>
    <n v="296032"/>
    <x v="0"/>
    <x v="0"/>
    <x v="0"/>
    <n v="2885"/>
  </r>
  <r>
    <x v="65"/>
    <x v="1"/>
    <x v="1"/>
    <x v="4"/>
    <s v="CUS-4066"/>
    <x v="1"/>
    <n v="48"/>
    <x v="2"/>
    <x v="50"/>
    <n v="1494000"/>
    <n v="60"/>
    <n v="13.2"/>
    <n v="34146"/>
    <n v="6"/>
    <n v="6"/>
    <n v="204876"/>
    <n v="1384761"/>
    <x v="0"/>
    <x v="0"/>
    <x v="0"/>
    <n v="95637"/>
  </r>
  <r>
    <x v="66"/>
    <x v="4"/>
    <x v="3"/>
    <x v="3"/>
    <s v="CUS-4067"/>
    <x v="1"/>
    <n v="36"/>
    <x v="1"/>
    <x v="51"/>
    <n v="625000"/>
    <n v="24"/>
    <n v="11.9"/>
    <n v="29392"/>
    <n v="3"/>
    <n v="3"/>
    <n v="88176"/>
    <n v="554726"/>
    <x v="0"/>
    <x v="0"/>
    <x v="0"/>
    <n v="17902"/>
  </r>
  <r>
    <x v="67"/>
    <x v="5"/>
    <x v="0"/>
    <x v="0"/>
    <s v="CUS-4068"/>
    <x v="2"/>
    <n v="47"/>
    <x v="2"/>
    <x v="2"/>
    <n v="633000"/>
    <n v="24"/>
    <n v="13.7"/>
    <n v="30303"/>
    <n v="6"/>
    <n v="6"/>
    <n v="181818"/>
    <n v="490533"/>
    <x v="0"/>
    <x v="0"/>
    <x v="0"/>
    <n v="39351"/>
  </r>
  <r>
    <x v="68"/>
    <x v="1"/>
    <x v="1"/>
    <x v="0"/>
    <s v="CUS-4069"/>
    <x v="2"/>
    <n v="43"/>
    <x v="2"/>
    <x v="34"/>
    <n v="255000"/>
    <n v="24"/>
    <n v="11.9"/>
    <n v="11992"/>
    <n v="6"/>
    <n v="6"/>
    <n v="71952"/>
    <n v="196795"/>
    <x v="0"/>
    <x v="0"/>
    <x v="0"/>
    <n v="13747"/>
  </r>
  <r>
    <x v="69"/>
    <x v="7"/>
    <x v="3"/>
    <x v="1"/>
    <s v="CUS-4070"/>
    <x v="2"/>
    <n v="30"/>
    <x v="1"/>
    <x v="7"/>
    <n v="136000"/>
    <n v="24"/>
    <n v="10.199999999999999"/>
    <n v="6288"/>
    <n v="4"/>
    <n v="0"/>
    <n v="0"/>
    <n v="136000"/>
    <x v="15"/>
    <x v="2"/>
    <x v="1"/>
    <n v="0"/>
  </r>
  <r>
    <x v="70"/>
    <x v="7"/>
    <x v="3"/>
    <x v="1"/>
    <s v="CUS-4071"/>
    <x v="1"/>
    <n v="56"/>
    <x v="0"/>
    <x v="52"/>
    <n v="267000"/>
    <n v="12"/>
    <n v="9.8000000000000007"/>
    <n v="23449"/>
    <n v="4"/>
    <n v="4"/>
    <n v="93796"/>
    <n v="180879"/>
    <x v="0"/>
    <x v="0"/>
    <x v="0"/>
    <n v="7675"/>
  </r>
  <r>
    <x v="71"/>
    <x v="4"/>
    <x v="3"/>
    <x v="4"/>
    <s v="CUS-4072"/>
    <x v="1"/>
    <n v="44"/>
    <x v="2"/>
    <x v="34"/>
    <n v="1673000"/>
    <n v="36"/>
    <n v="13.1"/>
    <n v="56451"/>
    <n v="6"/>
    <n v="6"/>
    <n v="338706"/>
    <n v="1437533"/>
    <x v="0"/>
    <x v="0"/>
    <x v="0"/>
    <n v="103239"/>
  </r>
  <r>
    <x v="72"/>
    <x v="5"/>
    <x v="0"/>
    <x v="2"/>
    <s v="CUS-4073"/>
    <x v="2"/>
    <n v="58"/>
    <x v="0"/>
    <x v="53"/>
    <n v="411000"/>
    <n v="36"/>
    <n v="14.7"/>
    <n v="14187"/>
    <n v="5"/>
    <n v="0"/>
    <n v="0"/>
    <n v="411000"/>
    <x v="16"/>
    <x v="2"/>
    <x v="1"/>
    <n v="0"/>
  </r>
  <r>
    <x v="73"/>
    <x v="5"/>
    <x v="0"/>
    <x v="2"/>
    <s v="CUS-4074"/>
    <x v="0"/>
    <n v="43"/>
    <x v="2"/>
    <x v="11"/>
    <n v="128000"/>
    <n v="24"/>
    <n v="16.899999999999999"/>
    <n v="6322"/>
    <n v="5"/>
    <n v="4"/>
    <n v="25288"/>
    <n v="109535"/>
    <x v="17"/>
    <x v="1"/>
    <x v="0"/>
    <n v="6823"/>
  </r>
  <r>
    <x v="74"/>
    <x v="1"/>
    <x v="1"/>
    <x v="1"/>
    <s v="CUS-4075"/>
    <x v="1"/>
    <n v="28"/>
    <x v="3"/>
    <x v="54"/>
    <n v="110000"/>
    <n v="12"/>
    <n v="9.9"/>
    <n v="9666"/>
    <n v="2"/>
    <n v="2"/>
    <n v="19332"/>
    <n v="92411"/>
    <x v="0"/>
    <x v="0"/>
    <x v="0"/>
    <n v="1743"/>
  </r>
  <r>
    <x v="75"/>
    <x v="5"/>
    <x v="0"/>
    <x v="3"/>
    <s v="CUS-4076"/>
    <x v="0"/>
    <n v="28"/>
    <x v="3"/>
    <x v="55"/>
    <n v="379000"/>
    <n v="60"/>
    <n v="11.2"/>
    <n v="8278"/>
    <n v="1"/>
    <n v="1"/>
    <n v="8278"/>
    <n v="374259"/>
    <x v="0"/>
    <x v="0"/>
    <x v="0"/>
    <n v="3537"/>
  </r>
  <r>
    <x v="76"/>
    <x v="5"/>
    <x v="0"/>
    <x v="3"/>
    <s v="CUS-4077"/>
    <x v="0"/>
    <n v="56"/>
    <x v="0"/>
    <x v="11"/>
    <n v="653000"/>
    <n v="24"/>
    <n v="13.9"/>
    <n v="31322"/>
    <n v="5"/>
    <n v="5"/>
    <n v="156610"/>
    <n v="531428"/>
    <x v="0"/>
    <x v="0"/>
    <x v="0"/>
    <n v="35038"/>
  </r>
  <r>
    <x v="77"/>
    <x v="6"/>
    <x v="1"/>
    <x v="2"/>
    <s v="CUS-4078"/>
    <x v="0"/>
    <n v="51"/>
    <x v="0"/>
    <x v="56"/>
    <n v="308000"/>
    <n v="36"/>
    <n v="15.5"/>
    <n v="10752"/>
    <n v="3"/>
    <n v="1"/>
    <n v="10752"/>
    <n v="301226"/>
    <x v="18"/>
    <x v="1"/>
    <x v="0"/>
    <n v="3978"/>
  </r>
  <r>
    <x v="78"/>
    <x v="4"/>
    <x v="3"/>
    <x v="1"/>
    <s v="CUS-4079"/>
    <x v="0"/>
    <n v="43"/>
    <x v="2"/>
    <x v="57"/>
    <n v="39000"/>
    <n v="6"/>
    <n v="11.7"/>
    <n v="6724"/>
    <n v="2"/>
    <n v="2"/>
    <n v="13448"/>
    <n v="26251"/>
    <x v="0"/>
    <x v="0"/>
    <x v="0"/>
    <n v="699"/>
  </r>
  <r>
    <x v="79"/>
    <x v="3"/>
    <x v="2"/>
    <x v="1"/>
    <s v="CUS-4080"/>
    <x v="2"/>
    <n v="35"/>
    <x v="1"/>
    <x v="58"/>
    <n v="169000"/>
    <n v="6"/>
    <n v="9.1999999999999993"/>
    <n v="28927"/>
    <n v="5"/>
    <n v="5"/>
    <n v="144635"/>
    <n v="28707"/>
    <x v="0"/>
    <x v="0"/>
    <x v="0"/>
    <n v="4342"/>
  </r>
  <r>
    <x v="80"/>
    <x v="4"/>
    <x v="3"/>
    <x v="3"/>
    <s v="CUS-4081"/>
    <x v="0"/>
    <n v="53"/>
    <x v="0"/>
    <x v="59"/>
    <n v="405000"/>
    <n v="48"/>
    <n v="14.1"/>
    <n v="11088"/>
    <n v="2"/>
    <n v="2"/>
    <n v="22176"/>
    <n v="392268"/>
    <x v="0"/>
    <x v="0"/>
    <x v="0"/>
    <n v="9444"/>
  </r>
  <r>
    <x v="81"/>
    <x v="4"/>
    <x v="3"/>
    <x v="4"/>
    <s v="CUS-4082"/>
    <x v="1"/>
    <n v="34"/>
    <x v="1"/>
    <x v="60"/>
    <n v="1958000"/>
    <n v="36"/>
    <n v="14.1"/>
    <n v="67015"/>
    <n v="4"/>
    <n v="4"/>
    <n v="268060"/>
    <n v="1778839"/>
    <x v="0"/>
    <x v="0"/>
    <x v="0"/>
    <n v="88899"/>
  </r>
  <r>
    <x v="82"/>
    <x v="2"/>
    <x v="2"/>
    <x v="4"/>
    <s v="CUS-4083"/>
    <x v="0"/>
    <n v="27"/>
    <x v="3"/>
    <x v="61"/>
    <n v="1104000"/>
    <n v="24"/>
    <n v="12.3"/>
    <n v="52124"/>
    <n v="5"/>
    <n v="2"/>
    <n v="104248"/>
    <n v="1021966"/>
    <x v="19"/>
    <x v="2"/>
    <x v="1"/>
    <n v="22214"/>
  </r>
  <r>
    <x v="83"/>
    <x v="0"/>
    <x v="0"/>
    <x v="0"/>
    <s v="CUS-4084"/>
    <x v="0"/>
    <n v="34"/>
    <x v="1"/>
    <x v="51"/>
    <n v="1495000"/>
    <n v="36"/>
    <n v="13.4"/>
    <n v="50661"/>
    <n v="3"/>
    <n v="0"/>
    <n v="0"/>
    <n v="1495000"/>
    <x v="20"/>
    <x v="2"/>
    <x v="1"/>
    <n v="0"/>
  </r>
  <r>
    <x v="84"/>
    <x v="2"/>
    <x v="2"/>
    <x v="4"/>
    <s v="CUS-4085"/>
    <x v="2"/>
    <n v="48"/>
    <x v="2"/>
    <x v="62"/>
    <n v="1805000"/>
    <n v="48"/>
    <n v="14.6"/>
    <n v="49869"/>
    <n v="3"/>
    <n v="3"/>
    <n v="149607"/>
    <n v="1720252"/>
    <x v="0"/>
    <x v="0"/>
    <x v="0"/>
    <n v="64859"/>
  </r>
  <r>
    <x v="85"/>
    <x v="5"/>
    <x v="0"/>
    <x v="1"/>
    <s v="CUS-4086"/>
    <x v="0"/>
    <n v="55"/>
    <x v="0"/>
    <x v="63"/>
    <n v="91000"/>
    <n v="24"/>
    <n v="11.9"/>
    <n v="4279"/>
    <n v="6"/>
    <n v="6"/>
    <n v="25674"/>
    <n v="70229"/>
    <x v="0"/>
    <x v="0"/>
    <x v="0"/>
    <n v="4903"/>
  </r>
  <r>
    <x v="86"/>
    <x v="5"/>
    <x v="0"/>
    <x v="2"/>
    <s v="CUS-4087"/>
    <x v="1"/>
    <n v="34"/>
    <x v="1"/>
    <x v="64"/>
    <n v="201000"/>
    <n v="12"/>
    <n v="17.2"/>
    <n v="18351"/>
    <n v="4"/>
    <n v="4"/>
    <n v="73404"/>
    <n v="137776"/>
    <x v="0"/>
    <x v="0"/>
    <x v="0"/>
    <n v="10180"/>
  </r>
  <r>
    <x v="87"/>
    <x v="1"/>
    <x v="1"/>
    <x v="2"/>
    <s v="CUS-4088"/>
    <x v="2"/>
    <n v="34"/>
    <x v="1"/>
    <x v="65"/>
    <n v="432000"/>
    <n v="36"/>
    <n v="15.9"/>
    <n v="15167"/>
    <n v="5"/>
    <n v="5"/>
    <n v="75835"/>
    <n v="383520"/>
    <x v="0"/>
    <x v="0"/>
    <x v="0"/>
    <n v="27355"/>
  </r>
  <r>
    <x v="88"/>
    <x v="7"/>
    <x v="3"/>
    <x v="2"/>
    <s v="CUS-4089"/>
    <x v="0"/>
    <n v="51"/>
    <x v="0"/>
    <x v="65"/>
    <n v="492000"/>
    <n v="36"/>
    <n v="14.6"/>
    <n v="16959"/>
    <n v="5"/>
    <n v="5"/>
    <n v="84795"/>
    <n v="435783"/>
    <x v="0"/>
    <x v="0"/>
    <x v="0"/>
    <n v="28578"/>
  </r>
  <r>
    <x v="89"/>
    <x v="2"/>
    <x v="2"/>
    <x v="2"/>
    <s v="CUS-4090"/>
    <x v="1"/>
    <n v="29"/>
    <x v="3"/>
    <x v="66"/>
    <n v="352000"/>
    <n v="36"/>
    <n v="14.8"/>
    <n v="12168"/>
    <n v="6"/>
    <n v="0"/>
    <n v="0"/>
    <n v="352000"/>
    <x v="21"/>
    <x v="2"/>
    <x v="1"/>
    <n v="0"/>
  </r>
  <r>
    <x v="90"/>
    <x v="7"/>
    <x v="3"/>
    <x v="0"/>
    <s v="CUS-4091"/>
    <x v="1"/>
    <n v="56"/>
    <x v="0"/>
    <x v="57"/>
    <n v="482000"/>
    <n v="36"/>
    <n v="13.2"/>
    <n v="16287"/>
    <n v="2"/>
    <n v="0"/>
    <n v="0"/>
    <n v="482000"/>
    <x v="22"/>
    <x v="1"/>
    <x v="0"/>
    <n v="0"/>
  </r>
  <r>
    <x v="91"/>
    <x v="3"/>
    <x v="2"/>
    <x v="1"/>
    <s v="CUS-4092"/>
    <x v="2"/>
    <n v="51"/>
    <x v="0"/>
    <x v="67"/>
    <n v="256000"/>
    <n v="12"/>
    <n v="10.4"/>
    <n v="22554"/>
    <n v="3"/>
    <n v="3"/>
    <n v="67662"/>
    <n v="194463"/>
    <x v="0"/>
    <x v="0"/>
    <x v="0"/>
    <n v="6125"/>
  </r>
  <r>
    <x v="92"/>
    <x v="6"/>
    <x v="1"/>
    <x v="4"/>
    <s v="CUS-4093"/>
    <x v="1"/>
    <n v="53"/>
    <x v="0"/>
    <x v="68"/>
    <n v="1360000"/>
    <n v="48"/>
    <n v="12.2"/>
    <n v="35948"/>
    <n v="4"/>
    <n v="4"/>
    <n v="143792"/>
    <n v="1270157"/>
    <x v="0"/>
    <x v="0"/>
    <x v="0"/>
    <n v="53949"/>
  </r>
  <r>
    <x v="93"/>
    <x v="3"/>
    <x v="2"/>
    <x v="0"/>
    <s v="CUS-4094"/>
    <x v="0"/>
    <n v="46"/>
    <x v="2"/>
    <x v="69"/>
    <n v="632000"/>
    <n v="24"/>
    <n v="11.4"/>
    <n v="29574"/>
    <n v="4"/>
    <n v="4"/>
    <n v="118296"/>
    <n v="536369"/>
    <x v="0"/>
    <x v="0"/>
    <x v="0"/>
    <n v="22665"/>
  </r>
  <r>
    <x v="94"/>
    <x v="3"/>
    <x v="2"/>
    <x v="2"/>
    <s v="CUS-4095"/>
    <x v="0"/>
    <n v="53"/>
    <x v="0"/>
    <x v="12"/>
    <n v="492000"/>
    <n v="12"/>
    <n v="14.3"/>
    <n v="44245"/>
    <n v="4"/>
    <n v="4"/>
    <n v="176980"/>
    <n v="335707"/>
    <x v="0"/>
    <x v="0"/>
    <x v="0"/>
    <n v="20687"/>
  </r>
  <r>
    <x v="95"/>
    <x v="2"/>
    <x v="2"/>
    <x v="0"/>
    <s v="CUS-4096"/>
    <x v="1"/>
    <n v="57"/>
    <x v="0"/>
    <x v="70"/>
    <n v="418000"/>
    <n v="24"/>
    <n v="11"/>
    <n v="19482"/>
    <n v="1"/>
    <n v="1"/>
    <n v="19482"/>
    <n v="402350"/>
    <x v="0"/>
    <x v="0"/>
    <x v="0"/>
    <n v="3832"/>
  </r>
  <r>
    <x v="96"/>
    <x v="2"/>
    <x v="2"/>
    <x v="0"/>
    <s v="CUS-4097"/>
    <x v="1"/>
    <n v="48"/>
    <x v="2"/>
    <x v="71"/>
    <n v="249000"/>
    <n v="24"/>
    <n v="12.1"/>
    <n v="11733"/>
    <n v="1"/>
    <n v="1"/>
    <n v="11733"/>
    <n v="239778"/>
    <x v="0"/>
    <x v="0"/>
    <x v="0"/>
    <n v="2511"/>
  </r>
  <r>
    <x v="97"/>
    <x v="5"/>
    <x v="0"/>
    <x v="1"/>
    <s v="CUS-4098"/>
    <x v="2"/>
    <n v="35"/>
    <x v="1"/>
    <x v="66"/>
    <n v="249000"/>
    <n v="24"/>
    <n v="9.1"/>
    <n v="11387"/>
    <n v="6"/>
    <n v="6"/>
    <n v="68322"/>
    <n v="190916"/>
    <x v="0"/>
    <x v="0"/>
    <x v="0"/>
    <n v="10238"/>
  </r>
  <r>
    <x v="98"/>
    <x v="5"/>
    <x v="0"/>
    <x v="0"/>
    <s v="CUS-4099"/>
    <x v="0"/>
    <n v="25"/>
    <x v="3"/>
    <x v="49"/>
    <n v="494000"/>
    <n v="48"/>
    <n v="10.4"/>
    <n v="12624"/>
    <n v="1"/>
    <n v="1"/>
    <n v="12624"/>
    <n v="485657"/>
    <x v="0"/>
    <x v="0"/>
    <x v="0"/>
    <n v="4281"/>
  </r>
  <r>
    <x v="99"/>
    <x v="0"/>
    <x v="0"/>
    <x v="0"/>
    <s v="CUS-4100"/>
    <x v="2"/>
    <n v="40"/>
    <x v="1"/>
    <x v="72"/>
    <n v="692000"/>
    <n v="36"/>
    <n v="10.199999999999999"/>
    <n v="22394"/>
    <n v="6"/>
    <n v="6"/>
    <n v="134364"/>
    <n v="590799"/>
    <x v="0"/>
    <x v="0"/>
    <x v="0"/>
    <n v="33163"/>
  </r>
  <r>
    <x v="100"/>
    <x v="5"/>
    <x v="0"/>
    <x v="0"/>
    <s v="CUS-4101"/>
    <x v="2"/>
    <n v="52"/>
    <x v="0"/>
    <x v="49"/>
    <n v="872000"/>
    <n v="36"/>
    <n v="12.4"/>
    <n v="29130"/>
    <n v="1"/>
    <n v="1"/>
    <n v="29130"/>
    <n v="851881"/>
    <x v="0"/>
    <x v="0"/>
    <x v="0"/>
    <n v="9011"/>
  </r>
  <r>
    <x v="101"/>
    <x v="4"/>
    <x v="3"/>
    <x v="1"/>
    <s v="CUS-4102"/>
    <x v="1"/>
    <n v="31"/>
    <x v="1"/>
    <x v="73"/>
    <n v="228000"/>
    <n v="24"/>
    <n v="9.9"/>
    <n v="10511"/>
    <n v="2"/>
    <n v="2"/>
    <n v="21022"/>
    <n v="210670"/>
    <x v="0"/>
    <x v="0"/>
    <x v="0"/>
    <n v="3692"/>
  </r>
  <r>
    <x v="102"/>
    <x v="4"/>
    <x v="3"/>
    <x v="0"/>
    <s v="CUS-4103"/>
    <x v="1"/>
    <n v="39"/>
    <x v="1"/>
    <x v="74"/>
    <n v="963000"/>
    <n v="24"/>
    <n v="10.9"/>
    <n v="44839"/>
    <n v="3"/>
    <n v="3"/>
    <n v="134517"/>
    <n v="853739"/>
    <x v="0"/>
    <x v="0"/>
    <x v="0"/>
    <n v="25256"/>
  </r>
  <r>
    <x v="103"/>
    <x v="6"/>
    <x v="1"/>
    <x v="0"/>
    <s v="CUS-4104"/>
    <x v="1"/>
    <n v="54"/>
    <x v="0"/>
    <x v="75"/>
    <n v="764000"/>
    <n v="36"/>
    <n v="13.1"/>
    <n v="25779"/>
    <n v="1"/>
    <n v="1"/>
    <n v="25779"/>
    <n v="746561"/>
    <x v="0"/>
    <x v="0"/>
    <x v="0"/>
    <n v="8340"/>
  </r>
  <r>
    <x v="104"/>
    <x v="0"/>
    <x v="0"/>
    <x v="4"/>
    <s v="CUS-4105"/>
    <x v="2"/>
    <n v="33"/>
    <x v="1"/>
    <x v="76"/>
    <n v="201000"/>
    <n v="60"/>
    <n v="15.2"/>
    <n v="4803"/>
    <n v="6"/>
    <n v="1"/>
    <n v="4803"/>
    <n v="198743"/>
    <x v="23"/>
    <x v="2"/>
    <x v="1"/>
    <n v="2546"/>
  </r>
  <r>
    <x v="105"/>
    <x v="1"/>
    <x v="1"/>
    <x v="4"/>
    <s v="CUS-4106"/>
    <x v="0"/>
    <n v="35"/>
    <x v="1"/>
    <x v="77"/>
    <n v="669000"/>
    <n v="36"/>
    <n v="12.2"/>
    <n v="22284"/>
    <n v="5"/>
    <n v="5"/>
    <n v="111420"/>
    <n v="589996"/>
    <x v="0"/>
    <x v="0"/>
    <x v="0"/>
    <n v="32416"/>
  </r>
  <r>
    <x v="106"/>
    <x v="4"/>
    <x v="3"/>
    <x v="4"/>
    <s v="CUS-4107"/>
    <x v="2"/>
    <n v="40"/>
    <x v="1"/>
    <x v="7"/>
    <n v="435000"/>
    <n v="60"/>
    <n v="13.4"/>
    <n v="9987"/>
    <n v="4"/>
    <n v="3"/>
    <n v="29961"/>
    <n v="419439"/>
    <x v="24"/>
    <x v="1"/>
    <x v="0"/>
    <n v="14400"/>
  </r>
  <r>
    <x v="107"/>
    <x v="0"/>
    <x v="0"/>
    <x v="3"/>
    <s v="CUS-4108"/>
    <x v="2"/>
    <n v="39"/>
    <x v="1"/>
    <x v="55"/>
    <n v="75000"/>
    <n v="36"/>
    <n v="14.1"/>
    <n v="2567"/>
    <n v="1"/>
    <n v="1"/>
    <n v="2567"/>
    <n v="73314"/>
    <x v="0"/>
    <x v="0"/>
    <x v="0"/>
    <n v="881"/>
  </r>
  <r>
    <x v="108"/>
    <x v="3"/>
    <x v="2"/>
    <x v="3"/>
    <s v="CUS-4109"/>
    <x v="2"/>
    <n v="26"/>
    <x v="3"/>
    <x v="78"/>
    <n v="286000"/>
    <n v="24"/>
    <n v="11.6"/>
    <n v="13410"/>
    <n v="2"/>
    <n v="2"/>
    <n v="26820"/>
    <n v="264607"/>
    <x v="0"/>
    <x v="0"/>
    <x v="0"/>
    <n v="5427"/>
  </r>
  <r>
    <x v="109"/>
    <x v="0"/>
    <x v="0"/>
    <x v="0"/>
    <s v="CUS-4110"/>
    <x v="0"/>
    <n v="50"/>
    <x v="2"/>
    <x v="79"/>
    <n v="735000"/>
    <n v="48"/>
    <n v="12.1"/>
    <n v="19391"/>
    <n v="1"/>
    <n v="0"/>
    <n v="0"/>
    <n v="735000"/>
    <x v="9"/>
    <x v="1"/>
    <x v="0"/>
    <n v="0"/>
  </r>
  <r>
    <x v="110"/>
    <x v="6"/>
    <x v="1"/>
    <x v="0"/>
    <s v="CUS-4111"/>
    <x v="0"/>
    <n v="43"/>
    <x v="2"/>
    <x v="80"/>
    <n v="267000"/>
    <n v="48"/>
    <n v="12.2"/>
    <n v="7057"/>
    <n v="4"/>
    <n v="4"/>
    <n v="28228"/>
    <n v="249362"/>
    <x v="0"/>
    <x v="0"/>
    <x v="0"/>
    <n v="10590"/>
  </r>
  <r>
    <x v="111"/>
    <x v="4"/>
    <x v="3"/>
    <x v="1"/>
    <s v="CUS-4112"/>
    <x v="1"/>
    <n v="27"/>
    <x v="3"/>
    <x v="81"/>
    <n v="89000"/>
    <n v="24"/>
    <n v="10.4"/>
    <n v="4123"/>
    <n v="4"/>
    <n v="4"/>
    <n v="16492"/>
    <n v="75417"/>
    <x v="0"/>
    <x v="0"/>
    <x v="0"/>
    <n v="2909"/>
  </r>
  <r>
    <x v="112"/>
    <x v="7"/>
    <x v="3"/>
    <x v="4"/>
    <s v="CUS-4113"/>
    <x v="2"/>
    <n v="53"/>
    <x v="0"/>
    <x v="82"/>
    <n v="1969000"/>
    <n v="48"/>
    <n v="15.4"/>
    <n v="55199"/>
    <n v="5"/>
    <n v="5"/>
    <n v="275995"/>
    <n v="1815459"/>
    <x v="0"/>
    <x v="0"/>
    <x v="0"/>
    <n v="122454"/>
  </r>
  <r>
    <x v="113"/>
    <x v="5"/>
    <x v="0"/>
    <x v="3"/>
    <s v="CUS-4114"/>
    <x v="1"/>
    <n v="27"/>
    <x v="3"/>
    <x v="83"/>
    <n v="418000"/>
    <n v="60"/>
    <n v="13.4"/>
    <n v="9597"/>
    <n v="4"/>
    <n v="4"/>
    <n v="38388"/>
    <n v="397952"/>
    <x v="0"/>
    <x v="0"/>
    <x v="0"/>
    <n v="18340"/>
  </r>
  <r>
    <x v="114"/>
    <x v="7"/>
    <x v="3"/>
    <x v="0"/>
    <s v="CUS-4115"/>
    <x v="0"/>
    <n v="37"/>
    <x v="1"/>
    <x v="78"/>
    <n v="1473000"/>
    <n v="36"/>
    <n v="10.3"/>
    <n v="47737"/>
    <n v="2"/>
    <n v="2"/>
    <n v="95474"/>
    <n v="1402511"/>
    <x v="0"/>
    <x v="0"/>
    <x v="0"/>
    <n v="24985"/>
  </r>
  <r>
    <x v="115"/>
    <x v="7"/>
    <x v="3"/>
    <x v="3"/>
    <s v="CUS-4116"/>
    <x v="1"/>
    <n v="23"/>
    <x v="3"/>
    <x v="62"/>
    <n v="647000"/>
    <n v="24"/>
    <n v="13.4"/>
    <n v="30881"/>
    <n v="3"/>
    <n v="3"/>
    <n v="92643"/>
    <n v="575235"/>
    <x v="0"/>
    <x v="0"/>
    <x v="0"/>
    <n v="20878"/>
  </r>
  <r>
    <x v="116"/>
    <x v="5"/>
    <x v="0"/>
    <x v="2"/>
    <s v="CUS-4117"/>
    <x v="1"/>
    <n v="48"/>
    <x v="2"/>
    <x v="84"/>
    <n v="143000"/>
    <n v="24"/>
    <n v="16.8"/>
    <n v="7057"/>
    <n v="5"/>
    <n v="3"/>
    <n v="21171"/>
    <n v="127623"/>
    <x v="25"/>
    <x v="1"/>
    <x v="0"/>
    <n v="5794"/>
  </r>
  <r>
    <x v="117"/>
    <x v="1"/>
    <x v="1"/>
    <x v="0"/>
    <s v="CUS-4118"/>
    <x v="2"/>
    <n v="50"/>
    <x v="2"/>
    <x v="85"/>
    <n v="669000"/>
    <n v="36"/>
    <n v="10.1"/>
    <n v="21618"/>
    <n v="2"/>
    <n v="0"/>
    <n v="0"/>
    <n v="669000"/>
    <x v="26"/>
    <x v="1"/>
    <x v="0"/>
    <n v="0"/>
  </r>
  <r>
    <x v="118"/>
    <x v="1"/>
    <x v="1"/>
    <x v="3"/>
    <s v="CUS-4119"/>
    <x v="1"/>
    <n v="42"/>
    <x v="2"/>
    <x v="86"/>
    <n v="601000"/>
    <n v="36"/>
    <n v="13.9"/>
    <n v="20512"/>
    <n v="2"/>
    <n v="2"/>
    <n v="41024"/>
    <n v="573743"/>
    <x v="0"/>
    <x v="0"/>
    <x v="0"/>
    <n v="13767"/>
  </r>
  <r>
    <x v="119"/>
    <x v="6"/>
    <x v="1"/>
    <x v="4"/>
    <s v="CUS-4120"/>
    <x v="2"/>
    <n v="39"/>
    <x v="1"/>
    <x v="31"/>
    <n v="940000"/>
    <n v="24"/>
    <n v="14.9"/>
    <n v="45533"/>
    <n v="2"/>
    <n v="2"/>
    <n v="91066"/>
    <n v="871857"/>
    <x v="0"/>
    <x v="0"/>
    <x v="0"/>
    <n v="22923"/>
  </r>
  <r>
    <x v="120"/>
    <x v="4"/>
    <x v="3"/>
    <x v="0"/>
    <s v="CUS-4121"/>
    <x v="0"/>
    <n v="52"/>
    <x v="0"/>
    <x v="26"/>
    <n v="411000"/>
    <n v="36"/>
    <n v="10.199999999999999"/>
    <n v="13300"/>
    <n v="6"/>
    <n v="6"/>
    <n v="79800"/>
    <n v="350894"/>
    <x v="0"/>
    <x v="0"/>
    <x v="0"/>
    <n v="19694"/>
  </r>
  <r>
    <x v="121"/>
    <x v="7"/>
    <x v="3"/>
    <x v="3"/>
    <s v="CUS-4122"/>
    <x v="0"/>
    <n v="37"/>
    <x v="1"/>
    <x v="87"/>
    <n v="732000"/>
    <n v="24"/>
    <n v="13.4"/>
    <n v="34938"/>
    <n v="3"/>
    <n v="3"/>
    <n v="104814"/>
    <n v="650807"/>
    <x v="0"/>
    <x v="0"/>
    <x v="0"/>
    <n v="23621"/>
  </r>
  <r>
    <x v="122"/>
    <x v="6"/>
    <x v="1"/>
    <x v="2"/>
    <s v="CUS-4123"/>
    <x v="0"/>
    <n v="24"/>
    <x v="3"/>
    <x v="88"/>
    <n v="431000"/>
    <n v="36"/>
    <n v="14.6"/>
    <n v="14856"/>
    <n v="1"/>
    <n v="1"/>
    <n v="14856"/>
    <n v="421387"/>
    <x v="0"/>
    <x v="0"/>
    <x v="0"/>
    <n v="5243"/>
  </r>
  <r>
    <x v="123"/>
    <x v="7"/>
    <x v="3"/>
    <x v="2"/>
    <s v="CUS-4124"/>
    <x v="1"/>
    <n v="35"/>
    <x v="1"/>
    <x v="11"/>
    <n v="250000"/>
    <n v="24"/>
    <n v="14.4"/>
    <n v="12051"/>
    <n v="5"/>
    <n v="3"/>
    <n v="36153"/>
    <n v="222521"/>
    <x v="27"/>
    <x v="1"/>
    <x v="0"/>
    <n v="8674"/>
  </r>
  <r>
    <x v="124"/>
    <x v="3"/>
    <x v="2"/>
    <x v="1"/>
    <s v="CUS-4125"/>
    <x v="1"/>
    <n v="46"/>
    <x v="2"/>
    <x v="28"/>
    <n v="145000"/>
    <n v="6"/>
    <n v="10.7"/>
    <n v="24926"/>
    <n v="6"/>
    <n v="6"/>
    <n v="149556"/>
    <n v="0"/>
    <x v="0"/>
    <x v="0"/>
    <x v="0"/>
    <n v="4556"/>
  </r>
  <r>
    <x v="125"/>
    <x v="7"/>
    <x v="3"/>
    <x v="2"/>
    <s v="CUS-4126"/>
    <x v="0"/>
    <n v="43"/>
    <x v="2"/>
    <x v="37"/>
    <n v="147000"/>
    <n v="36"/>
    <n v="14.9"/>
    <n v="5089"/>
    <n v="5"/>
    <n v="4"/>
    <n v="20356"/>
    <n v="133701"/>
    <x v="28"/>
    <x v="1"/>
    <x v="0"/>
    <n v="7057"/>
  </r>
  <r>
    <x v="126"/>
    <x v="0"/>
    <x v="0"/>
    <x v="4"/>
    <s v="CUS-4127"/>
    <x v="2"/>
    <n v="40"/>
    <x v="1"/>
    <x v="65"/>
    <n v="974000"/>
    <n v="48"/>
    <n v="13.7"/>
    <n v="26470"/>
    <n v="5"/>
    <n v="5"/>
    <n v="132350"/>
    <n v="895478"/>
    <x v="0"/>
    <x v="0"/>
    <x v="0"/>
    <n v="53828"/>
  </r>
  <r>
    <x v="127"/>
    <x v="3"/>
    <x v="2"/>
    <x v="4"/>
    <s v="CUS-4128"/>
    <x v="0"/>
    <n v="52"/>
    <x v="0"/>
    <x v="89"/>
    <n v="355000"/>
    <n v="60"/>
    <n v="15.2"/>
    <n v="8483"/>
    <n v="6"/>
    <n v="6"/>
    <n v="50898"/>
    <n v="330313"/>
    <x v="0"/>
    <x v="0"/>
    <x v="0"/>
    <n v="26211"/>
  </r>
  <r>
    <x v="128"/>
    <x v="4"/>
    <x v="3"/>
    <x v="1"/>
    <s v="CUS-4129"/>
    <x v="1"/>
    <n v="27"/>
    <x v="3"/>
    <x v="90"/>
    <n v="77000"/>
    <n v="24"/>
    <n v="11"/>
    <n v="3589"/>
    <n v="5"/>
    <n v="5"/>
    <n v="17945"/>
    <n v="62318"/>
    <x v="0"/>
    <x v="0"/>
    <x v="0"/>
    <n v="3263"/>
  </r>
  <r>
    <x v="129"/>
    <x v="4"/>
    <x v="3"/>
    <x v="0"/>
    <s v="CUS-4130"/>
    <x v="2"/>
    <n v="55"/>
    <x v="0"/>
    <x v="91"/>
    <n v="1161000"/>
    <n v="36"/>
    <n v="12.2"/>
    <n v="38673"/>
    <n v="2"/>
    <n v="2"/>
    <n v="77346"/>
    <n v="1106988"/>
    <x v="0"/>
    <x v="0"/>
    <x v="0"/>
    <n v="23334"/>
  </r>
  <r>
    <x v="130"/>
    <x v="1"/>
    <x v="1"/>
    <x v="1"/>
    <s v="CUS-4131"/>
    <x v="1"/>
    <n v="45"/>
    <x v="2"/>
    <x v="48"/>
    <n v="240000"/>
    <n v="12"/>
    <n v="10.8"/>
    <n v="21189"/>
    <n v="1"/>
    <n v="1"/>
    <n v="21189"/>
    <n v="220971"/>
    <x v="0"/>
    <x v="0"/>
    <x v="0"/>
    <n v="2160"/>
  </r>
  <r>
    <x v="131"/>
    <x v="3"/>
    <x v="2"/>
    <x v="0"/>
    <s v="CUS-4132"/>
    <x v="2"/>
    <n v="56"/>
    <x v="0"/>
    <x v="92"/>
    <n v="139000"/>
    <n v="24"/>
    <n v="13.3"/>
    <n v="6628"/>
    <n v="3"/>
    <n v="3"/>
    <n v="19884"/>
    <n v="123568"/>
    <x v="0"/>
    <x v="0"/>
    <x v="0"/>
    <n v="4452"/>
  </r>
  <r>
    <x v="132"/>
    <x v="3"/>
    <x v="2"/>
    <x v="1"/>
    <s v="CUS-4133"/>
    <x v="1"/>
    <n v="32"/>
    <x v="1"/>
    <x v="7"/>
    <n v="77000"/>
    <n v="6"/>
    <n v="11.7"/>
    <n v="13275"/>
    <n v="4"/>
    <n v="4"/>
    <n v="53100"/>
    <n v="26166"/>
    <x v="0"/>
    <x v="0"/>
    <x v="0"/>
    <n v="2266"/>
  </r>
  <r>
    <x v="133"/>
    <x v="0"/>
    <x v="0"/>
    <x v="3"/>
    <s v="CUS-4134"/>
    <x v="1"/>
    <n v="49"/>
    <x v="2"/>
    <x v="93"/>
    <n v="417000"/>
    <n v="24"/>
    <n v="11.1"/>
    <n v="19455"/>
    <n v="2"/>
    <n v="1"/>
    <n v="19455"/>
    <n v="401402"/>
    <x v="29"/>
    <x v="1"/>
    <x v="0"/>
    <n v="3857"/>
  </r>
  <r>
    <x v="134"/>
    <x v="4"/>
    <x v="3"/>
    <x v="1"/>
    <s v="CUS-4135"/>
    <x v="2"/>
    <n v="54"/>
    <x v="0"/>
    <x v="94"/>
    <n v="148000"/>
    <n v="24"/>
    <n v="11.8"/>
    <n v="6953"/>
    <n v="5"/>
    <n v="5"/>
    <n v="34765"/>
    <n v="119965"/>
    <x v="0"/>
    <x v="0"/>
    <x v="0"/>
    <n v="6730"/>
  </r>
  <r>
    <x v="135"/>
    <x v="6"/>
    <x v="1"/>
    <x v="2"/>
    <s v="CUS-4136"/>
    <x v="2"/>
    <n v="34"/>
    <x v="1"/>
    <x v="18"/>
    <n v="288000"/>
    <n v="12"/>
    <n v="17.7"/>
    <n v="26363"/>
    <n v="4"/>
    <n v="3"/>
    <n v="79089"/>
    <n v="220672"/>
    <x v="30"/>
    <x v="1"/>
    <x v="0"/>
    <n v="11761"/>
  </r>
  <r>
    <x v="136"/>
    <x v="5"/>
    <x v="0"/>
    <x v="3"/>
    <s v="CUS-4137"/>
    <x v="0"/>
    <n v="24"/>
    <x v="3"/>
    <x v="95"/>
    <n v="258000"/>
    <n v="24"/>
    <n v="13.7"/>
    <n v="12351"/>
    <n v="2"/>
    <n v="2"/>
    <n v="24702"/>
    <n v="239082"/>
    <x v="0"/>
    <x v="0"/>
    <x v="0"/>
    <n v="5784"/>
  </r>
  <r>
    <x v="137"/>
    <x v="2"/>
    <x v="2"/>
    <x v="1"/>
    <s v="CUS-4138"/>
    <x v="0"/>
    <n v="43"/>
    <x v="2"/>
    <x v="76"/>
    <n v="48000"/>
    <n v="6"/>
    <n v="10.6"/>
    <n v="8249"/>
    <n v="6"/>
    <n v="6"/>
    <n v="49494"/>
    <n v="0"/>
    <x v="0"/>
    <x v="0"/>
    <x v="0"/>
    <n v="1494"/>
  </r>
  <r>
    <x v="138"/>
    <x v="7"/>
    <x v="3"/>
    <x v="4"/>
    <s v="CUS-4139"/>
    <x v="1"/>
    <n v="27"/>
    <x v="3"/>
    <x v="6"/>
    <n v="343000"/>
    <n v="24"/>
    <n v="12.9"/>
    <n v="16291"/>
    <n v="6"/>
    <n v="6"/>
    <n v="97746"/>
    <n v="265317"/>
    <x v="0"/>
    <x v="0"/>
    <x v="0"/>
    <n v="20063"/>
  </r>
  <r>
    <x v="139"/>
    <x v="2"/>
    <x v="2"/>
    <x v="0"/>
    <s v="CUS-4140"/>
    <x v="2"/>
    <n v="33"/>
    <x v="1"/>
    <x v="53"/>
    <n v="1231000"/>
    <n v="36"/>
    <n v="11.6"/>
    <n v="40652"/>
    <n v="5"/>
    <n v="5"/>
    <n v="203260"/>
    <n v="1084432"/>
    <x v="0"/>
    <x v="0"/>
    <x v="0"/>
    <n v="56692"/>
  </r>
  <r>
    <x v="140"/>
    <x v="1"/>
    <x v="1"/>
    <x v="3"/>
    <s v="CUS-4141"/>
    <x v="0"/>
    <n v="45"/>
    <x v="2"/>
    <x v="23"/>
    <n v="751000"/>
    <n v="36"/>
    <n v="14.4"/>
    <n v="25814"/>
    <n v="5"/>
    <n v="5"/>
    <n v="129070"/>
    <n v="664952"/>
    <x v="0"/>
    <x v="0"/>
    <x v="0"/>
    <n v="43022"/>
  </r>
  <r>
    <x v="141"/>
    <x v="1"/>
    <x v="1"/>
    <x v="0"/>
    <s v="CUS-4142"/>
    <x v="1"/>
    <n v="43"/>
    <x v="2"/>
    <x v="96"/>
    <n v="412000"/>
    <n v="24"/>
    <n v="11.5"/>
    <n v="19298"/>
    <n v="2"/>
    <n v="2"/>
    <n v="38596"/>
    <n v="381153"/>
    <x v="0"/>
    <x v="0"/>
    <x v="0"/>
    <n v="7749"/>
  </r>
  <r>
    <x v="142"/>
    <x v="5"/>
    <x v="0"/>
    <x v="3"/>
    <s v="CUS-4143"/>
    <x v="1"/>
    <n v="57"/>
    <x v="0"/>
    <x v="94"/>
    <n v="102000"/>
    <n v="36"/>
    <n v="12.7"/>
    <n v="3422"/>
    <n v="5"/>
    <n v="3"/>
    <n v="10266"/>
    <n v="94898"/>
    <x v="31"/>
    <x v="1"/>
    <x v="0"/>
    <n v="3164"/>
  </r>
  <r>
    <x v="143"/>
    <x v="3"/>
    <x v="2"/>
    <x v="2"/>
    <s v="CUS-4144"/>
    <x v="1"/>
    <n v="40"/>
    <x v="1"/>
    <x v="13"/>
    <n v="320000"/>
    <n v="24"/>
    <n v="14.2"/>
    <n v="15394"/>
    <n v="5"/>
    <n v="5"/>
    <n v="76970"/>
    <n v="260572"/>
    <x v="0"/>
    <x v="0"/>
    <x v="0"/>
    <n v="17542"/>
  </r>
  <r>
    <x v="144"/>
    <x v="5"/>
    <x v="0"/>
    <x v="2"/>
    <s v="CUS-4145"/>
    <x v="2"/>
    <n v="56"/>
    <x v="0"/>
    <x v="97"/>
    <n v="381000"/>
    <n v="24"/>
    <n v="17.399999999999999"/>
    <n v="18911"/>
    <n v="3"/>
    <n v="2"/>
    <n v="37822"/>
    <n v="354033"/>
    <x v="32"/>
    <x v="1"/>
    <x v="0"/>
    <n v="10855"/>
  </r>
  <r>
    <x v="145"/>
    <x v="6"/>
    <x v="1"/>
    <x v="1"/>
    <s v="CUS-4146"/>
    <x v="0"/>
    <n v="58"/>
    <x v="0"/>
    <x v="8"/>
    <n v="157000"/>
    <n v="12"/>
    <n v="11.1"/>
    <n v="13883"/>
    <n v="5"/>
    <n v="5"/>
    <n v="69415"/>
    <n v="93684"/>
    <x v="0"/>
    <x v="0"/>
    <x v="0"/>
    <n v="6099"/>
  </r>
  <r>
    <x v="146"/>
    <x v="7"/>
    <x v="3"/>
    <x v="1"/>
    <s v="CUS-4147"/>
    <x v="2"/>
    <n v="54"/>
    <x v="0"/>
    <x v="98"/>
    <n v="189000"/>
    <n v="24"/>
    <n v="10"/>
    <n v="8721"/>
    <n v="6"/>
    <n v="6"/>
    <n v="52326"/>
    <n v="145218"/>
    <x v="0"/>
    <x v="0"/>
    <x v="0"/>
    <n v="8544"/>
  </r>
  <r>
    <x v="147"/>
    <x v="4"/>
    <x v="3"/>
    <x v="1"/>
    <s v="CUS-4148"/>
    <x v="2"/>
    <n v="30"/>
    <x v="1"/>
    <x v="4"/>
    <n v="106000"/>
    <n v="24"/>
    <n v="10.199999999999999"/>
    <n v="4901"/>
    <n v="6"/>
    <n v="6"/>
    <n v="29406"/>
    <n v="81483"/>
    <x v="0"/>
    <x v="0"/>
    <x v="0"/>
    <n v="4889"/>
  </r>
  <r>
    <x v="148"/>
    <x v="0"/>
    <x v="0"/>
    <x v="0"/>
    <s v="CUS-4149"/>
    <x v="1"/>
    <n v="34"/>
    <x v="1"/>
    <x v="34"/>
    <n v="740000"/>
    <n v="48"/>
    <n v="12.5"/>
    <n v="19669"/>
    <n v="6"/>
    <n v="6"/>
    <n v="118014"/>
    <n v="666340"/>
    <x v="0"/>
    <x v="0"/>
    <x v="0"/>
    <n v="44354"/>
  </r>
  <r>
    <x v="149"/>
    <x v="6"/>
    <x v="1"/>
    <x v="4"/>
    <s v="CUS-4150"/>
    <x v="2"/>
    <n v="50"/>
    <x v="2"/>
    <x v="93"/>
    <n v="350000"/>
    <n v="48"/>
    <n v="14.5"/>
    <n v="9652"/>
    <n v="2"/>
    <n v="2"/>
    <n v="19304"/>
    <n v="339088"/>
    <x v="0"/>
    <x v="0"/>
    <x v="0"/>
    <n v="8392"/>
  </r>
  <r>
    <x v="150"/>
    <x v="0"/>
    <x v="0"/>
    <x v="2"/>
    <s v="CUS-4151"/>
    <x v="1"/>
    <n v="48"/>
    <x v="2"/>
    <x v="77"/>
    <n v="405000"/>
    <n v="24"/>
    <n v="15"/>
    <n v="19637"/>
    <n v="5"/>
    <n v="5"/>
    <n v="98185"/>
    <n v="330282"/>
    <x v="0"/>
    <x v="0"/>
    <x v="0"/>
    <n v="23467"/>
  </r>
  <r>
    <x v="151"/>
    <x v="1"/>
    <x v="1"/>
    <x v="2"/>
    <s v="CUS-4152"/>
    <x v="0"/>
    <n v="45"/>
    <x v="2"/>
    <x v="99"/>
    <n v="423000"/>
    <n v="12"/>
    <n v="14.2"/>
    <n v="38020"/>
    <n v="6"/>
    <n v="5"/>
    <n v="190100"/>
    <n v="253975"/>
    <x v="33"/>
    <x v="1"/>
    <x v="0"/>
    <n v="21075"/>
  </r>
  <r>
    <x v="152"/>
    <x v="4"/>
    <x v="3"/>
    <x v="4"/>
    <s v="CUS-4153"/>
    <x v="2"/>
    <n v="27"/>
    <x v="3"/>
    <x v="80"/>
    <n v="1040000"/>
    <n v="36"/>
    <n v="15.9"/>
    <n v="36512"/>
    <n v="4"/>
    <n v="2"/>
    <n v="73024"/>
    <n v="994235"/>
    <x v="4"/>
    <x v="1"/>
    <x v="0"/>
    <n v="27259"/>
  </r>
  <r>
    <x v="153"/>
    <x v="1"/>
    <x v="1"/>
    <x v="0"/>
    <s v="CUS-4154"/>
    <x v="1"/>
    <n v="31"/>
    <x v="1"/>
    <x v="100"/>
    <n v="1004000"/>
    <n v="36"/>
    <n v="13"/>
    <n v="33829"/>
    <n v="2"/>
    <n v="2"/>
    <n v="67658"/>
    <n v="957847"/>
    <x v="0"/>
    <x v="0"/>
    <x v="0"/>
    <n v="21505"/>
  </r>
  <r>
    <x v="154"/>
    <x v="6"/>
    <x v="1"/>
    <x v="4"/>
    <s v="CUS-4155"/>
    <x v="1"/>
    <n v="47"/>
    <x v="2"/>
    <x v="101"/>
    <n v="385000"/>
    <n v="36"/>
    <n v="13.9"/>
    <n v="13140"/>
    <n v="2"/>
    <n v="2"/>
    <n v="26280"/>
    <n v="367539"/>
    <x v="0"/>
    <x v="0"/>
    <x v="0"/>
    <n v="8819"/>
  </r>
  <r>
    <x v="155"/>
    <x v="0"/>
    <x v="0"/>
    <x v="3"/>
    <s v="CUS-4156"/>
    <x v="1"/>
    <n v="26"/>
    <x v="3"/>
    <x v="76"/>
    <n v="655000"/>
    <n v="48"/>
    <n v="12.5"/>
    <n v="17410"/>
    <n v="6"/>
    <n v="6"/>
    <n v="104460"/>
    <n v="589801"/>
    <x v="0"/>
    <x v="0"/>
    <x v="0"/>
    <n v="39261"/>
  </r>
  <r>
    <x v="156"/>
    <x v="6"/>
    <x v="1"/>
    <x v="1"/>
    <s v="CUS-4157"/>
    <x v="0"/>
    <n v="32"/>
    <x v="1"/>
    <x v="102"/>
    <n v="150000"/>
    <n v="6"/>
    <n v="11.9"/>
    <n v="25875"/>
    <n v="6"/>
    <n v="6"/>
    <n v="155250"/>
    <n v="0"/>
    <x v="0"/>
    <x v="0"/>
    <x v="0"/>
    <n v="5250"/>
  </r>
  <r>
    <x v="157"/>
    <x v="3"/>
    <x v="2"/>
    <x v="1"/>
    <s v="CUS-4158"/>
    <x v="1"/>
    <n v="32"/>
    <x v="1"/>
    <x v="48"/>
    <n v="161000"/>
    <n v="24"/>
    <n v="10.4"/>
    <n v="7459"/>
    <n v="1"/>
    <n v="1"/>
    <n v="7459"/>
    <n v="154936"/>
    <x v="0"/>
    <x v="0"/>
    <x v="0"/>
    <n v="1395"/>
  </r>
  <r>
    <x v="158"/>
    <x v="3"/>
    <x v="2"/>
    <x v="2"/>
    <s v="CUS-4159"/>
    <x v="2"/>
    <n v="45"/>
    <x v="2"/>
    <x v="11"/>
    <n v="420000"/>
    <n v="12"/>
    <n v="14.9"/>
    <n v="37889"/>
    <n v="5"/>
    <n v="0"/>
    <n v="0"/>
    <n v="420000"/>
    <x v="34"/>
    <x v="2"/>
    <x v="1"/>
    <n v="0"/>
  </r>
  <r>
    <x v="159"/>
    <x v="7"/>
    <x v="3"/>
    <x v="2"/>
    <s v="CUS-4160"/>
    <x v="0"/>
    <n v="33"/>
    <x v="1"/>
    <x v="30"/>
    <n v="474000"/>
    <n v="12"/>
    <n v="14.3"/>
    <n v="42626"/>
    <n v="5"/>
    <n v="3"/>
    <n v="127878"/>
    <n v="361740"/>
    <x v="35"/>
    <x v="1"/>
    <x v="0"/>
    <n v="15618"/>
  </r>
  <r>
    <x v="160"/>
    <x v="1"/>
    <x v="1"/>
    <x v="3"/>
    <s v="CUS-4161"/>
    <x v="1"/>
    <n v="30"/>
    <x v="1"/>
    <x v="64"/>
    <n v="661000"/>
    <n v="36"/>
    <n v="11.2"/>
    <n v="21703"/>
    <n v="4"/>
    <n v="4"/>
    <n v="86812"/>
    <n v="597990"/>
    <x v="0"/>
    <x v="0"/>
    <x v="0"/>
    <n v="23802"/>
  </r>
  <r>
    <x v="161"/>
    <x v="6"/>
    <x v="1"/>
    <x v="0"/>
    <s v="CUS-4162"/>
    <x v="1"/>
    <n v="35"/>
    <x v="1"/>
    <x v="103"/>
    <n v="1315000"/>
    <n v="36"/>
    <n v="13"/>
    <n v="44308"/>
    <n v="4"/>
    <n v="0"/>
    <n v="0"/>
    <n v="1315000"/>
    <x v="36"/>
    <x v="2"/>
    <x v="1"/>
    <n v="0"/>
  </r>
  <r>
    <x v="162"/>
    <x v="1"/>
    <x v="1"/>
    <x v="4"/>
    <s v="CUS-4163"/>
    <x v="0"/>
    <n v="34"/>
    <x v="1"/>
    <x v="14"/>
    <n v="791000"/>
    <n v="36"/>
    <n v="16"/>
    <n v="27809"/>
    <n v="4"/>
    <n v="2"/>
    <n v="55618"/>
    <n v="756245"/>
    <x v="37"/>
    <x v="1"/>
    <x v="0"/>
    <n v="20863"/>
  </r>
  <r>
    <x v="163"/>
    <x v="2"/>
    <x v="2"/>
    <x v="0"/>
    <s v="CUS-4164"/>
    <x v="1"/>
    <n v="45"/>
    <x v="2"/>
    <x v="100"/>
    <n v="623000"/>
    <n v="48"/>
    <n v="12.3"/>
    <n v="16498"/>
    <n v="2"/>
    <n v="2"/>
    <n v="32996"/>
    <n v="602672"/>
    <x v="0"/>
    <x v="0"/>
    <x v="0"/>
    <n v="12668"/>
  </r>
  <r>
    <x v="164"/>
    <x v="2"/>
    <x v="2"/>
    <x v="3"/>
    <s v="CUS-4165"/>
    <x v="1"/>
    <n v="43"/>
    <x v="2"/>
    <x v="15"/>
    <n v="389000"/>
    <n v="36"/>
    <n v="11.5"/>
    <n v="12828"/>
    <n v="5"/>
    <n v="5"/>
    <n v="64140"/>
    <n v="342621"/>
    <x v="0"/>
    <x v="0"/>
    <x v="0"/>
    <n v="17761"/>
  </r>
  <r>
    <x v="165"/>
    <x v="3"/>
    <x v="2"/>
    <x v="4"/>
    <s v="CUS-4166"/>
    <x v="2"/>
    <n v="27"/>
    <x v="3"/>
    <x v="39"/>
    <n v="616000"/>
    <n v="24"/>
    <n v="15"/>
    <n v="29868"/>
    <n v="6"/>
    <n v="6"/>
    <n v="179208"/>
    <n v="478767"/>
    <x v="0"/>
    <x v="0"/>
    <x v="0"/>
    <n v="41975"/>
  </r>
  <r>
    <x v="166"/>
    <x v="3"/>
    <x v="2"/>
    <x v="4"/>
    <s v="CUS-4167"/>
    <x v="1"/>
    <n v="44"/>
    <x v="2"/>
    <x v="104"/>
    <n v="1348000"/>
    <n v="60"/>
    <n v="13.7"/>
    <n v="31156"/>
    <n v="3"/>
    <n v="3"/>
    <n v="93468"/>
    <n v="1300158"/>
    <x v="0"/>
    <x v="0"/>
    <x v="0"/>
    <n v="45626"/>
  </r>
  <r>
    <x v="167"/>
    <x v="5"/>
    <x v="0"/>
    <x v="1"/>
    <s v="CUS-4168"/>
    <x v="2"/>
    <n v="35"/>
    <x v="1"/>
    <x v="45"/>
    <n v="205000"/>
    <n v="12"/>
    <n v="10.199999999999999"/>
    <n v="18042"/>
    <n v="4"/>
    <n v="4"/>
    <n v="72168"/>
    <n v="138967"/>
    <x v="0"/>
    <x v="0"/>
    <x v="0"/>
    <n v="6135"/>
  </r>
  <r>
    <x v="168"/>
    <x v="0"/>
    <x v="0"/>
    <x v="2"/>
    <s v="CUS-4169"/>
    <x v="0"/>
    <n v="34"/>
    <x v="1"/>
    <x v="67"/>
    <n v="459000"/>
    <n v="36"/>
    <n v="14.4"/>
    <n v="15777"/>
    <n v="3"/>
    <n v="3"/>
    <n v="47331"/>
    <n v="427822"/>
    <x v="0"/>
    <x v="0"/>
    <x v="0"/>
    <n v="16153"/>
  </r>
  <r>
    <x v="169"/>
    <x v="1"/>
    <x v="1"/>
    <x v="3"/>
    <s v="CUS-4170"/>
    <x v="2"/>
    <n v="33"/>
    <x v="1"/>
    <x v="105"/>
    <n v="475000"/>
    <n v="48"/>
    <n v="13.2"/>
    <n v="12790"/>
    <n v="3"/>
    <n v="3"/>
    <n v="38370"/>
    <n v="452054"/>
    <x v="0"/>
    <x v="0"/>
    <x v="0"/>
    <n v="15424"/>
  </r>
  <r>
    <x v="170"/>
    <x v="4"/>
    <x v="3"/>
    <x v="3"/>
    <s v="CUS-4171"/>
    <x v="1"/>
    <n v="41"/>
    <x v="2"/>
    <x v="12"/>
    <n v="598000"/>
    <n v="24"/>
    <n v="11.8"/>
    <n v="28094"/>
    <n v="4"/>
    <n v="0"/>
    <n v="0"/>
    <n v="598000"/>
    <x v="38"/>
    <x v="2"/>
    <x v="1"/>
    <n v="0"/>
  </r>
  <r>
    <x v="171"/>
    <x v="1"/>
    <x v="1"/>
    <x v="2"/>
    <s v="CUS-4172"/>
    <x v="0"/>
    <n v="57"/>
    <x v="0"/>
    <x v="28"/>
    <n v="88000"/>
    <n v="36"/>
    <n v="16.899999999999999"/>
    <n v="3133"/>
    <n v="6"/>
    <n v="0"/>
    <n v="0"/>
    <n v="88000"/>
    <x v="39"/>
    <x v="2"/>
    <x v="1"/>
    <n v="0"/>
  </r>
  <r>
    <x v="172"/>
    <x v="4"/>
    <x v="3"/>
    <x v="1"/>
    <s v="CUS-4173"/>
    <x v="1"/>
    <n v="28"/>
    <x v="3"/>
    <x v="106"/>
    <n v="208000"/>
    <n v="6"/>
    <n v="10.6"/>
    <n v="35746"/>
    <n v="1"/>
    <n v="1"/>
    <n v="35746"/>
    <n v="174091"/>
    <x v="0"/>
    <x v="0"/>
    <x v="0"/>
    <n v="1837"/>
  </r>
  <r>
    <x v="173"/>
    <x v="2"/>
    <x v="2"/>
    <x v="3"/>
    <s v="CUS-4174"/>
    <x v="1"/>
    <n v="40"/>
    <x v="1"/>
    <x v="107"/>
    <n v="425000"/>
    <n v="36"/>
    <n v="11.2"/>
    <n v="13954"/>
    <n v="5"/>
    <n v="5"/>
    <n v="69770"/>
    <n v="374121"/>
    <x v="0"/>
    <x v="0"/>
    <x v="0"/>
    <n v="18891"/>
  </r>
  <r>
    <x v="174"/>
    <x v="7"/>
    <x v="3"/>
    <x v="1"/>
    <s v="CUS-4175"/>
    <x v="2"/>
    <n v="32"/>
    <x v="1"/>
    <x v="108"/>
    <n v="115000"/>
    <n v="12"/>
    <n v="11.4"/>
    <n v="10185"/>
    <n v="1"/>
    <n v="1"/>
    <n v="10185"/>
    <n v="105907"/>
    <x v="0"/>
    <x v="0"/>
    <x v="0"/>
    <n v="1092"/>
  </r>
  <r>
    <x v="175"/>
    <x v="3"/>
    <x v="2"/>
    <x v="4"/>
    <s v="CUS-4176"/>
    <x v="0"/>
    <n v="29"/>
    <x v="3"/>
    <x v="109"/>
    <n v="1705000"/>
    <n v="36"/>
    <n v="14.3"/>
    <n v="58522"/>
    <n v="3"/>
    <n v="2"/>
    <n v="117044"/>
    <n v="1628137"/>
    <x v="40"/>
    <x v="1"/>
    <x v="0"/>
    <n v="40181"/>
  </r>
  <r>
    <x v="176"/>
    <x v="7"/>
    <x v="3"/>
    <x v="0"/>
    <s v="CUS-4177"/>
    <x v="0"/>
    <n v="57"/>
    <x v="0"/>
    <x v="108"/>
    <n v="780000"/>
    <n v="24"/>
    <n v="11.5"/>
    <n v="36535"/>
    <n v="1"/>
    <n v="1"/>
    <n v="36535"/>
    <n v="750940"/>
    <x v="0"/>
    <x v="0"/>
    <x v="0"/>
    <n v="7475"/>
  </r>
  <r>
    <x v="177"/>
    <x v="1"/>
    <x v="1"/>
    <x v="3"/>
    <s v="CUS-4178"/>
    <x v="1"/>
    <n v="24"/>
    <x v="3"/>
    <x v="102"/>
    <n v="454000"/>
    <n v="48"/>
    <n v="11.6"/>
    <n v="11867"/>
    <n v="6"/>
    <n v="6"/>
    <n v="71202"/>
    <n v="408034"/>
    <x v="0"/>
    <x v="0"/>
    <x v="0"/>
    <n v="25236"/>
  </r>
  <r>
    <x v="178"/>
    <x v="4"/>
    <x v="3"/>
    <x v="2"/>
    <s v="CUS-4179"/>
    <x v="1"/>
    <n v="56"/>
    <x v="0"/>
    <x v="110"/>
    <n v="495000"/>
    <n v="36"/>
    <n v="17"/>
    <n v="17648"/>
    <n v="4"/>
    <n v="4"/>
    <n v="70592"/>
    <n v="451545"/>
    <x v="0"/>
    <x v="0"/>
    <x v="0"/>
    <n v="27137"/>
  </r>
  <r>
    <x v="179"/>
    <x v="5"/>
    <x v="0"/>
    <x v="2"/>
    <s v="CUS-4180"/>
    <x v="2"/>
    <n v="48"/>
    <x v="2"/>
    <x v="16"/>
    <n v="278000"/>
    <n v="24"/>
    <n v="14.7"/>
    <n v="13440"/>
    <n v="3"/>
    <n v="0"/>
    <n v="0"/>
    <n v="278000"/>
    <x v="41"/>
    <x v="2"/>
    <x v="1"/>
    <n v="0"/>
  </r>
  <r>
    <x v="180"/>
    <x v="6"/>
    <x v="1"/>
    <x v="4"/>
    <s v="CUS-4181"/>
    <x v="1"/>
    <n v="46"/>
    <x v="2"/>
    <x v="100"/>
    <n v="1177000"/>
    <n v="60"/>
    <n v="15"/>
    <n v="28001"/>
    <n v="2"/>
    <n v="2"/>
    <n v="56002"/>
    <n v="1150257"/>
    <x v="0"/>
    <x v="0"/>
    <x v="0"/>
    <n v="29259"/>
  </r>
  <r>
    <x v="181"/>
    <x v="5"/>
    <x v="0"/>
    <x v="0"/>
    <s v="CUS-4182"/>
    <x v="0"/>
    <n v="26"/>
    <x v="3"/>
    <x v="111"/>
    <n v="476000"/>
    <n v="48"/>
    <n v="11.2"/>
    <n v="12349"/>
    <n v="1"/>
    <n v="1"/>
    <n v="12349"/>
    <n v="468094"/>
    <x v="0"/>
    <x v="0"/>
    <x v="0"/>
    <n v="4443"/>
  </r>
  <r>
    <x v="182"/>
    <x v="0"/>
    <x v="0"/>
    <x v="3"/>
    <s v="CUS-4183"/>
    <x v="0"/>
    <n v="46"/>
    <x v="2"/>
    <x v="107"/>
    <n v="360000"/>
    <n v="60"/>
    <n v="11.5"/>
    <n v="7917"/>
    <n v="5"/>
    <n v="4"/>
    <n v="31668"/>
    <n v="341872"/>
    <x v="42"/>
    <x v="1"/>
    <x v="0"/>
    <n v="13540"/>
  </r>
  <r>
    <x v="183"/>
    <x v="3"/>
    <x v="2"/>
    <x v="0"/>
    <s v="CUS-4184"/>
    <x v="2"/>
    <n v="30"/>
    <x v="1"/>
    <x v="9"/>
    <n v="1480000"/>
    <n v="48"/>
    <n v="10.3"/>
    <n v="37750"/>
    <n v="3"/>
    <n v="3"/>
    <n v="113250"/>
    <n v="1404213"/>
    <x v="0"/>
    <x v="0"/>
    <x v="0"/>
    <n v="37463"/>
  </r>
  <r>
    <x v="184"/>
    <x v="3"/>
    <x v="2"/>
    <x v="2"/>
    <s v="CUS-4185"/>
    <x v="2"/>
    <n v="42"/>
    <x v="2"/>
    <x v="112"/>
    <n v="174000"/>
    <n v="12"/>
    <n v="16.399999999999999"/>
    <n v="15820"/>
    <n v="6"/>
    <n v="3"/>
    <n v="47460"/>
    <n v="133120"/>
    <x v="43"/>
    <x v="1"/>
    <x v="0"/>
    <n v="6580"/>
  </r>
  <r>
    <x v="185"/>
    <x v="7"/>
    <x v="3"/>
    <x v="2"/>
    <s v="CUS-4186"/>
    <x v="0"/>
    <n v="27"/>
    <x v="3"/>
    <x v="6"/>
    <n v="450000"/>
    <n v="24"/>
    <n v="14.4"/>
    <n v="21691"/>
    <n v="6"/>
    <n v="5"/>
    <n v="108455"/>
    <n v="366567"/>
    <x v="44"/>
    <x v="1"/>
    <x v="0"/>
    <n v="25022"/>
  </r>
  <r>
    <x v="186"/>
    <x v="1"/>
    <x v="1"/>
    <x v="3"/>
    <s v="CUS-4187"/>
    <x v="0"/>
    <n v="41"/>
    <x v="2"/>
    <x v="60"/>
    <n v="671000"/>
    <n v="36"/>
    <n v="13.4"/>
    <n v="22738"/>
    <n v="4"/>
    <n v="0"/>
    <n v="0"/>
    <n v="671000"/>
    <x v="45"/>
    <x v="2"/>
    <x v="1"/>
    <n v="0"/>
  </r>
  <r>
    <x v="187"/>
    <x v="4"/>
    <x v="3"/>
    <x v="4"/>
    <s v="CUS-4188"/>
    <x v="1"/>
    <n v="56"/>
    <x v="0"/>
    <x v="7"/>
    <n v="697000"/>
    <n v="48"/>
    <n v="13.5"/>
    <n v="18872"/>
    <n v="4"/>
    <n v="4"/>
    <n v="75488"/>
    <n v="652126"/>
    <x v="0"/>
    <x v="0"/>
    <x v="0"/>
    <n v="30614"/>
  </r>
  <r>
    <x v="188"/>
    <x v="5"/>
    <x v="0"/>
    <x v="1"/>
    <s v="CUS-4189"/>
    <x v="1"/>
    <n v="51"/>
    <x v="0"/>
    <x v="24"/>
    <n v="262000"/>
    <n v="12"/>
    <n v="11.8"/>
    <n v="23254"/>
    <n v="1"/>
    <n v="1"/>
    <n v="23254"/>
    <n v="241322"/>
    <x v="0"/>
    <x v="0"/>
    <x v="0"/>
    <n v="2576"/>
  </r>
  <r>
    <x v="189"/>
    <x v="7"/>
    <x v="3"/>
    <x v="0"/>
    <s v="CUS-4190"/>
    <x v="1"/>
    <n v="47"/>
    <x v="2"/>
    <x v="113"/>
    <n v="1037000"/>
    <n v="48"/>
    <n v="11.7"/>
    <n v="27156"/>
    <n v="3"/>
    <n v="3"/>
    <n v="81468"/>
    <n v="985365"/>
    <x v="0"/>
    <x v="0"/>
    <x v="0"/>
    <n v="29833"/>
  </r>
  <r>
    <x v="190"/>
    <x v="2"/>
    <x v="2"/>
    <x v="1"/>
    <s v="CUS-4191"/>
    <x v="2"/>
    <n v="29"/>
    <x v="3"/>
    <x v="96"/>
    <n v="59000"/>
    <n v="6"/>
    <n v="11.9"/>
    <n v="10177"/>
    <n v="2"/>
    <n v="2"/>
    <n v="20354"/>
    <n v="39720"/>
    <x v="0"/>
    <x v="0"/>
    <x v="0"/>
    <n v="1074"/>
  </r>
  <r>
    <x v="191"/>
    <x v="6"/>
    <x v="1"/>
    <x v="0"/>
    <s v="CUS-4192"/>
    <x v="2"/>
    <n v="38"/>
    <x v="1"/>
    <x v="32"/>
    <n v="1006000"/>
    <n v="48"/>
    <n v="10.5"/>
    <n v="25757"/>
    <n v="4"/>
    <n v="0"/>
    <n v="0"/>
    <n v="1006000"/>
    <x v="21"/>
    <x v="2"/>
    <x v="1"/>
    <n v="0"/>
  </r>
  <r>
    <x v="192"/>
    <x v="0"/>
    <x v="0"/>
    <x v="1"/>
    <s v="CUS-4193"/>
    <x v="2"/>
    <n v="58"/>
    <x v="0"/>
    <x v="114"/>
    <n v="268000"/>
    <n v="12"/>
    <n v="12"/>
    <n v="23811"/>
    <n v="3"/>
    <n v="3"/>
    <n v="71433"/>
    <n v="203970"/>
    <x v="0"/>
    <x v="0"/>
    <x v="0"/>
    <n v="7403"/>
  </r>
  <r>
    <x v="193"/>
    <x v="2"/>
    <x v="2"/>
    <x v="2"/>
    <s v="CUS-4194"/>
    <x v="0"/>
    <n v="28"/>
    <x v="3"/>
    <x v="115"/>
    <n v="314000"/>
    <n v="24"/>
    <n v="16.100000000000001"/>
    <n v="15389"/>
    <n v="6"/>
    <n v="6"/>
    <n v="92334"/>
    <n v="244651"/>
    <x v="0"/>
    <x v="0"/>
    <x v="0"/>
    <n v="22985"/>
  </r>
  <r>
    <x v="194"/>
    <x v="6"/>
    <x v="1"/>
    <x v="2"/>
    <s v="CUS-4195"/>
    <x v="2"/>
    <n v="47"/>
    <x v="2"/>
    <x v="50"/>
    <n v="258000"/>
    <n v="36"/>
    <n v="17"/>
    <n v="9198"/>
    <n v="6"/>
    <n v="6"/>
    <n v="55188"/>
    <n v="223539"/>
    <x v="0"/>
    <x v="0"/>
    <x v="0"/>
    <n v="20727"/>
  </r>
  <r>
    <x v="195"/>
    <x v="4"/>
    <x v="3"/>
    <x v="2"/>
    <s v="CUS-4196"/>
    <x v="2"/>
    <n v="51"/>
    <x v="0"/>
    <x v="33"/>
    <n v="163000"/>
    <n v="12"/>
    <n v="15.6"/>
    <n v="14758"/>
    <n v="2"/>
    <n v="1"/>
    <n v="14758"/>
    <n v="150361"/>
    <x v="46"/>
    <x v="1"/>
    <x v="0"/>
    <n v="2119"/>
  </r>
  <r>
    <x v="196"/>
    <x v="3"/>
    <x v="2"/>
    <x v="2"/>
    <s v="CUS-4197"/>
    <x v="1"/>
    <n v="39"/>
    <x v="1"/>
    <x v="116"/>
    <n v="379000"/>
    <n v="24"/>
    <n v="17.399999999999999"/>
    <n v="18812"/>
    <n v="6"/>
    <n v="6"/>
    <n v="112872"/>
    <n v="296151"/>
    <x v="0"/>
    <x v="0"/>
    <x v="0"/>
    <n v="30023"/>
  </r>
  <r>
    <x v="197"/>
    <x v="1"/>
    <x v="1"/>
    <x v="0"/>
    <s v="CUS-4198"/>
    <x v="2"/>
    <n v="49"/>
    <x v="2"/>
    <x v="18"/>
    <n v="912000"/>
    <n v="48"/>
    <n v="10.1"/>
    <n v="23174"/>
    <n v="4"/>
    <n v="4"/>
    <n v="92696"/>
    <n v="849219"/>
    <x v="0"/>
    <x v="0"/>
    <x v="0"/>
    <n v="29915"/>
  </r>
  <r>
    <x v="198"/>
    <x v="7"/>
    <x v="3"/>
    <x v="2"/>
    <s v="CUS-4199"/>
    <x v="0"/>
    <n v="50"/>
    <x v="2"/>
    <x v="33"/>
    <n v="401000"/>
    <n v="36"/>
    <n v="16.399999999999999"/>
    <n v="14177"/>
    <n v="2"/>
    <n v="2"/>
    <n v="28354"/>
    <n v="383487"/>
    <x v="0"/>
    <x v="0"/>
    <x v="0"/>
    <n v="10841"/>
  </r>
  <r>
    <x v="199"/>
    <x v="2"/>
    <x v="2"/>
    <x v="0"/>
    <s v="CUS-4200"/>
    <x v="2"/>
    <n v="58"/>
    <x v="0"/>
    <x v="94"/>
    <n v="1158000"/>
    <n v="48"/>
    <n v="10"/>
    <n v="29370"/>
    <n v="5"/>
    <n v="4"/>
    <n v="117480"/>
    <n v="1078129"/>
    <x v="33"/>
    <x v="1"/>
    <x v="0"/>
    <n v="3760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A2C1C4D-F86D-41AB-A1CA-5EF995234B2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Region">
  <location ref="A14:D19" firstHeaderRow="0" firstDataRow="1" firstDataCol="1"/>
  <pivotFields count="26">
    <pivotField showAll="0"/>
    <pivotField showAll="0"/>
    <pivotField axis="axisRow"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dataField="1" numFmtId="3" showAll="0"/>
    <pivotField showAll="0"/>
    <pivotField numFmtId="165" showAll="0"/>
    <pivotField numFmtId="3" showAll="0"/>
    <pivotField showAll="0"/>
    <pivotField showAll="0"/>
    <pivotField numFmtId="3" showAll="0"/>
    <pivotField dataField="1" numFmtId="3" showAll="0"/>
    <pivotField showAll="0"/>
    <pivotField showAll="0"/>
    <pivotField showAll="0"/>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ataField="1" dragToRow="0" dragToCol="0" dragToPage="0" showAll="0" defaultSubtotal="0"/>
    <pivotField dragToRow="0" dragToCol="0" dragToPage="0" showAll="0" defaultSubtotal="0"/>
    <pivotField dragToRow="0" dragToCol="0" dragToPage="0" showAll="0" defaultSubtotal="0"/>
  </pivotFields>
  <rowFields count="1">
    <field x="2"/>
  </rowFields>
  <rowItems count="5">
    <i>
      <x/>
    </i>
    <i>
      <x v="1"/>
    </i>
    <i>
      <x v="2"/>
    </i>
    <i>
      <x v="3"/>
    </i>
    <i t="grand">
      <x/>
    </i>
  </rowItems>
  <colFields count="1">
    <field x="-2"/>
  </colFields>
  <colItems count="3">
    <i>
      <x/>
    </i>
    <i i="1">
      <x v="1"/>
    </i>
    <i i="2">
      <x v="2"/>
    </i>
  </colItems>
  <dataFields count="3">
    <dataField name="Sum of OutstandingPrincipal" fld="16" showDataAs="percentOfTotal" baseField="0" baseItem="0" numFmtId="10"/>
    <dataField name="Sum of LoanAmount" fld="9" showDataAs="percentOfCol" baseField="0" baseItem="0" numFmtId="10"/>
    <dataField name="Sum of %Outstanding" fld="23" baseField="0" baseItem="0" numFmtId="3"/>
  </dataFields>
  <formats count="23">
    <format dxfId="23">
      <pivotArea collapsedLevelsAreSubtotals="1" fieldPosition="0">
        <references count="2">
          <reference field="4294967294" count="1" selected="0">
            <x v="0"/>
          </reference>
          <reference field="2" count="1">
            <x v="0"/>
          </reference>
        </references>
      </pivotArea>
    </format>
    <format dxfId="22">
      <pivotArea outline="0" fieldPosition="0">
        <references count="1">
          <reference field="4294967294" count="1">
            <x v="0"/>
          </reference>
        </references>
      </pivotArea>
    </format>
    <format dxfId="21">
      <pivotArea outline="0" fieldPosition="0">
        <references count="1">
          <reference field="4294967294" count="1">
            <x v="1"/>
          </reference>
        </references>
      </pivotArea>
    </format>
    <format dxfId="20">
      <pivotArea collapsedLevelsAreSubtotals="1" fieldPosition="0">
        <references count="2">
          <reference field="4294967294" count="1" selected="0">
            <x v="2"/>
          </reference>
          <reference field="2" count="0"/>
        </references>
      </pivotArea>
    </format>
    <format dxfId="19">
      <pivotArea field="2" grandRow="1" outline="0" collapsedLevelsAreSubtotals="1" axis="axisRow" fieldPosition="0">
        <references count="1">
          <reference field="4294967294" count="1" selected="0">
            <x v="2"/>
          </reference>
        </references>
      </pivotArea>
    </format>
    <format dxfId="18">
      <pivotArea outline="0" collapsedLevelsAreSubtotals="1" fieldPosition="0">
        <references count="1">
          <reference field="4294967294" count="2" selected="0">
            <x v="0"/>
            <x v="1"/>
          </reference>
        </references>
      </pivotArea>
    </format>
    <format dxfId="17">
      <pivotArea dataOnly="0" labelOnly="1" outline="0" fieldPosition="0">
        <references count="1">
          <reference field="4294967294" count="2">
            <x v="0"/>
            <x v="1"/>
          </reference>
        </references>
      </pivotArea>
    </format>
    <format dxfId="16">
      <pivotArea outline="0" collapsedLevelsAreSubtotals="1" fieldPosition="0">
        <references count="1">
          <reference field="4294967294" count="1" selected="0">
            <x v="2"/>
          </reference>
        </references>
      </pivotArea>
    </format>
    <format dxfId="15">
      <pivotArea dataOnly="0" labelOnly="1" outline="0" fieldPosition="0">
        <references count="1">
          <reference field="4294967294" count="1">
            <x v="2"/>
          </reference>
        </references>
      </pivotArea>
    </format>
    <format dxfId="14">
      <pivotArea field="2" type="button" dataOnly="0" labelOnly="1" outline="0" axis="axisRow" fieldPosition="0"/>
    </format>
    <format dxfId="13">
      <pivotArea dataOnly="0" labelOnly="1" fieldPosition="0">
        <references count="1">
          <reference field="2" count="0"/>
        </references>
      </pivotArea>
    </format>
    <format dxfId="12">
      <pivotArea dataOnly="0" labelOnly="1" grandRow="1" outline="0" fieldPosition="0"/>
    </format>
    <format dxfId="11">
      <pivotArea field="2" type="button" dataOnly="0" labelOnly="1" outline="0" axis="axisRow" fieldPosition="0"/>
    </format>
    <format dxfId="10">
      <pivotArea dataOnly="0" labelOnly="1" fieldPosition="0">
        <references count="1">
          <reference field="2" count="0"/>
        </references>
      </pivotArea>
    </format>
    <format dxfId="9">
      <pivotArea dataOnly="0" labelOnly="1" grandRow="1" outline="0" fieldPosition="0"/>
    </format>
    <format dxfId="8">
      <pivotArea outline="0" collapsedLevelsAreSubtotals="1" fieldPosition="0">
        <references count="1">
          <reference field="4294967294" count="1" selected="0">
            <x v="0"/>
          </reference>
        </references>
      </pivotArea>
    </format>
    <format dxfId="7">
      <pivotArea dataOnly="0" labelOnly="1" outline="0" fieldPosition="0">
        <references count="1">
          <reference field="4294967294" count="1">
            <x v="0"/>
          </reference>
        </references>
      </pivotArea>
    </format>
    <format dxfId="6">
      <pivotArea outline="0" collapsedLevelsAreSubtotals="1" fieldPosition="0">
        <references count="1">
          <reference field="4294967294" count="1" selected="0">
            <x v="0"/>
          </reference>
        </references>
      </pivotArea>
    </format>
    <format dxfId="5">
      <pivotArea dataOnly="0" labelOnly="1" outline="0" fieldPosition="0">
        <references count="1">
          <reference field="4294967294" count="1">
            <x v="0"/>
          </reference>
        </references>
      </pivotArea>
    </format>
    <format dxfId="4">
      <pivotArea outline="0" collapsedLevelsAreSubtotals="1" fieldPosition="0">
        <references count="1">
          <reference field="4294967294" count="1" selected="0">
            <x v="1"/>
          </reference>
        </references>
      </pivotArea>
    </format>
    <format dxfId="3">
      <pivotArea dataOnly="0" labelOnly="1" outline="0" fieldPosition="0">
        <references count="1">
          <reference field="4294967294" count="1">
            <x v="1"/>
          </reference>
        </references>
      </pivotArea>
    </format>
    <format dxfId="2">
      <pivotArea outline="0" collapsedLevelsAreSubtotals="1" fieldPosition="0">
        <references count="1">
          <reference field="4294967294" count="1" selected="0">
            <x v="1"/>
          </reference>
        </references>
      </pivotArea>
    </format>
    <format dxfId="1">
      <pivotArea dataOnly="0" labelOnly="1"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92E8F3C-2DE6-49CC-A11E-478F69FFB54C}" name="PivotTable2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rowHeaderCaption="Disbursed Month">
  <location ref="A223:B232" firstHeaderRow="1" firstDataRow="1" firstDataCol="1"/>
  <pivotFields count="26">
    <pivotField showAll="0"/>
    <pivotField axis="axisRow" showAll="0">
      <items count="9">
        <item x="0"/>
        <item x="7"/>
        <item x="5"/>
        <item x="1"/>
        <item x="4"/>
        <item x="6"/>
        <item x="3"/>
        <item x="2"/>
        <item t="default"/>
      </items>
    </pivotField>
    <pivotField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dataField="1" numFmtId="3" showAll="0"/>
    <pivotField showAll="0">
      <items count="4">
        <item x="0"/>
        <item x="1"/>
        <item x="2"/>
        <item t="default"/>
      </items>
    </pivotField>
    <pivotField showAll="0">
      <items count="4">
        <item x="0"/>
        <item x="2"/>
        <item x="1"/>
        <item t="default"/>
      </items>
    </pivotField>
    <pivotField showAll="0">
      <items count="3">
        <item x="0"/>
        <item x="1"/>
        <item t="default"/>
      </items>
    </pivotField>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Fields count="1">
    <field x="1"/>
  </rowFields>
  <rowItems count="9">
    <i>
      <x/>
    </i>
    <i>
      <x v="1"/>
    </i>
    <i>
      <x v="2"/>
    </i>
    <i>
      <x v="3"/>
    </i>
    <i>
      <x v="4"/>
    </i>
    <i>
      <x v="5"/>
    </i>
    <i>
      <x v="6"/>
    </i>
    <i>
      <x v="7"/>
    </i>
    <i t="grand">
      <x/>
    </i>
  </rowItems>
  <colItems count="1">
    <i/>
  </colItems>
  <dataFields count="1">
    <dataField name="Sum of OutstandingPrincipal" fld="16" baseField="0" baseItem="0" numFmtId="3"/>
  </dataFields>
  <formats count="5">
    <format dxfId="28">
      <pivotArea type="all" dataOnly="0" outline="0" fieldPosition="0"/>
    </format>
    <format dxfId="27">
      <pivotArea outline="0" collapsedLevelsAreSubtotals="1" fieldPosition="0"/>
    </format>
    <format dxfId="26">
      <pivotArea field="22" type="button" dataOnly="0" labelOnly="1" outline="0"/>
    </format>
    <format dxfId="25">
      <pivotArea dataOnly="0" labelOnly="1" grandRow="1" outline="0" fieldPosition="0"/>
    </format>
    <format dxfId="24">
      <pivotArea collapsedLevelsAreSubtotals="1" fieldPosition="0">
        <references count="1">
          <reference field="1" count="0"/>
        </references>
      </pivotArea>
    </format>
  </formats>
  <chartFormats count="3">
    <chartFormat chart="12" format="2" series="1">
      <pivotArea type="data" outline="0" fieldPosition="0">
        <references count="1">
          <reference field="4294967294" count="1" selected="0">
            <x v="0"/>
          </reference>
        </references>
      </pivotArea>
    </chartFormat>
    <chartFormat chart="20" format="2" series="1">
      <pivotArea type="data" outline="0" fieldPosition="0">
        <references count="1">
          <reference field="4294967294" count="1" selected="0">
            <x v="0"/>
          </reference>
        </references>
      </pivotArea>
    </chartFormat>
    <chartFormat chart="20" format="3">
      <pivotArea type="data" outline="0" fieldPosition="0">
        <references count="2">
          <reference field="4294967294" count="1" selected="0">
            <x v="0"/>
          </reference>
          <reference field="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9340546-78EE-41D9-9246-ABF71B96CAFF}"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Branch Name">
  <location ref="A58:E68" firstHeaderRow="1" firstDataRow="2" firstDataCol="1"/>
  <pivotFields count="26">
    <pivotField dataField="1" showAll="0"/>
    <pivotField axis="axisRow" showAll="0">
      <items count="9">
        <item x="2"/>
        <item x="3"/>
        <item x="6"/>
        <item x="4"/>
        <item x="1"/>
        <item x="5"/>
        <item x="7"/>
        <item x="0"/>
        <item t="default"/>
      </items>
    </pivotField>
    <pivotField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axis="axisCol" showAll="0">
      <items count="4">
        <item x="0"/>
        <item x="2"/>
        <item x="1"/>
        <item t="default"/>
      </items>
    </pivotField>
    <pivotField showAll="0"/>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Fields count="1">
    <field x="1"/>
  </rowFields>
  <rowItems count="9">
    <i>
      <x/>
    </i>
    <i>
      <x v="1"/>
    </i>
    <i>
      <x v="2"/>
    </i>
    <i>
      <x v="3"/>
    </i>
    <i>
      <x v="4"/>
    </i>
    <i>
      <x v="5"/>
    </i>
    <i>
      <x v="6"/>
    </i>
    <i>
      <x v="7"/>
    </i>
    <i t="grand">
      <x/>
    </i>
  </rowItems>
  <colFields count="1">
    <field x="18"/>
  </colFields>
  <colItems count="4">
    <i>
      <x/>
    </i>
    <i>
      <x v="1"/>
    </i>
    <i>
      <x v="2"/>
    </i>
    <i t="grand">
      <x/>
    </i>
  </colItems>
  <dataFields count="1">
    <dataField name="Count of LoanID" fld="0" subtotal="count" showDataAs="percentOfRow" baseField="0" baseItem="0" numFmtId="10"/>
  </dataFields>
  <formats count="28">
    <format dxfId="56">
      <pivotArea field="2" type="button" dataOnly="0" labelOnly="1" outline="0"/>
    </format>
    <format dxfId="55">
      <pivotArea outline="0" fieldPosition="0">
        <references count="1">
          <reference field="4294967294" count="1">
            <x v="0"/>
          </reference>
        </references>
      </pivotArea>
    </format>
    <format dxfId="54">
      <pivotArea outline="0" collapsedLevelsAreSubtotals="1" fieldPosition="0"/>
    </format>
    <format dxfId="53">
      <pivotArea dataOnly="0" labelOnly="1" fieldPosition="0">
        <references count="1">
          <reference field="18" count="0"/>
        </references>
      </pivotArea>
    </format>
    <format dxfId="52">
      <pivotArea dataOnly="0" labelOnly="1" grandCol="1" outline="0" fieldPosition="0"/>
    </format>
    <format dxfId="51">
      <pivotArea outline="0" collapsedLevelsAreSubtotals="1" fieldPosition="0"/>
    </format>
    <format dxfId="50">
      <pivotArea dataOnly="0" labelOnly="1" fieldPosition="0">
        <references count="1">
          <reference field="18" count="0"/>
        </references>
      </pivotArea>
    </format>
    <format dxfId="49">
      <pivotArea dataOnly="0" labelOnly="1" grandCol="1" outline="0" fieldPosition="0"/>
    </format>
    <format dxfId="48">
      <pivotArea type="origin" dataOnly="0" labelOnly="1" outline="0" fieldPosition="0"/>
    </format>
    <format dxfId="47">
      <pivotArea field="1" type="button" dataOnly="0" labelOnly="1" outline="0" axis="axisRow" fieldPosition="0"/>
    </format>
    <format dxfId="46">
      <pivotArea dataOnly="0" labelOnly="1" fieldPosition="0">
        <references count="1">
          <reference field="1" count="0"/>
        </references>
      </pivotArea>
    </format>
    <format dxfId="45">
      <pivotArea dataOnly="0" labelOnly="1" grandRow="1" outline="0" fieldPosition="0"/>
    </format>
    <format dxfId="44">
      <pivotArea type="origin" dataOnly="0" labelOnly="1" outline="0" fieldPosition="0"/>
    </format>
    <format dxfId="43">
      <pivotArea field="1" type="button" dataOnly="0" labelOnly="1" outline="0" axis="axisRow" fieldPosition="0"/>
    </format>
    <format dxfId="42">
      <pivotArea dataOnly="0" labelOnly="1" fieldPosition="0">
        <references count="1">
          <reference field="1" count="0"/>
        </references>
      </pivotArea>
    </format>
    <format dxfId="41">
      <pivotArea dataOnly="0" labelOnly="1" grandRow="1" outline="0" fieldPosition="0"/>
    </format>
    <format dxfId="40">
      <pivotArea outline="0" collapsedLevelsAreSubtotals="1" fieldPosition="0">
        <references count="1">
          <reference field="18" count="1" selected="0">
            <x v="0"/>
          </reference>
        </references>
      </pivotArea>
    </format>
    <format dxfId="39">
      <pivotArea field="18" type="button" dataOnly="0" labelOnly="1" outline="0" axis="axisCol" fieldPosition="0"/>
    </format>
    <format dxfId="38">
      <pivotArea dataOnly="0" labelOnly="1" fieldPosition="0">
        <references count="1">
          <reference field="18" count="1">
            <x v="0"/>
          </reference>
        </references>
      </pivotArea>
    </format>
    <format dxfId="37">
      <pivotArea outline="0" collapsedLevelsAreSubtotals="1" fieldPosition="0">
        <references count="1">
          <reference field="18" count="1" selected="0">
            <x v="0"/>
          </reference>
        </references>
      </pivotArea>
    </format>
    <format dxfId="36">
      <pivotArea field="18" type="button" dataOnly="0" labelOnly="1" outline="0" axis="axisCol" fieldPosition="0"/>
    </format>
    <format dxfId="35">
      <pivotArea dataOnly="0" labelOnly="1" fieldPosition="0">
        <references count="1">
          <reference field="18" count="1">
            <x v="0"/>
          </reference>
        </references>
      </pivotArea>
    </format>
    <format dxfId="34">
      <pivotArea outline="0" collapsedLevelsAreSubtotals="1" fieldPosition="0">
        <references count="1">
          <reference field="18" count="1" selected="0">
            <x v="1"/>
          </reference>
        </references>
      </pivotArea>
    </format>
    <format dxfId="33">
      <pivotArea type="topRight" dataOnly="0" labelOnly="1" outline="0" fieldPosition="0"/>
    </format>
    <format dxfId="32">
      <pivotArea dataOnly="0" labelOnly="1" fieldPosition="0">
        <references count="1">
          <reference field="18" count="1">
            <x v="1"/>
          </reference>
        </references>
      </pivotArea>
    </format>
    <format dxfId="31">
      <pivotArea outline="0" collapsedLevelsAreSubtotals="1" fieldPosition="0">
        <references count="1">
          <reference field="18" count="1" selected="0">
            <x v="1"/>
          </reference>
        </references>
      </pivotArea>
    </format>
    <format dxfId="30">
      <pivotArea type="topRight" dataOnly="0" labelOnly="1" outline="0" fieldPosition="0"/>
    </format>
    <format dxfId="29">
      <pivotArea dataOnly="0" labelOnly="1" fieldPosition="0">
        <references count="1">
          <reference field="18"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3C3B908-2740-41F4-8FC5-6C7A47B556F1}"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Disbursed Month">
  <location ref="A191:E193" firstHeaderRow="1" firstDataRow="2" firstDataCol="1"/>
  <pivotFields count="26">
    <pivotField dataField="1" showAll="0"/>
    <pivotField showAll="0"/>
    <pivotField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axis="axisCol" showAll="0">
      <items count="4">
        <item x="0"/>
        <item x="2"/>
        <item x="1"/>
        <item t="default"/>
      </items>
    </pivotField>
    <pivotField showAll="0"/>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Items count="1">
    <i/>
  </rowItems>
  <colFields count="1">
    <field x="18"/>
  </colFields>
  <colItems count="4">
    <i>
      <x/>
    </i>
    <i>
      <x v="1"/>
    </i>
    <i>
      <x v="2"/>
    </i>
    <i t="grand">
      <x/>
    </i>
  </colItems>
  <dataFields count="1">
    <dataField name="Count of LoanID" fld="0" subtotal="count" showDataAs="percentOfRow" baseField="0" baseItem="0" numFmtId="10"/>
  </dataFields>
  <formats count="7">
    <format dxfId="63">
      <pivotArea type="all" dataOnly="0" outline="0" fieldPosition="0"/>
    </format>
    <format dxfId="62">
      <pivotArea outline="0" collapsedLevelsAreSubtotals="1" fieldPosition="0"/>
    </format>
    <format dxfId="61">
      <pivotArea field="22" type="button" dataOnly="0" labelOnly="1" outline="0"/>
    </format>
    <format dxfId="60">
      <pivotArea dataOnly="0" labelOnly="1" grandRow="1" outline="0" fieldPosition="0"/>
    </format>
    <format dxfId="59">
      <pivotArea field="22" type="button" dataOnly="0" labelOnly="1" outline="0"/>
    </format>
    <format dxfId="58">
      <pivotArea dataOnly="0" labelOnly="1" grandRow="1" outline="0" fieldPosition="0"/>
    </format>
    <format dxfId="57">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E41A9F5-9B0B-4D85-944D-73B7BD06F911}"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rowHeaderCaption="Branch Name">
  <location ref="A23:E33" firstHeaderRow="1" firstDataRow="2" firstDataCol="1"/>
  <pivotFields count="26">
    <pivotField dataField="1" showAll="0"/>
    <pivotField axis="axisRow" showAll="0">
      <items count="9">
        <item x="0"/>
        <item x="7"/>
        <item x="5"/>
        <item x="1"/>
        <item x="4"/>
        <item x="6"/>
        <item x="3"/>
        <item x="2"/>
        <item t="default"/>
      </items>
    </pivotField>
    <pivotField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axis="axisCol" showAll="0">
      <items count="4">
        <item x="0"/>
        <item x="2"/>
        <item x="1"/>
        <item t="default"/>
      </items>
    </pivotField>
    <pivotField showAll="0"/>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Fields count="1">
    <field x="1"/>
  </rowFields>
  <rowItems count="9">
    <i>
      <x/>
    </i>
    <i>
      <x v="1"/>
    </i>
    <i>
      <x v="2"/>
    </i>
    <i>
      <x v="3"/>
    </i>
    <i>
      <x v="4"/>
    </i>
    <i>
      <x v="5"/>
    </i>
    <i>
      <x v="6"/>
    </i>
    <i>
      <x v="7"/>
    </i>
    <i t="grand">
      <x/>
    </i>
  </rowItems>
  <colFields count="1">
    <field x="18"/>
  </colFields>
  <colItems count="4">
    <i>
      <x/>
    </i>
    <i>
      <x v="1"/>
    </i>
    <i>
      <x v="2"/>
    </i>
    <i t="grand">
      <x/>
    </i>
  </colItems>
  <dataFields count="1">
    <dataField name="Count of LoanID" fld="0" subtotal="count" showDataAs="percentOfRow" baseField="0" baseItem="0" numFmtId="10"/>
  </dataFields>
  <formats count="28">
    <format dxfId="91">
      <pivotArea field="2" type="button" dataOnly="0" labelOnly="1" outline="0"/>
    </format>
    <format dxfId="90">
      <pivotArea outline="0" fieldPosition="0">
        <references count="1">
          <reference field="4294967294" count="1">
            <x v="0"/>
          </reference>
        </references>
      </pivotArea>
    </format>
    <format dxfId="89">
      <pivotArea outline="0" collapsedLevelsAreSubtotals="1" fieldPosition="0"/>
    </format>
    <format dxfId="88">
      <pivotArea dataOnly="0" labelOnly="1" fieldPosition="0">
        <references count="1">
          <reference field="18" count="0"/>
        </references>
      </pivotArea>
    </format>
    <format dxfId="87">
      <pivotArea dataOnly="0" labelOnly="1" grandCol="1" outline="0" fieldPosition="0"/>
    </format>
    <format dxfId="86">
      <pivotArea outline="0" collapsedLevelsAreSubtotals="1" fieldPosition="0"/>
    </format>
    <format dxfId="85">
      <pivotArea dataOnly="0" labelOnly="1" fieldPosition="0">
        <references count="1">
          <reference field="18" count="0"/>
        </references>
      </pivotArea>
    </format>
    <format dxfId="84">
      <pivotArea dataOnly="0" labelOnly="1" grandCol="1" outline="0" fieldPosition="0"/>
    </format>
    <format dxfId="83">
      <pivotArea type="origin" dataOnly="0" labelOnly="1" outline="0" fieldPosition="0"/>
    </format>
    <format dxfId="82">
      <pivotArea field="1" type="button" dataOnly="0" labelOnly="1" outline="0" axis="axisRow" fieldPosition="0"/>
    </format>
    <format dxfId="81">
      <pivotArea dataOnly="0" labelOnly="1" fieldPosition="0">
        <references count="1">
          <reference field="1" count="0"/>
        </references>
      </pivotArea>
    </format>
    <format dxfId="80">
      <pivotArea dataOnly="0" labelOnly="1" grandRow="1" outline="0" fieldPosition="0"/>
    </format>
    <format dxfId="79">
      <pivotArea type="origin" dataOnly="0" labelOnly="1" outline="0" fieldPosition="0"/>
    </format>
    <format dxfId="78">
      <pivotArea field="1" type="button" dataOnly="0" labelOnly="1" outline="0" axis="axisRow" fieldPosition="0"/>
    </format>
    <format dxfId="77">
      <pivotArea dataOnly="0" labelOnly="1" fieldPosition="0">
        <references count="1">
          <reference field="1" count="0"/>
        </references>
      </pivotArea>
    </format>
    <format dxfId="76">
      <pivotArea dataOnly="0" labelOnly="1" grandRow="1" outline="0" fieldPosition="0"/>
    </format>
    <format dxfId="75">
      <pivotArea outline="0" collapsedLevelsAreSubtotals="1" fieldPosition="0">
        <references count="1">
          <reference field="18" count="1" selected="0">
            <x v="0"/>
          </reference>
        </references>
      </pivotArea>
    </format>
    <format dxfId="74">
      <pivotArea field="18" type="button" dataOnly="0" labelOnly="1" outline="0" axis="axisCol" fieldPosition="0"/>
    </format>
    <format dxfId="73">
      <pivotArea dataOnly="0" labelOnly="1" fieldPosition="0">
        <references count="1">
          <reference field="18" count="1">
            <x v="0"/>
          </reference>
        </references>
      </pivotArea>
    </format>
    <format dxfId="72">
      <pivotArea outline="0" collapsedLevelsAreSubtotals="1" fieldPosition="0">
        <references count="1">
          <reference field="18" count="1" selected="0">
            <x v="0"/>
          </reference>
        </references>
      </pivotArea>
    </format>
    <format dxfId="71">
      <pivotArea field="18" type="button" dataOnly="0" labelOnly="1" outline="0" axis="axisCol" fieldPosition="0"/>
    </format>
    <format dxfId="70">
      <pivotArea dataOnly="0" labelOnly="1" fieldPosition="0">
        <references count="1">
          <reference field="18" count="1">
            <x v="0"/>
          </reference>
        </references>
      </pivotArea>
    </format>
    <format dxfId="69">
      <pivotArea outline="0" collapsedLevelsAreSubtotals="1" fieldPosition="0">
        <references count="1">
          <reference field="18" count="1" selected="0">
            <x v="1"/>
          </reference>
        </references>
      </pivotArea>
    </format>
    <format dxfId="68">
      <pivotArea type="topRight" dataOnly="0" labelOnly="1" outline="0" fieldPosition="0"/>
    </format>
    <format dxfId="67">
      <pivotArea dataOnly="0" labelOnly="1" fieldPosition="0">
        <references count="1">
          <reference field="18" count="1">
            <x v="1"/>
          </reference>
        </references>
      </pivotArea>
    </format>
    <format dxfId="66">
      <pivotArea outline="0" collapsedLevelsAreSubtotals="1" fieldPosition="0">
        <references count="1">
          <reference field="18" count="1" selected="0">
            <x v="1"/>
          </reference>
        </references>
      </pivotArea>
    </format>
    <format dxfId="65">
      <pivotArea type="topRight" dataOnly="0" labelOnly="1" outline="0" fieldPosition="0"/>
    </format>
    <format dxfId="64">
      <pivotArea dataOnly="0" labelOnly="1" fieldPosition="0">
        <references count="1">
          <reference field="18" count="1">
            <x v="1"/>
          </reference>
        </references>
      </pivotArea>
    </format>
  </formats>
  <chartFormats count="6">
    <chartFormat chart="1" format="0" series="1">
      <pivotArea type="data" outline="0" fieldPosition="0">
        <references count="2">
          <reference field="4294967294" count="1" selected="0">
            <x v="0"/>
          </reference>
          <reference field="18" count="1" selected="0">
            <x v="0"/>
          </reference>
        </references>
      </pivotArea>
    </chartFormat>
    <chartFormat chart="1" format="1" series="1">
      <pivotArea type="data" outline="0" fieldPosition="0">
        <references count="2">
          <reference field="4294967294" count="1" selected="0">
            <x v="0"/>
          </reference>
          <reference field="18" count="1" selected="0">
            <x v="1"/>
          </reference>
        </references>
      </pivotArea>
    </chartFormat>
    <chartFormat chart="1" format="2" series="1">
      <pivotArea type="data" outline="0" fieldPosition="0">
        <references count="2">
          <reference field="4294967294" count="1" selected="0">
            <x v="0"/>
          </reference>
          <reference field="18" count="1" selected="0">
            <x v="2"/>
          </reference>
        </references>
      </pivotArea>
    </chartFormat>
    <chartFormat chart="8" format="0" series="1">
      <pivotArea type="data" outline="0" fieldPosition="0">
        <references count="2">
          <reference field="4294967294" count="1" selected="0">
            <x v="0"/>
          </reference>
          <reference field="18" count="1" selected="0">
            <x v="0"/>
          </reference>
        </references>
      </pivotArea>
    </chartFormat>
    <chartFormat chart="8" format="1" series="1">
      <pivotArea type="data" outline="0" fieldPosition="0">
        <references count="2">
          <reference field="4294967294" count="1" selected="0">
            <x v="0"/>
          </reference>
          <reference field="18" count="1" selected="0">
            <x v="1"/>
          </reference>
        </references>
      </pivotArea>
    </chartFormat>
    <chartFormat chart="8" format="2" series="1">
      <pivotArea type="data" outline="0" fieldPosition="0">
        <references count="2">
          <reference field="4294967294" count="1" selected="0">
            <x v="0"/>
          </reference>
          <reference field="1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45C9BE5-1C6D-48BA-89B2-EFF1B90029DF}" name="PivotTable1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Disbursed Month">
  <location ref="A200:E210" firstHeaderRow="1" firstDataRow="2" firstDataCol="1"/>
  <pivotFields count="26">
    <pivotField dataField="1" showAll="0"/>
    <pivotField axis="axisRow" showAll="0">
      <items count="9">
        <item x="0"/>
        <item x="7"/>
        <item x="5"/>
        <item x="1"/>
        <item x="4"/>
        <item x="6"/>
        <item x="3"/>
        <item x="2"/>
        <item t="default"/>
      </items>
    </pivotField>
    <pivotField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axis="axisCol" showAll="0">
      <items count="4">
        <item x="0"/>
        <item x="2"/>
        <item x="1"/>
        <item t="default"/>
      </items>
    </pivotField>
    <pivotField showAll="0">
      <items count="3">
        <item x="0"/>
        <item x="1"/>
        <item t="default"/>
      </items>
    </pivotField>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Fields count="1">
    <field x="1"/>
  </rowFields>
  <rowItems count="9">
    <i>
      <x/>
    </i>
    <i>
      <x v="1"/>
    </i>
    <i>
      <x v="2"/>
    </i>
    <i>
      <x v="3"/>
    </i>
    <i>
      <x v="4"/>
    </i>
    <i>
      <x v="5"/>
    </i>
    <i>
      <x v="6"/>
    </i>
    <i>
      <x v="7"/>
    </i>
    <i t="grand">
      <x/>
    </i>
  </rowItems>
  <colFields count="1">
    <field x="18"/>
  </colFields>
  <colItems count="4">
    <i>
      <x/>
    </i>
    <i>
      <x v="1"/>
    </i>
    <i>
      <x v="2"/>
    </i>
    <i t="grand">
      <x/>
    </i>
  </colItems>
  <dataFields count="1">
    <dataField name="Count of LoanID" fld="0" subtotal="count" showDataAs="percentOfRow" baseField="0" baseItem="0" numFmtId="10"/>
  </dataFields>
  <formats count="5">
    <format dxfId="96">
      <pivotArea type="all" dataOnly="0" outline="0" fieldPosition="0"/>
    </format>
    <format dxfId="95">
      <pivotArea outline="0" collapsedLevelsAreSubtotals="1" fieldPosition="0"/>
    </format>
    <format dxfId="94">
      <pivotArea field="22" type="button" dataOnly="0" labelOnly="1" outline="0"/>
    </format>
    <format dxfId="93">
      <pivotArea dataOnly="0" labelOnly="1" grandRow="1" outline="0" fieldPosition="0"/>
    </format>
    <format dxfId="92">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EAC10D1-85FE-4C24-9D68-FFCF93BAAF62}" name="PivotTable5"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7" rowHeaderCaption="Region">
  <location ref="A37:E43" firstHeaderRow="1" firstDataRow="2" firstDataCol="1"/>
  <pivotFields count="26">
    <pivotField showAll="0"/>
    <pivotField showAll="0">
      <items count="9">
        <item x="0"/>
        <item x="7"/>
        <item x="5"/>
        <item x="1"/>
        <item x="4"/>
        <item x="6"/>
        <item x="3"/>
        <item x="2"/>
        <item t="default"/>
      </items>
    </pivotField>
    <pivotField axis="axisRow"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dataField="1" numFmtId="3" showAll="0"/>
    <pivotField showAll="0"/>
    <pivotField axis="axisCol" showAll="0" defaultSubtotal="0">
      <items count="3">
        <item x="0"/>
        <item x="2"/>
        <item x="1"/>
      </items>
    </pivotField>
    <pivotField showAll="0"/>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Fields count="1">
    <field x="2"/>
  </rowFields>
  <rowItems count="5">
    <i>
      <x/>
    </i>
    <i>
      <x v="1"/>
    </i>
    <i>
      <x v="2"/>
    </i>
    <i>
      <x v="3"/>
    </i>
    <i t="grand">
      <x/>
    </i>
  </rowItems>
  <colFields count="1">
    <field x="18"/>
  </colFields>
  <colItems count="4">
    <i>
      <x/>
    </i>
    <i>
      <x v="1"/>
    </i>
    <i>
      <x v="2"/>
    </i>
    <i t="grand">
      <x/>
    </i>
  </colItems>
  <dataFields count="1">
    <dataField name="Sum of OutstandingPrincipal" fld="16" showDataAs="percentOfRow" baseField="0" baseItem="0" numFmtId="10"/>
  </dataFields>
  <formats count="33">
    <format dxfId="129">
      <pivotArea outline="0" collapsedLevelsAreSubtotals="1" fieldPosition="0"/>
    </format>
    <format dxfId="128">
      <pivotArea field="1" type="button" dataOnly="0" labelOnly="1" outline="0"/>
    </format>
    <format dxfId="127">
      <pivotArea dataOnly="0" labelOnly="1" grandCol="1" outline="0" fieldPosition="0"/>
    </format>
    <format dxfId="126">
      <pivotArea outline="0" collapsedLevelsAreSubtotals="1" fieldPosition="0"/>
    </format>
    <format dxfId="125">
      <pivotArea field="1" type="button" dataOnly="0" labelOnly="1" outline="0"/>
    </format>
    <format dxfId="124">
      <pivotArea outline="0" fieldPosition="0">
        <references count="1">
          <reference field="4294967294" count="1">
            <x v="0"/>
          </reference>
        </references>
      </pivotArea>
    </format>
    <format dxfId="123">
      <pivotArea dataOnly="0" fieldPosition="0">
        <references count="1">
          <reference field="2" count="1">
            <x v="2"/>
          </reference>
        </references>
      </pivotArea>
    </format>
    <format dxfId="122">
      <pivotArea dataOnly="0" fieldPosition="0">
        <references count="1">
          <reference field="2" count="1">
            <x v="2"/>
          </reference>
        </references>
      </pivotArea>
    </format>
    <format dxfId="121">
      <pivotArea dataOnly="0" fieldPosition="0">
        <references count="1">
          <reference field="2" count="1">
            <x v="2"/>
          </reference>
        </references>
      </pivotArea>
    </format>
    <format dxfId="120">
      <pivotArea type="origin" dataOnly="0" labelOnly="1" outline="0" fieldPosition="0"/>
    </format>
    <format dxfId="119">
      <pivotArea field="2" type="button" dataOnly="0" labelOnly="1" outline="0" axis="axisRow" fieldPosition="0"/>
    </format>
    <format dxfId="118">
      <pivotArea dataOnly="0" labelOnly="1" fieldPosition="0">
        <references count="1">
          <reference field="2" count="0"/>
        </references>
      </pivotArea>
    </format>
    <format dxfId="117">
      <pivotArea dataOnly="0" labelOnly="1" grandRow="1" outline="0" fieldPosition="0"/>
    </format>
    <format dxfId="116">
      <pivotArea type="origin" dataOnly="0" labelOnly="1" outline="0" fieldPosition="0"/>
    </format>
    <format dxfId="115">
      <pivotArea field="2" type="button" dataOnly="0" labelOnly="1" outline="0" axis="axisRow" fieldPosition="0"/>
    </format>
    <format dxfId="114">
      <pivotArea dataOnly="0" labelOnly="1" fieldPosition="0">
        <references count="1">
          <reference field="2" count="0"/>
        </references>
      </pivotArea>
    </format>
    <format dxfId="113">
      <pivotArea dataOnly="0" labelOnly="1" grandRow="1" outline="0" fieldPosition="0"/>
    </format>
    <format dxfId="112">
      <pivotArea outline="0" collapsedLevelsAreSubtotals="1" fieldPosition="0">
        <references count="1">
          <reference field="18" count="1" selected="0">
            <x v="0"/>
          </reference>
        </references>
      </pivotArea>
    </format>
    <format dxfId="111">
      <pivotArea field="18" type="button" dataOnly="0" labelOnly="1" outline="0" axis="axisCol" fieldPosition="0"/>
    </format>
    <format dxfId="110">
      <pivotArea dataOnly="0" labelOnly="1" fieldPosition="0">
        <references count="1">
          <reference field="18" count="1">
            <x v="0"/>
          </reference>
        </references>
      </pivotArea>
    </format>
    <format dxfId="109">
      <pivotArea outline="0" collapsedLevelsAreSubtotals="1" fieldPosition="0">
        <references count="1">
          <reference field="18" count="1" selected="0">
            <x v="0"/>
          </reference>
        </references>
      </pivotArea>
    </format>
    <format dxfId="108">
      <pivotArea field="18" type="button" dataOnly="0" labelOnly="1" outline="0" axis="axisCol" fieldPosition="0"/>
    </format>
    <format dxfId="107">
      <pivotArea dataOnly="0" labelOnly="1" fieldPosition="0">
        <references count="1">
          <reference field="18" count="1">
            <x v="0"/>
          </reference>
        </references>
      </pivotArea>
    </format>
    <format dxfId="106">
      <pivotArea outline="0" collapsedLevelsAreSubtotals="1" fieldPosition="0">
        <references count="1">
          <reference field="18" count="1" selected="0">
            <x v="1"/>
          </reference>
        </references>
      </pivotArea>
    </format>
    <format dxfId="105">
      <pivotArea type="topRight" dataOnly="0" labelOnly="1" outline="0" fieldPosition="0"/>
    </format>
    <format dxfId="104">
      <pivotArea dataOnly="0" labelOnly="1" fieldPosition="0">
        <references count="1">
          <reference field="18" count="1">
            <x v="1"/>
          </reference>
        </references>
      </pivotArea>
    </format>
    <format dxfId="103">
      <pivotArea outline="0" collapsedLevelsAreSubtotals="1" fieldPosition="0">
        <references count="1">
          <reference field="18" count="1" selected="0">
            <x v="1"/>
          </reference>
        </references>
      </pivotArea>
    </format>
    <format dxfId="102">
      <pivotArea type="topRight" dataOnly="0" labelOnly="1" outline="0" fieldPosition="0"/>
    </format>
    <format dxfId="101">
      <pivotArea dataOnly="0" labelOnly="1" fieldPosition="0">
        <references count="1">
          <reference field="18" count="1">
            <x v="1"/>
          </reference>
        </references>
      </pivotArea>
    </format>
    <format dxfId="100">
      <pivotArea outline="0" collapsedLevelsAreSubtotals="1" fieldPosition="0">
        <references count="1">
          <reference field="18" count="1" selected="0">
            <x v="2"/>
          </reference>
        </references>
      </pivotArea>
    </format>
    <format dxfId="99">
      <pivotArea outline="0" collapsedLevelsAreSubtotals="1" fieldPosition="0">
        <references count="1">
          <reference field="18" count="1" selected="0">
            <x v="2"/>
          </reference>
        </references>
      </pivotArea>
    </format>
    <format dxfId="98">
      <pivotArea grandCol="1" outline="0" collapsedLevelsAreSubtotals="1" fieldPosition="0"/>
    </format>
    <format dxfId="97">
      <pivotArea grandCol="1" outline="0" collapsedLevelsAreSubtotals="1" fieldPosition="0"/>
    </format>
  </formats>
  <chartFormats count="5">
    <chartFormat chart="1" format="0" series="1">
      <pivotArea type="data" outline="0" fieldPosition="0">
        <references count="2">
          <reference field="4294967294" count="1" selected="0">
            <x v="0"/>
          </reference>
          <reference field="18" count="1" selected="0">
            <x v="0"/>
          </reference>
        </references>
      </pivotArea>
    </chartFormat>
    <chartFormat chart="1" format="1" series="1">
      <pivotArea type="data" outline="0" fieldPosition="0">
        <references count="2">
          <reference field="4294967294" count="1" selected="0">
            <x v="0"/>
          </reference>
          <reference field="18" count="1" selected="0">
            <x v="1"/>
          </reference>
        </references>
      </pivotArea>
    </chartFormat>
    <chartFormat chart="1" format="2" series="1">
      <pivotArea type="data" outline="0" fieldPosition="0">
        <references count="2">
          <reference field="4294967294" count="1" selected="0">
            <x v="0"/>
          </reference>
          <reference field="18" count="1" selected="0">
            <x v="2"/>
          </reference>
        </references>
      </pivotArea>
    </chartFormat>
    <chartFormat chart="6" format="3" series="1">
      <pivotArea type="data" outline="0" fieldPosition="0">
        <references count="2">
          <reference field="4294967294" count="1" selected="0">
            <x v="0"/>
          </reference>
          <reference field="18" count="1" selected="0">
            <x v="2"/>
          </reference>
        </references>
      </pivotArea>
    </chartFormat>
    <chartFormat chart="6" format="4" series="1">
      <pivotArea type="data" outline="0" fieldPosition="0">
        <references count="2">
          <reference field="4294967294" count="1" selected="0">
            <x v="0"/>
          </reference>
          <reference field="1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12D2159-64D5-4B67-9EE6-0ECAB0073D19}"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Disbursed Month">
  <location ref="A187:A188" firstHeaderRow="1" firstDataRow="1" firstDataCol="0"/>
  <pivotFields count="26">
    <pivotField dataField="1" showAll="0"/>
    <pivotField showAll="0"/>
    <pivotField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showAll="0"/>
    <pivotField showAll="0"/>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dataFields count="1">
    <dataField name="Count of LoanID" fld="0" subtotal="count" baseField="0" baseItem="0"/>
  </dataFields>
  <formats count="6">
    <format dxfId="135">
      <pivotArea type="all" dataOnly="0" outline="0" fieldPosition="0"/>
    </format>
    <format dxfId="134">
      <pivotArea outline="0" collapsedLevelsAreSubtotals="1" fieldPosition="0"/>
    </format>
    <format dxfId="133">
      <pivotArea field="22" type="button" dataOnly="0" labelOnly="1" outline="0"/>
    </format>
    <format dxfId="132">
      <pivotArea dataOnly="0" labelOnly="1" grandRow="1" outline="0" fieldPosition="0"/>
    </format>
    <format dxfId="131">
      <pivotArea field="22" type="button" dataOnly="0" labelOnly="1" outline="0"/>
    </format>
    <format dxfId="130">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733544C-FAD5-4FFF-8101-36CF21D10A64}"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Loan product">
  <location ref="A116:D122" firstHeaderRow="0" firstDataRow="1" firstDataCol="1"/>
  <pivotFields count="26">
    <pivotField showAll="0"/>
    <pivotField showAll="0" sortType="descending">
      <items count="9">
        <item x="2"/>
        <item x="3"/>
        <item x="6"/>
        <item x="4"/>
        <item x="1"/>
        <item x="5"/>
        <item x="7"/>
        <item x="0"/>
        <item t="default"/>
      </items>
      <autoSortScope>
        <pivotArea dataOnly="0" outline="0" fieldPosition="0">
          <references count="1">
            <reference field="4294967294" count="1" selected="0">
              <x v="1"/>
            </reference>
          </references>
        </pivotArea>
      </autoSortScope>
    </pivotField>
    <pivotField showAll="0">
      <items count="5">
        <item x="3"/>
        <item x="1"/>
        <item x="0"/>
        <item x="2"/>
        <item t="default"/>
      </items>
    </pivotField>
    <pivotField axis="axisRow"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dataField="1" numFmtId="3" showAll="0"/>
    <pivotField showAll="0"/>
    <pivotField numFmtId="165" showAll="0"/>
    <pivotField numFmtId="3" showAll="0"/>
    <pivotField showAll="0"/>
    <pivotField showAll="0"/>
    <pivotField numFmtId="3" showAll="0"/>
    <pivotField numFmtId="3" showAll="0"/>
    <pivotField showAll="0"/>
    <pivotField showAll="0"/>
    <pivotField showAll="0"/>
    <pivotField dataField="1"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ataField="1" dragToRow="0" dragToCol="0" dragToPage="0" showAll="0" defaultSubtotal="0"/>
  </pivotFields>
  <rowFields count="1">
    <field x="3"/>
  </rowFields>
  <rowItems count="6">
    <i>
      <x/>
    </i>
    <i>
      <x v="1"/>
    </i>
    <i>
      <x v="2"/>
    </i>
    <i>
      <x v="3"/>
    </i>
    <i>
      <x v="4"/>
    </i>
    <i t="grand">
      <x/>
    </i>
  </rowItems>
  <colFields count="1">
    <field x="-2"/>
  </colFields>
  <colItems count="3">
    <i>
      <x/>
    </i>
    <i i="1">
      <x v="1"/>
    </i>
    <i i="2">
      <x v="2"/>
    </i>
  </colItems>
  <dataFields count="3">
    <dataField name="Sum of LoanAmount" fld="9" baseField="0" baseItem="0" numFmtId="3"/>
    <dataField name="Sum of InterestIncomeEarned" fld="20" baseField="0" baseItem="0" numFmtId="2"/>
    <dataField name="Sum of %Loan Amount" fld="25" baseField="0" baseItem="0" numFmtId="166"/>
  </dataFields>
  <formats count="25">
    <format dxfId="160">
      <pivotArea field="2" type="button" dataOnly="0" labelOnly="1" outline="0"/>
    </format>
    <format dxfId="159">
      <pivotArea outline="0" collapsedLevelsAreSubtotals="1" fieldPosition="0"/>
    </format>
    <format dxfId="158">
      <pivotArea field="1" type="button" dataOnly="0" labelOnly="1" outline="0"/>
    </format>
    <format dxfId="157">
      <pivotArea dataOnly="0" labelOnly="1" grandCol="1" outline="0" fieldPosition="0"/>
    </format>
    <format dxfId="156">
      <pivotArea outline="0" collapsedLevelsAreSubtotals="1" fieldPosition="0"/>
    </format>
    <format dxfId="155">
      <pivotArea field="1" type="button" dataOnly="0" labelOnly="1" outline="0"/>
    </format>
    <format dxfId="154">
      <pivotArea dataOnly="0" labelOnly="1" grandCol="1" outline="0" fieldPosition="0"/>
    </format>
    <format dxfId="153">
      <pivotArea grandCol="1" outline="0" collapsedLevelsAreSubtotals="1" fieldPosition="0"/>
    </format>
    <format dxfId="152">
      <pivotArea outline="0" collapsedLevelsAreSubtotals="1" fieldPosition="0"/>
    </format>
    <format dxfId="151">
      <pivotArea outline="0" collapsedLevelsAreSubtotals="1" fieldPosition="0">
        <references count="1">
          <reference field="4294967294" count="1" selected="0">
            <x v="2"/>
          </reference>
        </references>
      </pivotArea>
    </format>
    <format dxfId="150">
      <pivotArea dataOnly="0" fieldPosition="0">
        <references count="1">
          <reference field="3" count="1">
            <x v="3"/>
          </reference>
        </references>
      </pivotArea>
    </format>
    <format dxfId="149">
      <pivotArea field="3" type="button" dataOnly="0" labelOnly="1" outline="0" axis="axisRow" fieldPosition="0"/>
    </format>
    <format dxfId="148">
      <pivotArea dataOnly="0" labelOnly="1" fieldPosition="0">
        <references count="1">
          <reference field="3" count="0"/>
        </references>
      </pivotArea>
    </format>
    <format dxfId="147">
      <pivotArea dataOnly="0" labelOnly="1" grandRow="1" outline="0" fieldPosition="0"/>
    </format>
    <format dxfId="146">
      <pivotArea field="3" type="button" dataOnly="0" labelOnly="1" outline="0" axis="axisRow" fieldPosition="0"/>
    </format>
    <format dxfId="145">
      <pivotArea dataOnly="0" labelOnly="1" fieldPosition="0">
        <references count="1">
          <reference field="3" count="0"/>
        </references>
      </pivotArea>
    </format>
    <format dxfId="144">
      <pivotArea dataOnly="0" labelOnly="1" grandRow="1" outline="0" fieldPosition="0"/>
    </format>
    <format dxfId="143">
      <pivotArea outline="0" collapsedLevelsAreSubtotals="1" fieldPosition="0">
        <references count="1">
          <reference field="4294967294" count="1" selected="0">
            <x v="0"/>
          </reference>
        </references>
      </pivotArea>
    </format>
    <format dxfId="142">
      <pivotArea dataOnly="0" labelOnly="1" outline="0" fieldPosition="0">
        <references count="1">
          <reference field="4294967294" count="1">
            <x v="0"/>
          </reference>
        </references>
      </pivotArea>
    </format>
    <format dxfId="141">
      <pivotArea outline="0" collapsedLevelsAreSubtotals="1" fieldPosition="0">
        <references count="1">
          <reference field="4294967294" count="1" selected="0">
            <x v="0"/>
          </reference>
        </references>
      </pivotArea>
    </format>
    <format dxfId="140">
      <pivotArea dataOnly="0" labelOnly="1" outline="0" fieldPosition="0">
        <references count="1">
          <reference field="4294967294" count="1">
            <x v="0"/>
          </reference>
        </references>
      </pivotArea>
    </format>
    <format dxfId="139">
      <pivotArea outline="0" collapsedLevelsAreSubtotals="1" fieldPosition="0">
        <references count="1">
          <reference field="4294967294" count="1" selected="0">
            <x v="1"/>
          </reference>
        </references>
      </pivotArea>
    </format>
    <format dxfId="138">
      <pivotArea dataOnly="0" labelOnly="1" outline="0" fieldPosition="0">
        <references count="1">
          <reference field="4294967294" count="1">
            <x v="1"/>
          </reference>
        </references>
      </pivotArea>
    </format>
    <format dxfId="137">
      <pivotArea outline="0" collapsedLevelsAreSubtotals="1" fieldPosition="0">
        <references count="1">
          <reference field="4294967294" count="1" selected="0">
            <x v="1"/>
          </reference>
        </references>
      </pivotArea>
    </format>
    <format dxfId="136">
      <pivotArea dataOnly="0" labelOnly="1"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FACB46D-8730-4A95-BF5E-26631538EF13}"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Branch Name">
  <location ref="A145:C155" firstHeaderRow="1" firstDataRow="2" firstDataCol="1"/>
  <pivotFields count="26">
    <pivotField dataField="1" showAll="0"/>
    <pivotField axis="axisRow" showAll="0" sortType="descending">
      <items count="9">
        <item x="2"/>
        <item x="3"/>
        <item x="4"/>
        <item x="1"/>
        <item x="5"/>
        <item x="6"/>
        <item x="7"/>
        <item x="0"/>
        <item t="default"/>
      </items>
      <autoSortScope>
        <pivotArea dataOnly="0" outline="0" fieldPosition="0">
          <references count="2">
            <reference field="4294967294" count="1" selected="0">
              <x v="0"/>
            </reference>
            <reference field="18" count="1" selected="0">
              <x v="2"/>
            </reference>
          </references>
        </pivotArea>
      </autoSortScope>
    </pivotField>
    <pivotField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axis="axisCol" showAll="0">
      <items count="4">
        <item h="1" x="0"/>
        <item h="1" x="2"/>
        <item x="1"/>
        <item t="default"/>
      </items>
    </pivotField>
    <pivotField showAll="0"/>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Fields count="1">
    <field x="1"/>
  </rowFields>
  <rowItems count="9">
    <i>
      <x v="6"/>
    </i>
    <i>
      <x v="4"/>
    </i>
    <i>
      <x v="7"/>
    </i>
    <i>
      <x v="1"/>
    </i>
    <i>
      <x v="5"/>
    </i>
    <i>
      <x v="2"/>
    </i>
    <i>
      <x/>
    </i>
    <i>
      <x v="3"/>
    </i>
    <i t="grand">
      <x/>
    </i>
  </rowItems>
  <colFields count="1">
    <field x="18"/>
  </colFields>
  <colItems count="2">
    <i>
      <x v="2"/>
    </i>
    <i t="grand">
      <x/>
    </i>
  </colItems>
  <dataFields count="1">
    <dataField name="Count of LoanID" fld="0" subtotal="count" baseField="0" baseItem="0"/>
  </dataFields>
  <formats count="27">
    <format dxfId="187">
      <pivotArea field="2" type="button" dataOnly="0" labelOnly="1" outline="0"/>
    </format>
    <format dxfId="186">
      <pivotArea outline="0" collapsedLevelsAreSubtotals="1" fieldPosition="0"/>
    </format>
    <format dxfId="185">
      <pivotArea outline="0" collapsedLevelsAreSubtotals="1" fieldPosition="0"/>
    </format>
    <format dxfId="184">
      <pivotArea grandCol="1" outline="0" collapsedLevelsAreSubtotals="1" fieldPosition="0"/>
    </format>
    <format dxfId="183">
      <pivotArea outline="0" collapsedLevelsAreSubtotals="1" fieldPosition="0"/>
    </format>
    <format dxfId="182">
      <pivotArea collapsedLevelsAreSubtotals="1" fieldPosition="0">
        <references count="1">
          <reference field="1" count="1">
            <x v="6"/>
          </reference>
        </references>
      </pivotArea>
    </format>
    <format dxfId="181">
      <pivotArea dataOnly="0" labelOnly="1" fieldPosition="0">
        <references count="1">
          <reference field="1" count="1">
            <x v="6"/>
          </reference>
        </references>
      </pivotArea>
    </format>
    <format dxfId="180">
      <pivotArea type="origin" dataOnly="0" labelOnly="1" outline="0" fieldPosition="0"/>
    </format>
    <format dxfId="179">
      <pivotArea field="1" type="button" dataOnly="0" labelOnly="1" outline="0" axis="axisRow" fieldPosition="0"/>
    </format>
    <format dxfId="178">
      <pivotArea dataOnly="0" labelOnly="1" fieldPosition="0">
        <references count="1">
          <reference field="1" count="0"/>
        </references>
      </pivotArea>
    </format>
    <format dxfId="177">
      <pivotArea dataOnly="0" labelOnly="1" grandRow="1" outline="0" fieldPosition="0"/>
    </format>
    <format dxfId="176">
      <pivotArea type="origin" dataOnly="0" labelOnly="1" outline="0" fieldPosition="0"/>
    </format>
    <format dxfId="175">
      <pivotArea field="1" type="button" dataOnly="0" labelOnly="1" outline="0" axis="axisRow" fieldPosition="0"/>
    </format>
    <format dxfId="174">
      <pivotArea dataOnly="0" labelOnly="1" fieldPosition="0">
        <references count="1">
          <reference field="1" count="0"/>
        </references>
      </pivotArea>
    </format>
    <format dxfId="173">
      <pivotArea dataOnly="0" labelOnly="1" grandRow="1" outline="0" fieldPosition="0"/>
    </format>
    <format dxfId="172">
      <pivotArea outline="0" collapsedLevelsAreSubtotals="1" fieldPosition="0">
        <references count="1">
          <reference field="18" count="0" selected="0"/>
        </references>
      </pivotArea>
    </format>
    <format dxfId="171">
      <pivotArea field="18" type="button" dataOnly="0" labelOnly="1" outline="0" axis="axisCol" fieldPosition="0"/>
    </format>
    <format dxfId="170">
      <pivotArea dataOnly="0" labelOnly="1" fieldPosition="0">
        <references count="1">
          <reference field="18" count="0"/>
        </references>
      </pivotArea>
    </format>
    <format dxfId="169">
      <pivotArea outline="0" collapsedLevelsAreSubtotals="1" fieldPosition="0">
        <references count="1">
          <reference field="18" count="0" selected="0"/>
        </references>
      </pivotArea>
    </format>
    <format dxfId="168">
      <pivotArea field="18" type="button" dataOnly="0" labelOnly="1" outline="0" axis="axisCol" fieldPosition="0"/>
    </format>
    <format dxfId="167">
      <pivotArea dataOnly="0" labelOnly="1" fieldPosition="0">
        <references count="1">
          <reference field="18" count="0"/>
        </references>
      </pivotArea>
    </format>
    <format dxfId="166">
      <pivotArea grandCol="1" outline="0" collapsedLevelsAreSubtotals="1" fieldPosition="0"/>
    </format>
    <format dxfId="165">
      <pivotArea type="topRight" dataOnly="0" labelOnly="1" outline="0" fieldPosition="0"/>
    </format>
    <format dxfId="164">
      <pivotArea dataOnly="0" labelOnly="1" grandCol="1" outline="0" fieldPosition="0"/>
    </format>
    <format dxfId="163">
      <pivotArea grandCol="1" outline="0" collapsedLevelsAreSubtotals="1" fieldPosition="0"/>
    </format>
    <format dxfId="162">
      <pivotArea type="topRight" dataOnly="0" labelOnly="1" outline="0" fieldPosition="0"/>
    </format>
    <format dxfId="161">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5961C92-6C4E-4CDC-88EF-63C3D5392A6B}" name="PivotTable1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Disbursed Month">
  <location ref="A197:A198" firstHeaderRow="1" firstDataRow="1" firstDataCol="0"/>
  <pivotFields count="26">
    <pivotField showAll="0"/>
    <pivotField showAll="0"/>
    <pivotField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dataField="1" numFmtId="3" showAll="0"/>
    <pivotField showAll="0"/>
    <pivotField numFmtId="165" showAll="0"/>
    <pivotField numFmtId="3" showAll="0"/>
    <pivotField showAll="0"/>
    <pivotField showAll="0"/>
    <pivotField numFmtId="3" showAll="0"/>
    <pivotField numFmtId="3" showAll="0"/>
    <pivotField showAll="0"/>
    <pivotField showAll="0"/>
    <pivotField showAll="0"/>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dataFields count="1">
    <dataField name="Sum of LoanAmount" fld="9" baseField="0" baseItem="0" numFmtId="3"/>
  </dataFields>
  <formats count="6">
    <format dxfId="193">
      <pivotArea type="all" dataOnly="0" outline="0" fieldPosition="0"/>
    </format>
    <format dxfId="192">
      <pivotArea outline="0" collapsedLevelsAreSubtotals="1" fieldPosition="0"/>
    </format>
    <format dxfId="191">
      <pivotArea field="22" type="button" dataOnly="0" labelOnly="1" outline="0"/>
    </format>
    <format dxfId="190">
      <pivotArea dataOnly="0" labelOnly="1" grandRow="1" outline="0" fieldPosition="0"/>
    </format>
    <format dxfId="189">
      <pivotArea field="22" type="button" dataOnly="0" labelOnly="1" outline="0"/>
    </format>
    <format dxfId="188">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C915293-68A7-41BC-B1EB-3EFD19FB9066}"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Branch Name">
  <location ref="A126:C135" firstHeaderRow="0" firstDataRow="1" firstDataCol="1"/>
  <pivotFields count="26">
    <pivotField showAll="0"/>
    <pivotField axis="axisRow" showAll="0">
      <items count="9">
        <item x="2"/>
        <item x="3"/>
        <item x="6"/>
        <item x="4"/>
        <item x="1"/>
        <item x="5"/>
        <item x="7"/>
        <item x="0"/>
        <item t="default"/>
      </items>
    </pivotField>
    <pivotField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dataField="1" numFmtId="3" showAll="0"/>
    <pivotField showAll="0"/>
    <pivotField numFmtId="165" showAll="0"/>
    <pivotField numFmtId="3" showAll="0"/>
    <pivotField showAll="0"/>
    <pivotField showAll="0"/>
    <pivotField numFmtId="3" showAll="0"/>
    <pivotField numFmtId="3" showAll="0"/>
    <pivotField showAll="0"/>
    <pivotField showAll="0"/>
    <pivotField showAll="0"/>
    <pivotField dataField="1"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Fields count="1">
    <field x="1"/>
  </rowFields>
  <rowItems count="9">
    <i>
      <x/>
    </i>
    <i>
      <x v="1"/>
    </i>
    <i>
      <x v="2"/>
    </i>
    <i>
      <x v="3"/>
    </i>
    <i>
      <x v="4"/>
    </i>
    <i>
      <x v="5"/>
    </i>
    <i>
      <x v="6"/>
    </i>
    <i>
      <x v="7"/>
    </i>
    <i t="grand">
      <x/>
    </i>
  </rowItems>
  <colFields count="1">
    <field x="-2"/>
  </colFields>
  <colItems count="2">
    <i>
      <x/>
    </i>
    <i i="1">
      <x v="1"/>
    </i>
  </colItems>
  <dataFields count="2">
    <dataField name="Sum of LoanAmount" fld="9" baseField="0" baseItem="0" numFmtId="3"/>
    <dataField name="Sum of InterestIncomeEarned" fld="20" baseField="0" baseItem="0" numFmtId="3"/>
  </dataFields>
  <formats count="21">
    <format dxfId="214">
      <pivotArea field="2" type="button" dataOnly="0" labelOnly="1" outline="0"/>
    </format>
    <format dxfId="213">
      <pivotArea outline="0" collapsedLevelsAreSubtotals="1" fieldPosition="0"/>
    </format>
    <format dxfId="212">
      <pivotArea dataOnly="0" labelOnly="1" grandCol="1" outline="0" fieldPosition="0"/>
    </format>
    <format dxfId="211">
      <pivotArea outline="0" collapsedLevelsAreSubtotals="1" fieldPosition="0"/>
    </format>
    <format dxfId="210">
      <pivotArea dataOnly="0" labelOnly="1" grandCol="1" outline="0" fieldPosition="0"/>
    </format>
    <format dxfId="209">
      <pivotArea grandCol="1" outline="0" collapsedLevelsAreSubtotals="1" fieldPosition="0"/>
    </format>
    <format dxfId="208">
      <pivotArea outline="0" collapsedLevelsAreSubtotals="1" fieldPosition="0"/>
    </format>
    <format dxfId="207">
      <pivotArea field="1" type="button" dataOnly="0" labelOnly="1" outline="0" axis="axisRow" fieldPosition="0"/>
    </format>
    <format dxfId="206">
      <pivotArea dataOnly="0" labelOnly="1" fieldPosition="0">
        <references count="1">
          <reference field="1" count="0"/>
        </references>
      </pivotArea>
    </format>
    <format dxfId="205">
      <pivotArea dataOnly="0" labelOnly="1" grandRow="1" outline="0" fieldPosition="0"/>
    </format>
    <format dxfId="204">
      <pivotArea field="1" type="button" dataOnly="0" labelOnly="1" outline="0" axis="axisRow" fieldPosition="0"/>
    </format>
    <format dxfId="203">
      <pivotArea dataOnly="0" labelOnly="1" fieldPosition="0">
        <references count="1">
          <reference field="1" count="0"/>
        </references>
      </pivotArea>
    </format>
    <format dxfId="202">
      <pivotArea dataOnly="0" labelOnly="1" grandRow="1" outline="0" fieldPosition="0"/>
    </format>
    <format dxfId="201">
      <pivotArea outline="0" collapsedLevelsAreSubtotals="1" fieldPosition="0">
        <references count="1">
          <reference field="4294967294" count="1" selected="0">
            <x v="0"/>
          </reference>
        </references>
      </pivotArea>
    </format>
    <format dxfId="200">
      <pivotArea dataOnly="0" labelOnly="1" outline="0" fieldPosition="0">
        <references count="1">
          <reference field="4294967294" count="1">
            <x v="0"/>
          </reference>
        </references>
      </pivotArea>
    </format>
    <format dxfId="199">
      <pivotArea outline="0" collapsedLevelsAreSubtotals="1" fieldPosition="0">
        <references count="1">
          <reference field="4294967294" count="1" selected="0">
            <x v="0"/>
          </reference>
        </references>
      </pivotArea>
    </format>
    <format dxfId="198">
      <pivotArea dataOnly="0" labelOnly="1" outline="0" fieldPosition="0">
        <references count="1">
          <reference field="4294967294" count="1">
            <x v="0"/>
          </reference>
        </references>
      </pivotArea>
    </format>
    <format dxfId="197">
      <pivotArea outline="0" collapsedLevelsAreSubtotals="1" fieldPosition="0">
        <references count="1">
          <reference field="4294967294" count="1" selected="0">
            <x v="1"/>
          </reference>
        </references>
      </pivotArea>
    </format>
    <format dxfId="196">
      <pivotArea dataOnly="0" labelOnly="1" outline="0" fieldPosition="0">
        <references count="1">
          <reference field="4294967294" count="1">
            <x v="1"/>
          </reference>
        </references>
      </pivotArea>
    </format>
    <format dxfId="195">
      <pivotArea outline="0" collapsedLevelsAreSubtotals="1" fieldPosition="0">
        <references count="1">
          <reference field="4294967294" count="1" selected="0">
            <x v="1"/>
          </reference>
        </references>
      </pivotArea>
    </format>
    <format dxfId="194">
      <pivotArea dataOnly="0" labelOnly="1" outline="0" fieldPosition="0">
        <references count="1">
          <reference field="4294967294" count="1">
            <x v="1"/>
          </reference>
        </references>
      </pivotArea>
    </format>
  </formats>
  <chartFormats count="2">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BB5F309-7A50-4327-B20C-DEA4AD27B971}" name="PivotTable3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rowHeaderCaption="Disbursed Month">
  <location ref="D223:E228" firstHeaderRow="1" firstDataRow="1" firstDataCol="1"/>
  <pivotFields count="26">
    <pivotField showAll="0"/>
    <pivotField showAll="0">
      <items count="9">
        <item x="0"/>
        <item x="7"/>
        <item x="5"/>
        <item x="1"/>
        <item x="4"/>
        <item x="6"/>
        <item x="3"/>
        <item x="2"/>
        <item t="default"/>
      </items>
    </pivotField>
    <pivotField axis="axisRow"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dataField="1" numFmtId="3" showAll="0"/>
    <pivotField showAll="0">
      <items count="4">
        <item x="0"/>
        <item x="1"/>
        <item x="2"/>
        <item t="default"/>
      </items>
    </pivotField>
    <pivotField showAll="0">
      <items count="4">
        <item x="0"/>
        <item x="2"/>
        <item x="1"/>
        <item t="default"/>
      </items>
    </pivotField>
    <pivotField showAll="0">
      <items count="3">
        <item x="0"/>
        <item x="1"/>
        <item t="default"/>
      </items>
    </pivotField>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Fields count="1">
    <field x="2"/>
  </rowFields>
  <rowItems count="5">
    <i>
      <x/>
    </i>
    <i>
      <x v="1"/>
    </i>
    <i>
      <x v="2"/>
    </i>
    <i>
      <x v="3"/>
    </i>
    <i t="grand">
      <x/>
    </i>
  </rowItems>
  <colItems count="1">
    <i/>
  </colItems>
  <dataFields count="1">
    <dataField name="Sum of OutstandingPrincipal" fld="16" baseField="0" baseItem="0" numFmtId="3"/>
  </dataFields>
  <formats count="4">
    <format dxfId="218">
      <pivotArea type="all" dataOnly="0" outline="0" fieldPosition="0"/>
    </format>
    <format dxfId="217">
      <pivotArea outline="0" collapsedLevelsAreSubtotals="1" fieldPosition="0"/>
    </format>
    <format dxfId="216">
      <pivotArea field="22" type="button" dataOnly="0" labelOnly="1" outline="0"/>
    </format>
    <format dxfId="215">
      <pivotArea dataOnly="0" labelOnly="1" grandRow="1" outline="0" fieldPosition="0"/>
    </format>
  </formats>
  <chartFormats count="7">
    <chartFormat chart="12" format="2"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 chart="19" format="3">
      <pivotArea type="data" outline="0" fieldPosition="0">
        <references count="2">
          <reference field="4294967294" count="1" selected="0">
            <x v="0"/>
          </reference>
          <reference field="2" count="1" selected="0">
            <x v="2"/>
          </reference>
        </references>
      </pivotArea>
    </chartFormat>
    <chartFormat chart="19" format="4">
      <pivotArea type="data" outline="0" fieldPosition="0">
        <references count="2">
          <reference field="4294967294" count="1" selected="0">
            <x v="0"/>
          </reference>
          <reference field="2" count="1" selected="0">
            <x v="0"/>
          </reference>
        </references>
      </pivotArea>
    </chartFormat>
    <chartFormat chart="19" format="5">
      <pivotArea type="data" outline="0" fieldPosition="0">
        <references count="2">
          <reference field="4294967294" count="1" selected="0">
            <x v="0"/>
          </reference>
          <reference field="2" count="1" selected="0">
            <x v="1"/>
          </reference>
        </references>
      </pivotArea>
    </chartFormat>
    <chartFormat chart="19" format="6">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CDFC211-A366-48A2-AE41-D5582B48F301}"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Age group">
  <location ref="A81:E87" firstHeaderRow="1" firstDataRow="2" firstDataCol="1"/>
  <pivotFields count="26">
    <pivotField dataField="1" showAll="0"/>
    <pivotField showAll="0">
      <items count="9">
        <item x="2"/>
        <item x="3"/>
        <item x="6"/>
        <item x="4"/>
        <item x="1"/>
        <item x="5"/>
        <item x="7"/>
        <item x="0"/>
        <item t="default"/>
      </items>
    </pivotField>
    <pivotField showAll="0">
      <items count="5">
        <item x="3"/>
        <item x="1"/>
        <item x="0"/>
        <item x="2"/>
        <item t="default"/>
      </items>
    </pivotField>
    <pivotField showAll="0">
      <items count="6">
        <item x="4"/>
        <item x="1"/>
        <item x="3"/>
        <item x="2"/>
        <item x="0"/>
        <item t="default"/>
      </items>
    </pivotField>
    <pivotField showAll="0"/>
    <pivotField showAll="0"/>
    <pivotField showAll="0"/>
    <pivotField axis="axisRow" showAll="0">
      <items count="5">
        <item x="3"/>
        <item x="1"/>
        <item x="2"/>
        <item x="0"/>
        <item t="default"/>
      </items>
    </pivotField>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axis="axisCol" showAll="0">
      <items count="4">
        <item x="0"/>
        <item x="2"/>
        <item x="1"/>
        <item t="default"/>
      </items>
    </pivotField>
    <pivotField showAll="0"/>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Fields count="1">
    <field x="7"/>
  </rowFields>
  <rowItems count="5">
    <i>
      <x/>
    </i>
    <i>
      <x v="1"/>
    </i>
    <i>
      <x v="2"/>
    </i>
    <i>
      <x v="3"/>
    </i>
    <i t="grand">
      <x/>
    </i>
  </rowItems>
  <colFields count="1">
    <field x="18"/>
  </colFields>
  <colItems count="4">
    <i>
      <x/>
    </i>
    <i>
      <x v="1"/>
    </i>
    <i>
      <x v="2"/>
    </i>
    <i t="grand">
      <x/>
    </i>
  </colItems>
  <dataFields count="1">
    <dataField name="Count of LoanID" fld="0" subtotal="count" showDataAs="percentOfRow" baseField="0" baseItem="0" numFmtId="10"/>
  </dataFields>
  <formats count="29">
    <format dxfId="247">
      <pivotArea field="2" type="button" dataOnly="0" labelOnly="1" outline="0"/>
    </format>
    <format dxfId="246">
      <pivotArea outline="0" collapsedLevelsAreSubtotals="1" fieldPosition="0"/>
    </format>
    <format dxfId="245">
      <pivotArea field="1" type="button" dataOnly="0" labelOnly="1" outline="0"/>
    </format>
    <format dxfId="244">
      <pivotArea dataOnly="0" labelOnly="1" grandCol="1" outline="0" fieldPosition="0"/>
    </format>
    <format dxfId="243">
      <pivotArea outline="0" collapsedLevelsAreSubtotals="1" fieldPosition="0"/>
    </format>
    <format dxfId="242">
      <pivotArea field="1" type="button" dataOnly="0" labelOnly="1" outline="0"/>
    </format>
    <format dxfId="241">
      <pivotArea dataOnly="0" labelOnly="1" grandCol="1" outline="0" fieldPosition="0"/>
    </format>
    <format dxfId="240">
      <pivotArea grandCol="1" outline="0" collapsedLevelsAreSubtotals="1" fieldPosition="0"/>
    </format>
    <format dxfId="239">
      <pivotArea outline="0" fieldPosition="0">
        <references count="1">
          <reference field="4294967294" count="1">
            <x v="0"/>
          </reference>
        </references>
      </pivotArea>
    </format>
    <format dxfId="238">
      <pivotArea type="origin" dataOnly="0" labelOnly="1" outline="0" fieldPosition="0"/>
    </format>
    <format dxfId="237">
      <pivotArea field="7" type="button" dataOnly="0" labelOnly="1" outline="0" axis="axisRow" fieldPosition="0"/>
    </format>
    <format dxfId="236">
      <pivotArea dataOnly="0" labelOnly="1" fieldPosition="0">
        <references count="1">
          <reference field="7" count="0"/>
        </references>
      </pivotArea>
    </format>
    <format dxfId="235">
      <pivotArea dataOnly="0" labelOnly="1" grandRow="1" outline="0" fieldPosition="0"/>
    </format>
    <format dxfId="234">
      <pivotArea type="origin" dataOnly="0" labelOnly="1" outline="0" fieldPosition="0"/>
    </format>
    <format dxfId="233">
      <pivotArea field="7" type="button" dataOnly="0" labelOnly="1" outline="0" axis="axisRow" fieldPosition="0"/>
    </format>
    <format dxfId="232">
      <pivotArea dataOnly="0" labelOnly="1" fieldPosition="0">
        <references count="1">
          <reference field="7" count="0"/>
        </references>
      </pivotArea>
    </format>
    <format dxfId="231">
      <pivotArea dataOnly="0" labelOnly="1" grandRow="1" outline="0" fieldPosition="0"/>
    </format>
    <format dxfId="230">
      <pivotArea outline="0" collapsedLevelsAreSubtotals="1" fieldPosition="0">
        <references count="1">
          <reference field="18" count="1" selected="0">
            <x v="0"/>
          </reference>
        </references>
      </pivotArea>
    </format>
    <format dxfId="229">
      <pivotArea field="18" type="button" dataOnly="0" labelOnly="1" outline="0" axis="axisCol" fieldPosition="0"/>
    </format>
    <format dxfId="228">
      <pivotArea dataOnly="0" labelOnly="1" fieldPosition="0">
        <references count="1">
          <reference field="18" count="1">
            <x v="0"/>
          </reference>
        </references>
      </pivotArea>
    </format>
    <format dxfId="227">
      <pivotArea outline="0" collapsedLevelsAreSubtotals="1" fieldPosition="0">
        <references count="1">
          <reference field="18" count="1" selected="0">
            <x v="0"/>
          </reference>
        </references>
      </pivotArea>
    </format>
    <format dxfId="226">
      <pivotArea field="18" type="button" dataOnly="0" labelOnly="1" outline="0" axis="axisCol" fieldPosition="0"/>
    </format>
    <format dxfId="225">
      <pivotArea dataOnly="0" labelOnly="1" fieldPosition="0">
        <references count="1">
          <reference field="18" count="1">
            <x v="0"/>
          </reference>
        </references>
      </pivotArea>
    </format>
    <format dxfId="224">
      <pivotArea outline="0" collapsedLevelsAreSubtotals="1" fieldPosition="0">
        <references count="1">
          <reference field="18" count="1" selected="0">
            <x v="1"/>
          </reference>
        </references>
      </pivotArea>
    </format>
    <format dxfId="223">
      <pivotArea type="topRight" dataOnly="0" labelOnly="1" outline="0" fieldPosition="0"/>
    </format>
    <format dxfId="222">
      <pivotArea dataOnly="0" labelOnly="1" fieldPosition="0">
        <references count="1">
          <reference field="18" count="1">
            <x v="1"/>
          </reference>
        </references>
      </pivotArea>
    </format>
    <format dxfId="221">
      <pivotArea outline="0" collapsedLevelsAreSubtotals="1" fieldPosition="0">
        <references count="1">
          <reference field="18" count="1" selected="0">
            <x v="1"/>
          </reference>
        </references>
      </pivotArea>
    </format>
    <format dxfId="220">
      <pivotArea type="topRight" dataOnly="0" labelOnly="1" outline="0" fieldPosition="0"/>
    </format>
    <format dxfId="219">
      <pivotArea dataOnly="0" labelOnly="1" fieldPosition="0">
        <references count="1">
          <reference field="18"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170AE2D-91D8-4CF6-AB95-5F4FB07AC986}"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Disbursed Month">
  <location ref="A183:A184" firstHeaderRow="1" firstDataRow="1" firstDataCol="0"/>
  <pivotFields count="26">
    <pivotField showAll="0"/>
    <pivotField showAll="0"/>
    <pivotField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dataField="1" numFmtId="3" showAll="0"/>
    <pivotField showAll="0"/>
    <pivotField showAll="0"/>
    <pivotField showAll="0"/>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dataFields count="1">
    <dataField name="Sum of OutstandingPrincipal" fld="16" baseField="0" baseItem="0" numFmtId="3"/>
  </dataFields>
  <formats count="6">
    <format dxfId="253">
      <pivotArea type="all" dataOnly="0" outline="0" fieldPosition="0"/>
    </format>
    <format dxfId="252">
      <pivotArea outline="0" collapsedLevelsAreSubtotals="1" fieldPosition="0"/>
    </format>
    <format dxfId="251">
      <pivotArea field="22" type="button" dataOnly="0" labelOnly="1" outline="0"/>
    </format>
    <format dxfId="250">
      <pivotArea dataOnly="0" labelOnly="1" grandRow="1" outline="0" fieldPosition="0"/>
    </format>
    <format dxfId="249">
      <pivotArea field="22" type="button" dataOnly="0" labelOnly="1" outline="0"/>
    </format>
    <format dxfId="248">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F15E32E-395F-45A8-83EC-9640F736C9AB}"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Loan Product">
  <location ref="A47:E54" firstHeaderRow="1" firstDataRow="2" firstDataCol="1"/>
  <pivotFields count="26">
    <pivotField dataField="1" showAll="0"/>
    <pivotField showAll="0">
      <items count="9">
        <item x="0"/>
        <item x="7"/>
        <item x="5"/>
        <item x="1"/>
        <item x="4"/>
        <item x="6"/>
        <item x="3"/>
        <item x="2"/>
        <item t="default"/>
      </items>
    </pivotField>
    <pivotField showAll="0">
      <items count="5">
        <item x="3"/>
        <item x="1"/>
        <item x="0"/>
        <item x="2"/>
        <item t="default"/>
      </items>
    </pivotField>
    <pivotField axis="axisRow"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axis="axisCol" showAll="0">
      <items count="4">
        <item x="0"/>
        <item x="2"/>
        <item x="1"/>
        <item t="default"/>
      </items>
    </pivotField>
    <pivotField showAll="0"/>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Fields count="1">
    <field x="3"/>
  </rowFields>
  <rowItems count="6">
    <i>
      <x/>
    </i>
    <i>
      <x v="1"/>
    </i>
    <i>
      <x v="2"/>
    </i>
    <i>
      <x v="3"/>
    </i>
    <i>
      <x v="4"/>
    </i>
    <i t="grand">
      <x/>
    </i>
  </rowItems>
  <colFields count="1">
    <field x="18"/>
  </colFields>
  <colItems count="4">
    <i>
      <x/>
    </i>
    <i>
      <x v="1"/>
    </i>
    <i>
      <x v="2"/>
    </i>
    <i t="grand">
      <x/>
    </i>
  </colItems>
  <dataFields count="1">
    <dataField name="Count of LoanID" fld="0" subtotal="count" showDataAs="percentOfRow" baseField="0" baseItem="0" numFmtId="10"/>
  </dataFields>
  <formats count="29">
    <format dxfId="282">
      <pivotArea field="2" type="button" dataOnly="0" labelOnly="1" outline="0"/>
    </format>
    <format dxfId="281">
      <pivotArea outline="0" collapsedLevelsAreSubtotals="1" fieldPosition="0"/>
    </format>
    <format dxfId="280">
      <pivotArea field="1" type="button" dataOnly="0" labelOnly="1" outline="0"/>
    </format>
    <format dxfId="279">
      <pivotArea dataOnly="0" labelOnly="1" grandCol="1" outline="0" fieldPosition="0"/>
    </format>
    <format dxfId="278">
      <pivotArea outline="0" collapsedLevelsAreSubtotals="1" fieldPosition="0"/>
    </format>
    <format dxfId="277">
      <pivotArea field="1" type="button" dataOnly="0" labelOnly="1" outline="0"/>
    </format>
    <format dxfId="276">
      <pivotArea dataOnly="0" labelOnly="1" grandCol="1" outline="0" fieldPosition="0"/>
    </format>
    <format dxfId="275">
      <pivotArea outline="0" fieldPosition="0">
        <references count="1">
          <reference field="4294967294" count="1">
            <x v="0"/>
          </reference>
        </references>
      </pivotArea>
    </format>
    <format dxfId="274">
      <pivotArea dataOnly="0" fieldPosition="0">
        <references count="1">
          <reference field="3" count="1">
            <x v="3"/>
          </reference>
        </references>
      </pivotArea>
    </format>
    <format dxfId="273">
      <pivotArea type="origin" dataOnly="0" labelOnly="1" outline="0" fieldPosition="0"/>
    </format>
    <format dxfId="272">
      <pivotArea field="3" type="button" dataOnly="0" labelOnly="1" outline="0" axis="axisRow" fieldPosition="0"/>
    </format>
    <format dxfId="271">
      <pivotArea dataOnly="0" labelOnly="1" fieldPosition="0">
        <references count="1">
          <reference field="3" count="0"/>
        </references>
      </pivotArea>
    </format>
    <format dxfId="270">
      <pivotArea dataOnly="0" labelOnly="1" grandRow="1" outline="0" fieldPosition="0"/>
    </format>
    <format dxfId="269">
      <pivotArea type="origin" dataOnly="0" labelOnly="1" outline="0" fieldPosition="0"/>
    </format>
    <format dxfId="268">
      <pivotArea field="3" type="button" dataOnly="0" labelOnly="1" outline="0" axis="axisRow" fieldPosition="0"/>
    </format>
    <format dxfId="267">
      <pivotArea dataOnly="0" labelOnly="1" fieldPosition="0">
        <references count="1">
          <reference field="3" count="0"/>
        </references>
      </pivotArea>
    </format>
    <format dxfId="266">
      <pivotArea dataOnly="0" labelOnly="1" grandRow="1" outline="0" fieldPosition="0"/>
    </format>
    <format dxfId="265">
      <pivotArea outline="0" collapsedLevelsAreSubtotals="1" fieldPosition="0">
        <references count="1">
          <reference field="18" count="1" selected="0">
            <x v="0"/>
          </reference>
        </references>
      </pivotArea>
    </format>
    <format dxfId="264">
      <pivotArea field="18" type="button" dataOnly="0" labelOnly="1" outline="0" axis="axisCol" fieldPosition="0"/>
    </format>
    <format dxfId="263">
      <pivotArea dataOnly="0" labelOnly="1" fieldPosition="0">
        <references count="1">
          <reference field="18" count="1">
            <x v="0"/>
          </reference>
        </references>
      </pivotArea>
    </format>
    <format dxfId="262">
      <pivotArea outline="0" collapsedLevelsAreSubtotals="1" fieldPosition="0">
        <references count="1">
          <reference field="18" count="1" selected="0">
            <x v="0"/>
          </reference>
        </references>
      </pivotArea>
    </format>
    <format dxfId="261">
      <pivotArea field="18" type="button" dataOnly="0" labelOnly="1" outline="0" axis="axisCol" fieldPosition="0"/>
    </format>
    <format dxfId="260">
      <pivotArea dataOnly="0" labelOnly="1" fieldPosition="0">
        <references count="1">
          <reference field="18" count="1">
            <x v="0"/>
          </reference>
        </references>
      </pivotArea>
    </format>
    <format dxfId="259">
      <pivotArea outline="0" collapsedLevelsAreSubtotals="1" fieldPosition="0">
        <references count="1">
          <reference field="18" count="1" selected="0">
            <x v="1"/>
          </reference>
        </references>
      </pivotArea>
    </format>
    <format dxfId="258">
      <pivotArea type="topRight" dataOnly="0" labelOnly="1" outline="0" fieldPosition="0"/>
    </format>
    <format dxfId="257">
      <pivotArea dataOnly="0" labelOnly="1" fieldPosition="0">
        <references count="1">
          <reference field="18" count="1">
            <x v="1"/>
          </reference>
        </references>
      </pivotArea>
    </format>
    <format dxfId="256">
      <pivotArea outline="0" collapsedLevelsAreSubtotals="1" fieldPosition="0">
        <references count="1">
          <reference field="18" count="1" selected="0">
            <x v="1"/>
          </reference>
        </references>
      </pivotArea>
    </format>
    <format dxfId="255">
      <pivotArea type="topRight" dataOnly="0" labelOnly="1" outline="0" fieldPosition="0"/>
    </format>
    <format dxfId="254">
      <pivotArea dataOnly="0" labelOnly="1" fieldPosition="0">
        <references count="1">
          <reference field="18"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498A20B-FF24-478D-966B-D08F057979B6}" name="PivotTable9"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 rowHeaderCaption="Employment Type">
  <location ref="A72:E77" firstHeaderRow="1" firstDataRow="2" firstDataCol="1"/>
  <pivotFields count="26">
    <pivotField dataField="1" showAll="0"/>
    <pivotField showAll="0">
      <items count="9">
        <item x="2"/>
        <item x="3"/>
        <item x="6"/>
        <item x="4"/>
        <item x="1"/>
        <item x="5"/>
        <item x="7"/>
        <item x="0"/>
        <item t="default"/>
      </items>
    </pivotField>
    <pivotField showAll="0">
      <items count="5">
        <item x="3"/>
        <item x="1"/>
        <item x="0"/>
        <item x="2"/>
        <item t="default"/>
      </items>
    </pivotField>
    <pivotField showAll="0">
      <items count="6">
        <item x="4"/>
        <item x="1"/>
        <item x="3"/>
        <item x="2"/>
        <item x="0"/>
        <item t="default"/>
      </items>
    </pivotField>
    <pivotField showAll="0"/>
    <pivotField axis="axisRow" showAll="0">
      <items count="4">
        <item x="2"/>
        <item x="1"/>
        <item x="0"/>
        <item t="default"/>
      </items>
    </pivotField>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axis="axisCol" showAll="0">
      <items count="4">
        <item x="0"/>
        <item x="2"/>
        <item x="1"/>
        <item t="default"/>
      </items>
    </pivotField>
    <pivotField showAll="0"/>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Fields count="1">
    <field x="5"/>
  </rowFields>
  <rowItems count="4">
    <i>
      <x/>
    </i>
    <i>
      <x v="1"/>
    </i>
    <i>
      <x v="2"/>
    </i>
    <i t="grand">
      <x/>
    </i>
  </rowItems>
  <colFields count="1">
    <field x="18"/>
  </colFields>
  <colItems count="4">
    <i>
      <x/>
    </i>
    <i>
      <x v="1"/>
    </i>
    <i>
      <x v="2"/>
    </i>
    <i t="grand">
      <x/>
    </i>
  </colItems>
  <dataFields count="1">
    <dataField name="Count of LoanID" fld="0" subtotal="count" showDataAs="percentOfRow" baseField="0" baseItem="0" numFmtId="10"/>
  </dataFields>
  <formats count="29">
    <format dxfId="311">
      <pivotArea field="2" type="button" dataOnly="0" labelOnly="1" outline="0"/>
    </format>
    <format dxfId="310">
      <pivotArea outline="0" collapsedLevelsAreSubtotals="1" fieldPosition="0"/>
    </format>
    <format dxfId="309">
      <pivotArea field="1" type="button" dataOnly="0" labelOnly="1" outline="0"/>
    </format>
    <format dxfId="308">
      <pivotArea dataOnly="0" labelOnly="1" grandCol="1" outline="0" fieldPosition="0"/>
    </format>
    <format dxfId="307">
      <pivotArea outline="0" collapsedLevelsAreSubtotals="1" fieldPosition="0"/>
    </format>
    <format dxfId="306">
      <pivotArea field="1" type="button" dataOnly="0" labelOnly="1" outline="0"/>
    </format>
    <format dxfId="305">
      <pivotArea dataOnly="0" labelOnly="1" grandCol="1" outline="0" fieldPosition="0"/>
    </format>
    <format dxfId="304">
      <pivotArea outline="0" fieldPosition="0">
        <references count="1">
          <reference field="4294967294" count="1">
            <x v="0"/>
          </reference>
        </references>
      </pivotArea>
    </format>
    <format dxfId="303">
      <pivotArea grandCol="1" outline="0" collapsedLevelsAreSubtotals="1" fieldPosition="0"/>
    </format>
    <format dxfId="302">
      <pivotArea type="origin" dataOnly="0" labelOnly="1" outline="0" fieldPosition="0"/>
    </format>
    <format dxfId="301">
      <pivotArea field="5" type="button" dataOnly="0" labelOnly="1" outline="0" axis="axisRow" fieldPosition="0"/>
    </format>
    <format dxfId="300">
      <pivotArea dataOnly="0" labelOnly="1" fieldPosition="0">
        <references count="1">
          <reference field="5" count="0"/>
        </references>
      </pivotArea>
    </format>
    <format dxfId="299">
      <pivotArea dataOnly="0" labelOnly="1" grandRow="1" outline="0" fieldPosition="0"/>
    </format>
    <format dxfId="298">
      <pivotArea type="origin" dataOnly="0" labelOnly="1" outline="0" fieldPosition="0"/>
    </format>
    <format dxfId="297">
      <pivotArea field="5" type="button" dataOnly="0" labelOnly="1" outline="0" axis="axisRow" fieldPosition="0"/>
    </format>
    <format dxfId="296">
      <pivotArea dataOnly="0" labelOnly="1" fieldPosition="0">
        <references count="1">
          <reference field="5" count="0"/>
        </references>
      </pivotArea>
    </format>
    <format dxfId="295">
      <pivotArea dataOnly="0" labelOnly="1" grandRow="1" outline="0" fieldPosition="0"/>
    </format>
    <format dxfId="294">
      <pivotArea outline="0" collapsedLevelsAreSubtotals="1" fieldPosition="0">
        <references count="1">
          <reference field="18" count="1" selected="0">
            <x v="0"/>
          </reference>
        </references>
      </pivotArea>
    </format>
    <format dxfId="293">
      <pivotArea field="18" type="button" dataOnly="0" labelOnly="1" outline="0" axis="axisCol" fieldPosition="0"/>
    </format>
    <format dxfId="292">
      <pivotArea dataOnly="0" labelOnly="1" fieldPosition="0">
        <references count="1">
          <reference field="18" count="1">
            <x v="0"/>
          </reference>
        </references>
      </pivotArea>
    </format>
    <format dxfId="291">
      <pivotArea outline="0" collapsedLevelsAreSubtotals="1" fieldPosition="0">
        <references count="1">
          <reference field="18" count="1" selected="0">
            <x v="0"/>
          </reference>
        </references>
      </pivotArea>
    </format>
    <format dxfId="290">
      <pivotArea field="18" type="button" dataOnly="0" labelOnly="1" outline="0" axis="axisCol" fieldPosition="0"/>
    </format>
    <format dxfId="289">
      <pivotArea dataOnly="0" labelOnly="1" fieldPosition="0">
        <references count="1">
          <reference field="18" count="1">
            <x v="0"/>
          </reference>
        </references>
      </pivotArea>
    </format>
    <format dxfId="288">
      <pivotArea outline="0" collapsedLevelsAreSubtotals="1" fieldPosition="0">
        <references count="1">
          <reference field="18" count="1" selected="0">
            <x v="1"/>
          </reference>
        </references>
      </pivotArea>
    </format>
    <format dxfId="287">
      <pivotArea type="topRight" dataOnly="0" labelOnly="1" outline="0" fieldPosition="0"/>
    </format>
    <format dxfId="286">
      <pivotArea dataOnly="0" labelOnly="1" fieldPosition="0">
        <references count="1">
          <reference field="18" count="1">
            <x v="1"/>
          </reference>
        </references>
      </pivotArea>
    </format>
    <format dxfId="285">
      <pivotArea outline="0" collapsedLevelsAreSubtotals="1" fieldPosition="0">
        <references count="1">
          <reference field="18" count="1" selected="0">
            <x v="1"/>
          </reference>
        </references>
      </pivotArea>
    </format>
    <format dxfId="284">
      <pivotArea type="topRight" dataOnly="0" labelOnly="1" outline="0" fieldPosition="0"/>
    </format>
    <format dxfId="283">
      <pivotArea dataOnly="0" labelOnly="1" fieldPosition="0">
        <references count="1">
          <reference field="18"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807FEA-35F0-4B7C-AF14-DDB14DD53EEA}"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Disbursed Month">
  <location ref="A3:C10" firstHeaderRow="0" firstDataRow="1" firstDataCol="1"/>
  <pivotFields count="26">
    <pivotField showAll="0"/>
    <pivotField showAll="0"/>
    <pivotField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dataField="1" numFmtId="3" showAll="0"/>
    <pivotField showAll="0"/>
    <pivotField numFmtId="165" showAll="0"/>
    <pivotField numFmtId="3" showAll="0"/>
    <pivotField showAll="0"/>
    <pivotField showAll="0"/>
    <pivotField dataField="1" numFmtId="3" showAll="0"/>
    <pivotField numFmtId="3" showAll="0"/>
    <pivotField showAll="0"/>
    <pivotField showAll="0"/>
    <pivotField showAll="0"/>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Fields count="1">
    <field x="22"/>
  </rowFields>
  <rowItems count="7">
    <i>
      <x v="1"/>
    </i>
    <i>
      <x v="2"/>
    </i>
    <i>
      <x v="3"/>
    </i>
    <i>
      <x v="4"/>
    </i>
    <i>
      <x v="5"/>
    </i>
    <i>
      <x v="6"/>
    </i>
    <i t="grand">
      <x/>
    </i>
  </rowItems>
  <colFields count="1">
    <field x="-2"/>
  </colFields>
  <colItems count="2">
    <i>
      <x/>
    </i>
    <i i="1">
      <x v="1"/>
    </i>
  </colItems>
  <dataFields count="2">
    <dataField name="Sum of LoanAmount" fld="9" baseField="0" baseItem="0" numFmtId="3"/>
    <dataField name="Sum of AmountCollectedTillDate" fld="15" baseField="0" baseItem="0" numFmtId="3"/>
  </dataFields>
  <formats count="17">
    <format dxfId="328">
      <pivotArea type="all" dataOnly="0" outline="0" fieldPosition="0"/>
    </format>
    <format dxfId="327">
      <pivotArea outline="0" collapsedLevelsAreSubtotals="1" fieldPosition="0"/>
    </format>
    <format dxfId="326">
      <pivotArea dataOnly="0" labelOnly="1" outline="0" fieldPosition="0">
        <references count="1">
          <reference field="4294967294" count="2">
            <x v="0"/>
            <x v="1"/>
          </reference>
        </references>
      </pivotArea>
    </format>
    <format dxfId="325">
      <pivotArea field="22" type="button" dataOnly="0" labelOnly="1" outline="0" axis="axisRow" fieldPosition="0"/>
    </format>
    <format dxfId="324">
      <pivotArea dataOnly="0" labelOnly="1" fieldPosition="0">
        <references count="1">
          <reference field="22" count="6">
            <x v="1"/>
            <x v="2"/>
            <x v="3"/>
            <x v="4"/>
            <x v="5"/>
            <x v="6"/>
          </reference>
        </references>
      </pivotArea>
    </format>
    <format dxfId="323">
      <pivotArea dataOnly="0" labelOnly="1" grandRow="1" outline="0" fieldPosition="0"/>
    </format>
    <format dxfId="322">
      <pivotArea field="22" type="button" dataOnly="0" labelOnly="1" outline="0" axis="axisRow" fieldPosition="0"/>
    </format>
    <format dxfId="321">
      <pivotArea dataOnly="0" labelOnly="1" fieldPosition="0">
        <references count="1">
          <reference field="22" count="6">
            <x v="1"/>
            <x v="2"/>
            <x v="3"/>
            <x v="4"/>
            <x v="5"/>
            <x v="6"/>
          </reference>
        </references>
      </pivotArea>
    </format>
    <format dxfId="320">
      <pivotArea dataOnly="0" labelOnly="1" grandRow="1" outline="0" fieldPosition="0"/>
    </format>
    <format dxfId="319">
      <pivotArea outline="0" collapsedLevelsAreSubtotals="1" fieldPosition="0">
        <references count="1">
          <reference field="4294967294" count="1" selected="0">
            <x v="0"/>
          </reference>
        </references>
      </pivotArea>
    </format>
    <format dxfId="318">
      <pivotArea dataOnly="0" labelOnly="1" outline="0" fieldPosition="0">
        <references count="1">
          <reference field="4294967294" count="1">
            <x v="0"/>
          </reference>
        </references>
      </pivotArea>
    </format>
    <format dxfId="317">
      <pivotArea outline="0" collapsedLevelsAreSubtotals="1" fieldPosition="0">
        <references count="1">
          <reference field="4294967294" count="1" selected="0">
            <x v="0"/>
          </reference>
        </references>
      </pivotArea>
    </format>
    <format dxfId="316">
      <pivotArea dataOnly="0" labelOnly="1" outline="0" fieldPosition="0">
        <references count="1">
          <reference field="4294967294" count="1">
            <x v="0"/>
          </reference>
        </references>
      </pivotArea>
    </format>
    <format dxfId="315">
      <pivotArea outline="0" collapsedLevelsAreSubtotals="1" fieldPosition="0">
        <references count="1">
          <reference field="4294967294" count="1" selected="0">
            <x v="1"/>
          </reference>
        </references>
      </pivotArea>
    </format>
    <format dxfId="314">
      <pivotArea dataOnly="0" labelOnly="1" outline="0" fieldPosition="0">
        <references count="1">
          <reference field="4294967294" count="1">
            <x v="1"/>
          </reference>
        </references>
      </pivotArea>
    </format>
    <format dxfId="313">
      <pivotArea outline="0" collapsedLevelsAreSubtotals="1" fieldPosition="0">
        <references count="1">
          <reference field="4294967294" count="1" selected="0">
            <x v="1"/>
          </reference>
        </references>
      </pivotArea>
    </format>
    <format dxfId="312">
      <pivotArea dataOnly="0" labelOnly="1" outline="0" fieldPosition="0">
        <references count="1">
          <reference field="4294967294" count="1">
            <x v="1"/>
          </reference>
        </references>
      </pivotArea>
    </format>
  </formats>
  <chartFormats count="4">
    <chartFormat chart="0" format="8" series="1">
      <pivotArea type="data" outline="0" fieldPosition="0">
        <references count="1">
          <reference field="4294967294" count="1" selected="0">
            <x v="0"/>
          </reference>
        </references>
      </pivotArea>
    </chartFormat>
    <chartFormat chart="0" format="9" series="1">
      <pivotArea type="data" outline="0" fieldPosition="0">
        <references count="1">
          <reference field="4294967294" count="1" selected="0">
            <x v="1"/>
          </reference>
        </references>
      </pivotArea>
    </chartFormat>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769F5C6-FC76-4D2D-B0A2-C96A4E008F9E}"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Employment Type">
  <location ref="A91:E99" firstHeaderRow="1" firstDataRow="2" firstDataCol="1"/>
  <pivotFields count="26">
    <pivotField dataField="1" showAll="0"/>
    <pivotField showAll="0">
      <items count="9">
        <item x="2"/>
        <item x="3"/>
        <item x="6"/>
        <item x="4"/>
        <item x="1"/>
        <item x="5"/>
        <item x="7"/>
        <item x="0"/>
        <item t="default"/>
      </items>
    </pivotField>
    <pivotField showAll="0">
      <items count="5">
        <item x="3"/>
        <item x="1"/>
        <item x="0"/>
        <item x="2"/>
        <item t="default"/>
      </items>
    </pivotField>
    <pivotField axis="axisRow" showAll="0">
      <items count="6">
        <item x="4"/>
        <item x="1"/>
        <item x="3"/>
        <item x="2"/>
        <item x="0"/>
        <item t="default"/>
      </items>
    </pivotField>
    <pivotField showAll="0"/>
    <pivotField axis="axisRow" showAll="0">
      <items count="4">
        <item x="2"/>
        <item h="1" x="1"/>
        <item h="1" x="0"/>
        <item t="default"/>
      </items>
    </pivotField>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axis="axisCol" showAll="0">
      <items count="4">
        <item x="0"/>
        <item x="2"/>
        <item x="1"/>
        <item t="default"/>
      </items>
    </pivotField>
    <pivotField showAll="0"/>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Fields count="2">
    <field x="5"/>
    <field x="3"/>
  </rowFields>
  <rowItems count="7">
    <i>
      <x/>
    </i>
    <i r="1">
      <x/>
    </i>
    <i r="1">
      <x v="1"/>
    </i>
    <i r="1">
      <x v="2"/>
    </i>
    <i r="1">
      <x v="3"/>
    </i>
    <i r="1">
      <x v="4"/>
    </i>
    <i t="grand">
      <x/>
    </i>
  </rowItems>
  <colFields count="1">
    <field x="18"/>
  </colFields>
  <colItems count="4">
    <i>
      <x/>
    </i>
    <i>
      <x v="1"/>
    </i>
    <i>
      <x v="2"/>
    </i>
    <i t="grand">
      <x/>
    </i>
  </colItems>
  <dataFields count="1">
    <dataField name="Count of LoanID" fld="0" subtotal="count" showDataAs="percentOfRow" baseField="0" baseItem="0" numFmtId="10"/>
  </dataFields>
  <formats count="32">
    <format dxfId="360">
      <pivotArea field="2" type="button" dataOnly="0" labelOnly="1" outline="0"/>
    </format>
    <format dxfId="359">
      <pivotArea outline="0" collapsedLevelsAreSubtotals="1" fieldPosition="0"/>
    </format>
    <format dxfId="358">
      <pivotArea field="1" type="button" dataOnly="0" labelOnly="1" outline="0"/>
    </format>
    <format dxfId="357">
      <pivotArea dataOnly="0" labelOnly="1" grandCol="1" outline="0" fieldPosition="0"/>
    </format>
    <format dxfId="356">
      <pivotArea outline="0" collapsedLevelsAreSubtotals="1" fieldPosition="0"/>
    </format>
    <format dxfId="355">
      <pivotArea field="1" type="button" dataOnly="0" labelOnly="1" outline="0"/>
    </format>
    <format dxfId="354">
      <pivotArea dataOnly="0" labelOnly="1" grandCol="1" outline="0" fieldPosition="0"/>
    </format>
    <format dxfId="353">
      <pivotArea grandCol="1" outline="0" collapsedLevelsAreSubtotals="1" fieldPosition="0"/>
    </format>
    <format dxfId="352">
      <pivotArea outline="0" fieldPosition="0">
        <references count="1">
          <reference field="4294967294" count="1">
            <x v="0"/>
          </reference>
        </references>
      </pivotArea>
    </format>
    <format dxfId="351">
      <pivotArea dataOnly="0" fieldPosition="0">
        <references count="1">
          <reference field="3" count="1">
            <x v="3"/>
          </reference>
        </references>
      </pivotArea>
    </format>
    <format dxfId="350">
      <pivotArea type="origin" dataOnly="0" labelOnly="1" outline="0" fieldPosition="0"/>
    </format>
    <format dxfId="349">
      <pivotArea field="5" type="button" dataOnly="0" labelOnly="1" outline="0" axis="axisRow" fieldPosition="0"/>
    </format>
    <format dxfId="348">
      <pivotArea dataOnly="0" labelOnly="1" fieldPosition="0">
        <references count="1">
          <reference field="5" count="0"/>
        </references>
      </pivotArea>
    </format>
    <format dxfId="347">
      <pivotArea dataOnly="0" labelOnly="1" grandRow="1" outline="0" fieldPosition="0"/>
    </format>
    <format dxfId="346">
      <pivotArea dataOnly="0" labelOnly="1" fieldPosition="0">
        <references count="2">
          <reference field="3" count="0"/>
          <reference field="5" count="0" selected="0"/>
        </references>
      </pivotArea>
    </format>
    <format dxfId="345">
      <pivotArea type="origin" dataOnly="0" labelOnly="1" outline="0" fieldPosition="0"/>
    </format>
    <format dxfId="344">
      <pivotArea field="5" type="button" dataOnly="0" labelOnly="1" outline="0" axis="axisRow" fieldPosition="0"/>
    </format>
    <format dxfId="343">
      <pivotArea dataOnly="0" labelOnly="1" fieldPosition="0">
        <references count="1">
          <reference field="5" count="0"/>
        </references>
      </pivotArea>
    </format>
    <format dxfId="342">
      <pivotArea dataOnly="0" labelOnly="1" grandRow="1" outline="0" fieldPosition="0"/>
    </format>
    <format dxfId="341">
      <pivotArea dataOnly="0" labelOnly="1" fieldPosition="0">
        <references count="2">
          <reference field="3" count="0"/>
          <reference field="5" count="0" selected="0"/>
        </references>
      </pivotArea>
    </format>
    <format dxfId="340">
      <pivotArea outline="0" collapsedLevelsAreSubtotals="1" fieldPosition="0">
        <references count="1">
          <reference field="18" count="1" selected="0">
            <x v="0"/>
          </reference>
        </references>
      </pivotArea>
    </format>
    <format dxfId="339">
      <pivotArea field="18" type="button" dataOnly="0" labelOnly="1" outline="0" axis="axisCol" fieldPosition="0"/>
    </format>
    <format dxfId="338">
      <pivotArea dataOnly="0" labelOnly="1" fieldPosition="0">
        <references count="1">
          <reference field="18" count="1">
            <x v="0"/>
          </reference>
        </references>
      </pivotArea>
    </format>
    <format dxfId="337">
      <pivotArea outline="0" collapsedLevelsAreSubtotals="1" fieldPosition="0">
        <references count="1">
          <reference field="18" count="1" selected="0">
            <x v="0"/>
          </reference>
        </references>
      </pivotArea>
    </format>
    <format dxfId="336">
      <pivotArea field="18" type="button" dataOnly="0" labelOnly="1" outline="0" axis="axisCol" fieldPosition="0"/>
    </format>
    <format dxfId="335">
      <pivotArea dataOnly="0" labelOnly="1" fieldPosition="0">
        <references count="1">
          <reference field="18" count="1">
            <x v="0"/>
          </reference>
        </references>
      </pivotArea>
    </format>
    <format dxfId="334">
      <pivotArea outline="0" collapsedLevelsAreSubtotals="1" fieldPosition="0">
        <references count="1">
          <reference field="18" count="1" selected="0">
            <x v="1"/>
          </reference>
        </references>
      </pivotArea>
    </format>
    <format dxfId="333">
      <pivotArea type="topRight" dataOnly="0" labelOnly="1" outline="0" fieldPosition="0"/>
    </format>
    <format dxfId="332">
      <pivotArea dataOnly="0" labelOnly="1" fieldPosition="0">
        <references count="1">
          <reference field="18" count="1">
            <x v="1"/>
          </reference>
        </references>
      </pivotArea>
    </format>
    <format dxfId="331">
      <pivotArea outline="0" collapsedLevelsAreSubtotals="1" fieldPosition="0">
        <references count="1">
          <reference field="18" count="1" selected="0">
            <x v="1"/>
          </reference>
        </references>
      </pivotArea>
    </format>
    <format dxfId="330">
      <pivotArea type="topRight" dataOnly="0" labelOnly="1" outline="0" fieldPosition="0"/>
    </format>
    <format dxfId="329">
      <pivotArea dataOnly="0" labelOnly="1" fieldPosition="0">
        <references count="1">
          <reference field="18"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93B4BD2-CAF8-4C29-AD6D-E16265CF67C3}"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Branch">
  <location ref="A103:B112" firstHeaderRow="1" firstDataRow="1" firstDataCol="1"/>
  <pivotFields count="26">
    <pivotField showAll="0"/>
    <pivotField axis="axisRow" showAll="0" sortType="descending">
      <items count="9">
        <item x="2"/>
        <item x="3"/>
        <item x="6"/>
        <item x="4"/>
        <item x="1"/>
        <item x="5"/>
        <item x="7"/>
        <item x="0"/>
        <item t="default"/>
      </items>
      <autoSortScope>
        <pivotArea dataOnly="0" outline="0" fieldPosition="0">
          <references count="1">
            <reference field="4294967294" count="1" selected="0">
              <x v="0"/>
            </reference>
          </references>
        </pivotArea>
      </autoSortScope>
    </pivotField>
    <pivotField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showAll="0"/>
    <pivotField showAll="0"/>
    <pivotField dataField="1"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Fields count="1">
    <field x="1"/>
  </rowFields>
  <rowItems count="9">
    <i>
      <x v="3"/>
    </i>
    <i>
      <x v="6"/>
    </i>
    <i>
      <x v="1"/>
    </i>
    <i>
      <x v="7"/>
    </i>
    <i>
      <x v="4"/>
    </i>
    <i>
      <x v="2"/>
    </i>
    <i>
      <x/>
    </i>
    <i>
      <x v="5"/>
    </i>
    <i t="grand">
      <x/>
    </i>
  </rowItems>
  <colItems count="1">
    <i/>
  </colItems>
  <dataFields count="1">
    <dataField name="Sum of InterestIncomeEarned" fld="20" baseField="0" baseItem="0" numFmtId="3"/>
  </dataFields>
  <formats count="15">
    <format dxfId="375">
      <pivotArea field="2" type="button" dataOnly="0" labelOnly="1" outline="0"/>
    </format>
    <format dxfId="374">
      <pivotArea dataOnly="0" labelOnly="1" grandCol="1" outline="0" fieldPosition="0"/>
    </format>
    <format dxfId="373">
      <pivotArea dataOnly="0" labelOnly="1" grandCol="1" outline="0" fieldPosition="0"/>
    </format>
    <format dxfId="372">
      <pivotArea grandCol="1" outline="0" collapsedLevelsAreSubtotals="1" fieldPosition="0"/>
    </format>
    <format dxfId="371">
      <pivotArea dataOnly="0" fieldPosition="0">
        <references count="1">
          <reference field="1" count="1">
            <x v="3"/>
          </reference>
        </references>
      </pivotArea>
    </format>
    <format dxfId="370">
      <pivotArea field="1" type="button" dataOnly="0" labelOnly="1" outline="0" axis="axisRow" fieldPosition="0"/>
    </format>
    <format dxfId="369">
      <pivotArea dataOnly="0" labelOnly="1" fieldPosition="0">
        <references count="1">
          <reference field="1" count="0"/>
        </references>
      </pivotArea>
    </format>
    <format dxfId="368">
      <pivotArea dataOnly="0" labelOnly="1" grandRow="1" outline="0" fieldPosition="0"/>
    </format>
    <format dxfId="367">
      <pivotArea field="1" type="button" dataOnly="0" labelOnly="1" outline="0" axis="axisRow" fieldPosition="0"/>
    </format>
    <format dxfId="366">
      <pivotArea dataOnly="0" labelOnly="1" fieldPosition="0">
        <references count="1">
          <reference field="1" count="0"/>
        </references>
      </pivotArea>
    </format>
    <format dxfId="365">
      <pivotArea dataOnly="0" labelOnly="1" grandRow="1" outline="0" fieldPosition="0"/>
    </format>
    <format dxfId="364">
      <pivotArea outline="0" collapsedLevelsAreSubtotals="1" fieldPosition="0"/>
    </format>
    <format dxfId="363">
      <pivotArea dataOnly="0" labelOnly="1" outline="0" axis="axisValues" fieldPosition="0"/>
    </format>
    <format dxfId="362">
      <pivotArea outline="0" collapsedLevelsAreSubtotals="1" fieldPosition="0"/>
    </format>
    <format dxfId="361">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ECEB362-F40D-47BC-9C55-F9AE080918A4}"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Loan Status">
  <location ref="A139:C141" firstHeaderRow="0" firstDataRow="1" firstDataCol="1"/>
  <pivotFields count="26">
    <pivotField dataField="1" showAll="0"/>
    <pivotField showAll="0">
      <items count="9">
        <item x="2"/>
        <item x="3"/>
        <item x="6"/>
        <item x="4"/>
        <item x="1"/>
        <item x="5"/>
        <item x="7"/>
        <item x="0"/>
        <item t="default"/>
      </items>
    </pivotField>
    <pivotField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dataField="1" numFmtId="3" showAll="0"/>
    <pivotField showAll="0"/>
    <pivotField axis="axisRow" showAll="0">
      <items count="4">
        <item h="1" x="0"/>
        <item h="1" x="2"/>
        <item x="1"/>
        <item t="default"/>
      </items>
    </pivotField>
    <pivotField showAll="0"/>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Fields count="1">
    <field x="18"/>
  </rowFields>
  <rowItems count="2">
    <i>
      <x v="2"/>
    </i>
    <i t="grand">
      <x/>
    </i>
  </rowItems>
  <colFields count="1">
    <field x="-2"/>
  </colFields>
  <colItems count="2">
    <i>
      <x/>
    </i>
    <i i="1">
      <x v="1"/>
    </i>
  </colItems>
  <dataFields count="2">
    <dataField name="Count of LoanID" fld="0" subtotal="count" baseField="0" baseItem="0"/>
    <dataField name="Sum of OutstandingPrincipal" fld="16" baseField="0" baseItem="0" numFmtId="3"/>
  </dataFields>
  <formats count="23">
    <format dxfId="398">
      <pivotArea field="2" type="button" dataOnly="0" labelOnly="1" outline="0"/>
    </format>
    <format dxfId="397">
      <pivotArea outline="0" collapsedLevelsAreSubtotals="1" fieldPosition="0"/>
    </format>
    <format dxfId="396">
      <pivotArea field="1" type="button" dataOnly="0" labelOnly="1" outline="0"/>
    </format>
    <format dxfId="395">
      <pivotArea dataOnly="0" labelOnly="1" grandCol="1" outline="0" fieldPosition="0"/>
    </format>
    <format dxfId="394">
      <pivotArea outline="0" collapsedLevelsAreSubtotals="1" fieldPosition="0"/>
    </format>
    <format dxfId="393">
      <pivotArea field="1" type="button" dataOnly="0" labelOnly="1" outline="0"/>
    </format>
    <format dxfId="392">
      <pivotArea dataOnly="0" labelOnly="1" grandCol="1" outline="0" fieldPosition="0"/>
    </format>
    <format dxfId="391">
      <pivotArea grandCol="1" outline="0" collapsedLevelsAreSubtotals="1" fieldPosition="0"/>
    </format>
    <format dxfId="390">
      <pivotArea outline="0" collapsedLevelsAreSubtotals="1" fieldPosition="0"/>
    </format>
    <format dxfId="389">
      <pivotArea field="18" type="button" dataOnly="0" labelOnly="1" outline="0" axis="axisRow" fieldPosition="0"/>
    </format>
    <format dxfId="388">
      <pivotArea dataOnly="0" labelOnly="1" fieldPosition="0">
        <references count="1">
          <reference field="18" count="0"/>
        </references>
      </pivotArea>
    </format>
    <format dxfId="387">
      <pivotArea dataOnly="0" labelOnly="1" grandRow="1" outline="0" fieldPosition="0"/>
    </format>
    <format dxfId="386">
      <pivotArea field="18" type="button" dataOnly="0" labelOnly="1" outline="0" axis="axisRow" fieldPosition="0"/>
    </format>
    <format dxfId="385">
      <pivotArea dataOnly="0" labelOnly="1" fieldPosition="0">
        <references count="1">
          <reference field="18" count="0"/>
        </references>
      </pivotArea>
    </format>
    <format dxfId="384">
      <pivotArea dataOnly="0" labelOnly="1" grandRow="1" outline="0" fieldPosition="0"/>
    </format>
    <format dxfId="383">
      <pivotArea outline="0" collapsedLevelsAreSubtotals="1" fieldPosition="0">
        <references count="1">
          <reference field="4294967294" count="1" selected="0">
            <x v="0"/>
          </reference>
        </references>
      </pivotArea>
    </format>
    <format dxfId="382">
      <pivotArea dataOnly="0" labelOnly="1" outline="0" fieldPosition="0">
        <references count="1">
          <reference field="4294967294" count="1">
            <x v="0"/>
          </reference>
        </references>
      </pivotArea>
    </format>
    <format dxfId="381">
      <pivotArea outline="0" collapsedLevelsAreSubtotals="1" fieldPosition="0">
        <references count="1">
          <reference field="4294967294" count="1" selected="0">
            <x v="0"/>
          </reference>
        </references>
      </pivotArea>
    </format>
    <format dxfId="380">
      <pivotArea dataOnly="0" labelOnly="1" outline="0" fieldPosition="0">
        <references count="1">
          <reference field="4294967294" count="1">
            <x v="0"/>
          </reference>
        </references>
      </pivotArea>
    </format>
    <format dxfId="379">
      <pivotArea outline="0" collapsedLevelsAreSubtotals="1" fieldPosition="0">
        <references count="1">
          <reference field="4294967294" count="1" selected="0">
            <x v="1"/>
          </reference>
        </references>
      </pivotArea>
    </format>
    <format dxfId="378">
      <pivotArea dataOnly="0" labelOnly="1" outline="0" fieldPosition="0">
        <references count="1">
          <reference field="4294967294" count="1">
            <x v="1"/>
          </reference>
        </references>
      </pivotArea>
    </format>
    <format dxfId="377">
      <pivotArea outline="0" collapsedLevelsAreSubtotals="1" fieldPosition="0">
        <references count="1">
          <reference field="4294967294" count="1" selected="0">
            <x v="1"/>
          </reference>
        </references>
      </pivotArea>
    </format>
    <format dxfId="376">
      <pivotArea dataOnly="0" labelOnly="1"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6410705-B6E6-46E8-B1C7-6533ADB64D4B}" name="PivotTable2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Disbursed Month">
  <location ref="A215:B219" firstHeaderRow="1" firstDataRow="1" firstDataCol="1"/>
  <pivotFields count="26">
    <pivotField showAll="0"/>
    <pivotField showAll="0">
      <items count="9">
        <item x="0"/>
        <item x="7"/>
        <item x="5"/>
        <item x="1"/>
        <item x="4"/>
        <item x="6"/>
        <item x="3"/>
        <item x="2"/>
        <item t="default"/>
      </items>
    </pivotField>
    <pivotField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dataField="1" numFmtId="3" showAll="0"/>
    <pivotField axis="axisRow" showAll="0">
      <items count="4">
        <item x="0"/>
        <item x="1"/>
        <item x="2"/>
        <item t="default"/>
      </items>
    </pivotField>
    <pivotField showAll="0">
      <items count="4">
        <item x="0"/>
        <item x="2"/>
        <item x="1"/>
        <item t="default"/>
      </items>
    </pivotField>
    <pivotField showAll="0">
      <items count="3">
        <item x="0"/>
        <item x="1"/>
        <item t="default"/>
      </items>
    </pivotField>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Fields count="1">
    <field x="17"/>
  </rowFields>
  <rowItems count="4">
    <i>
      <x/>
    </i>
    <i>
      <x v="1"/>
    </i>
    <i>
      <x v="2"/>
    </i>
    <i t="grand">
      <x/>
    </i>
  </rowItems>
  <colItems count="1">
    <i/>
  </colItems>
  <dataFields count="1">
    <dataField name="Sum of OutstandingPrincipal" fld="16" baseField="0" baseItem="0" numFmtId="3"/>
  </dataFields>
  <formats count="4">
    <format dxfId="402">
      <pivotArea type="all" dataOnly="0" outline="0" fieldPosition="0"/>
    </format>
    <format dxfId="401">
      <pivotArea outline="0" collapsedLevelsAreSubtotals="1" fieldPosition="0"/>
    </format>
    <format dxfId="400">
      <pivotArea field="22" type="button" dataOnly="0" labelOnly="1" outline="0"/>
    </format>
    <format dxfId="399">
      <pivotArea dataOnly="0" labelOnly="1" grandRow="1" outline="0" fieldPosition="0"/>
    </format>
  </formats>
  <chartFormats count="4">
    <chartFormat chart="12" format="2" series="1">
      <pivotArea type="data" outline="0" fieldPosition="0">
        <references count="1">
          <reference field="4294967294" count="1" selected="0">
            <x v="0"/>
          </reference>
        </references>
      </pivotArea>
    </chartFormat>
    <chartFormat chart="12" format="6">
      <pivotArea type="data" outline="0" fieldPosition="0">
        <references count="2">
          <reference field="4294967294" count="1" selected="0">
            <x v="0"/>
          </reference>
          <reference field="17" count="1" selected="0">
            <x v="1"/>
          </reference>
        </references>
      </pivotArea>
    </chartFormat>
    <chartFormat chart="12" format="7">
      <pivotArea type="data" outline="0" fieldPosition="0">
        <references count="2">
          <reference field="4294967294" count="1" selected="0">
            <x v="0"/>
          </reference>
          <reference field="17" count="1" selected="0">
            <x v="2"/>
          </reference>
        </references>
      </pivotArea>
    </chartFormat>
    <chartFormat chart="12" format="8">
      <pivotArea type="data" outline="0" fieldPosition="0">
        <references count="2">
          <reference field="4294967294" count="1" selected="0">
            <x v="0"/>
          </reference>
          <reference field="1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7606CCF-D18C-4522-9D2D-B5EBF0178E65}"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23:A124" firstHeaderRow="1" firstDataRow="1" firstDataCol="0"/>
  <pivotFields count="26">
    <pivotField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showAll="0">
      <items count="9">
        <item x="0"/>
        <item x="7"/>
        <item x="5"/>
        <item x="1"/>
        <item x="4"/>
        <item x="6"/>
        <item x="3"/>
        <item x="2"/>
        <item t="default"/>
      </items>
    </pivotField>
    <pivotField showAll="0">
      <items count="5">
        <item x="3"/>
        <item x="1"/>
        <item x="0"/>
        <item x="2"/>
        <item t="default"/>
      </items>
    </pivotField>
    <pivotField showAll="0">
      <items count="6">
        <item x="4"/>
        <item x="1"/>
        <item x="3"/>
        <item x="2"/>
        <item x="0"/>
        <item t="default"/>
      </items>
    </pivotField>
    <pivotField showAll="0"/>
    <pivotField showAll="0">
      <items count="4">
        <item x="2"/>
        <item x="1"/>
        <item x="0"/>
        <item t="default"/>
      </items>
    </pivotField>
    <pivotField showAll="0"/>
    <pivotField showAll="0">
      <items count="5">
        <item x="3"/>
        <item x="1"/>
        <item x="2"/>
        <item x="0"/>
        <item t="default"/>
      </items>
    </pivotField>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showAll="0">
      <items count="4">
        <item x="0"/>
        <item x="2"/>
        <item x="1"/>
        <item t="default"/>
      </items>
    </pivotField>
    <pivotField showAll="0"/>
    <pivotField dataField="1" numFmtId="3" showAll="0"/>
    <pivotField showAll="0" defaultSubtotal="0"/>
    <pivotField showAll="0" defaultSubtotal="0">
      <items count="14">
        <item x="0"/>
        <item x="1"/>
        <item x="2"/>
        <item x="3"/>
        <item x="4"/>
        <item x="5"/>
        <item x="6"/>
        <item x="7"/>
        <item x="8"/>
        <item x="9"/>
        <item x="10"/>
        <item x="11"/>
        <item x="12"/>
        <item x="13"/>
      </items>
    </pivotField>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dataFields count="1">
    <dataField name="Sum of InterestIncomeEarned" fld="20" baseField="0" baseItem="0" numFmtId="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4C86199-A13E-4D87-BC60-A31C28AE7A79}" name="PivotTable5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70:E76" firstHeaderRow="1" firstDataRow="2" firstDataCol="1"/>
  <pivotFields count="26">
    <pivotField dataField="1"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showAll="0">
      <items count="9">
        <item x="0"/>
        <item x="7"/>
        <item x="5"/>
        <item x="1"/>
        <item x="4"/>
        <item x="6"/>
        <item x="3"/>
        <item x="2"/>
        <item t="default"/>
      </items>
    </pivotField>
    <pivotField showAll="0">
      <items count="5">
        <item x="3"/>
        <item x="1"/>
        <item x="0"/>
        <item x="2"/>
        <item t="default"/>
      </items>
    </pivotField>
    <pivotField showAll="0">
      <items count="6">
        <item x="4"/>
        <item x="1"/>
        <item x="3"/>
        <item x="2"/>
        <item x="0"/>
        <item t="default"/>
      </items>
    </pivotField>
    <pivotField showAll="0"/>
    <pivotField showAll="0">
      <items count="4">
        <item x="2"/>
        <item x="1"/>
        <item x="0"/>
        <item t="default"/>
      </items>
    </pivotField>
    <pivotField showAll="0"/>
    <pivotField axis="axisRow" showAll="0">
      <items count="5">
        <item x="3"/>
        <item x="1"/>
        <item x="2"/>
        <item x="0"/>
        <item t="default"/>
      </items>
    </pivotField>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axis="axisCol" showAll="0">
      <items count="4">
        <item x="0"/>
        <item x="2"/>
        <item x="1"/>
        <item t="default"/>
      </items>
    </pivotField>
    <pivotField showAll="0"/>
    <pivotField numFmtId="3" showAll="0"/>
    <pivotField showAll="0" defaultSubtotal="0"/>
    <pivotField showAll="0" defaultSubtotal="0">
      <items count="14">
        <item x="0"/>
        <item x="1"/>
        <item x="2"/>
        <item x="3"/>
        <item x="4"/>
        <item x="5"/>
        <item x="6"/>
        <item x="7"/>
        <item x="8"/>
        <item x="9"/>
        <item x="10"/>
        <item x="11"/>
        <item x="12"/>
        <item x="13"/>
      </items>
    </pivotField>
    <pivotField dragToRow="0" dragToCol="0" dragToPage="0" showAll="0" defaultSubtotal="0"/>
    <pivotField dragToRow="0" dragToCol="0" dragToPage="0" showAll="0" defaultSubtotal="0"/>
    <pivotField dragToRow="0" dragToCol="0" dragToPage="0" showAll="0" defaultSubtotal="0"/>
  </pivotFields>
  <rowFields count="1">
    <field x="7"/>
  </rowFields>
  <rowItems count="5">
    <i>
      <x/>
    </i>
    <i>
      <x v="1"/>
    </i>
    <i>
      <x v="2"/>
    </i>
    <i>
      <x v="3"/>
    </i>
    <i t="grand">
      <x/>
    </i>
  </rowItems>
  <colFields count="1">
    <field x="18"/>
  </colFields>
  <colItems count="4">
    <i>
      <x/>
    </i>
    <i>
      <x v="1"/>
    </i>
    <i>
      <x v="2"/>
    </i>
    <i t="grand">
      <x/>
    </i>
  </colItems>
  <dataFields count="1">
    <dataField name="Count of LoanID" fld="0" subtotal="count" showDataAs="percentOfRow"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6648F7F-8123-4A38-8A78-81EF79410436}" name="PivotTable3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1:E38" firstHeaderRow="1" firstDataRow="2" firstDataCol="1"/>
  <pivotFields count="26">
    <pivotField dataField="1"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showAll="0">
      <items count="9">
        <item x="0"/>
        <item x="7"/>
        <item x="5"/>
        <item x="1"/>
        <item x="4"/>
        <item x="6"/>
        <item x="3"/>
        <item x="2"/>
        <item t="default"/>
      </items>
    </pivotField>
    <pivotField showAll="0">
      <items count="5">
        <item x="3"/>
        <item x="1"/>
        <item x="0"/>
        <item x="2"/>
        <item t="default"/>
      </items>
    </pivotField>
    <pivotField axis="axisRow"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axis="axisCol" showAll="0">
      <items count="4">
        <item x="0"/>
        <item x="2"/>
        <item x="1"/>
        <item t="default"/>
      </items>
    </pivotField>
    <pivotField showAll="0"/>
    <pivotField numFmtId="3" showAll="0"/>
    <pivotField showAll="0" defaultSubtotal="0"/>
    <pivotField showAll="0" defaultSubtotal="0">
      <items count="14">
        <item x="0"/>
        <item x="1"/>
        <item x="2"/>
        <item x="3"/>
        <item x="4"/>
        <item x="5"/>
        <item x="6"/>
        <item x="7"/>
        <item x="8"/>
        <item x="9"/>
        <item x="10"/>
        <item x="11"/>
        <item x="12"/>
        <item x="13"/>
      </items>
    </pivotField>
    <pivotField dragToRow="0" dragToCol="0" dragToPage="0" showAll="0" defaultSubtotal="0"/>
    <pivotField dragToRow="0" dragToCol="0" dragToPage="0" showAll="0" defaultSubtotal="0"/>
    <pivotField dragToRow="0" dragToCol="0" dragToPage="0" showAll="0" defaultSubtotal="0"/>
  </pivotFields>
  <rowFields count="1">
    <field x="3"/>
  </rowFields>
  <rowItems count="6">
    <i>
      <x/>
    </i>
    <i>
      <x v="1"/>
    </i>
    <i>
      <x v="2"/>
    </i>
    <i>
      <x v="3"/>
    </i>
    <i>
      <x v="4"/>
    </i>
    <i t="grand">
      <x/>
    </i>
  </rowItems>
  <colFields count="1">
    <field x="18"/>
  </colFields>
  <colItems count="4">
    <i>
      <x/>
    </i>
    <i>
      <x v="1"/>
    </i>
    <i>
      <x v="2"/>
    </i>
    <i t="grand">
      <x/>
    </i>
  </colItems>
  <dataFields count="1">
    <dataField name="Count of LoanID" fld="0" subtotal="count" showDataAs="percentOfRow"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F9D1662-5BA2-416B-81FF-BDB0776A951B}" name="PivotTable5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03:E113" firstHeaderRow="1" firstDataRow="2" firstDataCol="1"/>
  <pivotFields count="26">
    <pivotField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axis="axisRow" showAll="0">
      <items count="9">
        <item x="0"/>
        <item x="7"/>
        <item x="5"/>
        <item x="1"/>
        <item x="4"/>
        <item x="6"/>
        <item x="3"/>
        <item x="2"/>
        <item t="default"/>
      </items>
    </pivotField>
    <pivotField showAll="0">
      <items count="5">
        <item x="3"/>
        <item x="1"/>
        <item x="0"/>
        <item x="2"/>
        <item t="default"/>
      </items>
    </pivotField>
    <pivotField dataField="1" showAll="0">
      <items count="6">
        <item x="4"/>
        <item x="1"/>
        <item x="3"/>
        <item x="2"/>
        <item x="0"/>
        <item t="default"/>
      </items>
    </pivotField>
    <pivotField showAll="0"/>
    <pivotField showAll="0">
      <items count="4">
        <item x="2"/>
        <item x="1"/>
        <item x="0"/>
        <item t="default"/>
      </items>
    </pivotField>
    <pivotField showAll="0"/>
    <pivotField showAll="0">
      <items count="5">
        <item x="3"/>
        <item x="1"/>
        <item x="2"/>
        <item x="0"/>
        <item t="default"/>
      </items>
    </pivotField>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axis="axisCol" showAll="0">
      <items count="4">
        <item x="0"/>
        <item x="2"/>
        <item x="1"/>
        <item t="default"/>
      </items>
    </pivotField>
    <pivotField showAll="0"/>
    <pivotField numFmtId="3" showAll="0"/>
    <pivotField showAll="0" defaultSubtotal="0"/>
    <pivotField showAll="0" defaultSubtotal="0">
      <items count="14">
        <item x="0"/>
        <item x="1"/>
        <item x="2"/>
        <item x="3"/>
        <item x="4"/>
        <item x="5"/>
        <item x="6"/>
        <item x="7"/>
        <item x="8"/>
        <item x="9"/>
        <item x="10"/>
        <item x="11"/>
        <item x="12"/>
        <item x="13"/>
      </items>
    </pivotField>
    <pivotField dragToRow="0" dragToCol="0" dragToPage="0" showAll="0" defaultSubtotal="0"/>
    <pivotField dragToRow="0" dragToCol="0" dragToPage="0" showAll="0" defaultSubtotal="0"/>
    <pivotField dragToRow="0" dragToCol="0" dragToPage="0" showAll="0" defaultSubtotal="0"/>
  </pivotFields>
  <rowFields count="1">
    <field x="1"/>
  </rowFields>
  <rowItems count="9">
    <i>
      <x/>
    </i>
    <i>
      <x v="1"/>
    </i>
    <i>
      <x v="2"/>
    </i>
    <i>
      <x v="3"/>
    </i>
    <i>
      <x v="4"/>
    </i>
    <i>
      <x v="5"/>
    </i>
    <i>
      <x v="6"/>
    </i>
    <i>
      <x v="7"/>
    </i>
    <i t="grand">
      <x/>
    </i>
  </rowItems>
  <colFields count="1">
    <field x="18"/>
  </colFields>
  <colItems count="4">
    <i>
      <x/>
    </i>
    <i>
      <x v="1"/>
    </i>
    <i>
      <x v="2"/>
    </i>
    <i t="grand">
      <x/>
    </i>
  </colItems>
  <dataFields count="1">
    <dataField name="Count of LoanProduct"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042035-DBA3-4C6F-8294-B69448E7954B}"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C117:C118" firstHeaderRow="1" firstDataRow="1" firstDataCol="0"/>
  <pivotFields count="26">
    <pivotField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showAll="0">
      <items count="9">
        <item x="0"/>
        <item x="7"/>
        <item x="5"/>
        <item x="1"/>
        <item x="4"/>
        <item x="6"/>
        <item x="3"/>
        <item x="2"/>
        <item t="default"/>
      </items>
    </pivotField>
    <pivotField showAll="0">
      <items count="5">
        <item x="3"/>
        <item x="1"/>
        <item x="0"/>
        <item x="2"/>
        <item t="default"/>
      </items>
    </pivotField>
    <pivotField showAll="0">
      <items count="6">
        <item x="4"/>
        <item x="1"/>
        <item x="3"/>
        <item x="2"/>
        <item x="0"/>
        <item t="default"/>
      </items>
    </pivotField>
    <pivotField showAll="0"/>
    <pivotField showAll="0">
      <items count="4">
        <item x="2"/>
        <item x="1"/>
        <item x="0"/>
        <item t="default"/>
      </items>
    </pivotField>
    <pivotField showAll="0"/>
    <pivotField showAll="0">
      <items count="5">
        <item x="3"/>
        <item x="1"/>
        <item x="2"/>
        <item x="0"/>
        <item t="default"/>
      </items>
    </pivotField>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dataField="1" numFmtId="3" showAll="0"/>
    <pivotField showAll="0"/>
    <pivotField showAll="0">
      <items count="4">
        <item x="0"/>
        <item x="2"/>
        <item x="1"/>
        <item t="default"/>
      </items>
    </pivotField>
    <pivotField showAll="0"/>
    <pivotField numFmtId="3" showAll="0"/>
    <pivotField showAll="0" defaultSubtotal="0"/>
    <pivotField showAll="0" defaultSubtotal="0">
      <items count="14">
        <item x="0"/>
        <item x="1"/>
        <item x="2"/>
        <item x="3"/>
        <item x="4"/>
        <item x="5"/>
        <item x="6"/>
        <item x="7"/>
        <item x="8"/>
        <item x="9"/>
        <item x="10"/>
        <item x="11"/>
        <item x="12"/>
        <item x="13"/>
      </items>
    </pivotField>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dataFields count="1">
    <dataField name="Sum of OutstandingPrincipal" fld="16" baseField="0" baseItem="0" numFmtId="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9E9645-E50D-4A49-9B05-B68FEBA00273}" name="PivotTable3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C8" firstHeaderRow="0" firstDataRow="1" firstDataCol="1"/>
  <pivotFields count="26">
    <pivotField showAll="0"/>
    <pivotField showAll="0"/>
    <pivotField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dataField="1" numFmtId="3" showAll="0"/>
    <pivotField showAll="0"/>
    <pivotField numFmtId="165" showAll="0"/>
    <pivotField numFmtId="3" showAll="0"/>
    <pivotField showAll="0"/>
    <pivotField showAll="0"/>
    <pivotField dataField="1" numFmtId="3" showAll="0"/>
    <pivotField numFmtId="3" showAll="0"/>
    <pivotField showAll="0"/>
    <pivotField showAll="0"/>
    <pivotField showAll="0"/>
    <pivotField numFmtId="3" showAll="0"/>
    <pivotField showAll="0" defaultSubtotal="0"/>
    <pivotField axis="axisRow" showAll="0" defaultSubtotal="0">
      <items count="14">
        <item x="0"/>
        <item x="1"/>
        <item x="2"/>
        <item x="3"/>
        <item x="4"/>
        <item x="5"/>
        <item x="6"/>
        <item x="7"/>
        <item x="8"/>
        <item x="9"/>
        <item x="10"/>
        <item x="11"/>
        <item x="12"/>
        <item x="13"/>
      </items>
    </pivotField>
    <pivotField dragToRow="0" dragToCol="0" dragToPage="0" showAll="0" defaultSubtotal="0"/>
    <pivotField dragToRow="0" dragToCol="0" dragToPage="0" showAll="0" defaultSubtotal="0"/>
    <pivotField dragToRow="0" dragToCol="0" dragToPage="0" showAll="0" defaultSubtotal="0"/>
  </pivotFields>
  <rowFields count="1">
    <field x="22"/>
  </rowFields>
  <rowItems count="7">
    <i>
      <x v="1"/>
    </i>
    <i>
      <x v="2"/>
    </i>
    <i>
      <x v="3"/>
    </i>
    <i>
      <x v="4"/>
    </i>
    <i>
      <x v="5"/>
    </i>
    <i>
      <x v="6"/>
    </i>
    <i t="grand">
      <x/>
    </i>
  </rowItems>
  <colFields count="1">
    <field x="-2"/>
  </colFields>
  <colItems count="2">
    <i>
      <x/>
    </i>
    <i i="1">
      <x v="1"/>
    </i>
  </colItems>
  <dataFields count="2">
    <dataField name="Sum of LoanAmount" fld="9" baseField="0" baseItem="0" numFmtId="3"/>
    <dataField name="Sum of AmountCollectedTillDate" fld="15" baseField="0" baseItem="0" numFmtId="3"/>
  </dataFields>
  <chartFormats count="16">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 chart="5" format="6">
      <pivotArea type="data" outline="0" fieldPosition="0">
        <references count="2">
          <reference field="4294967294" count="1" selected="0">
            <x v="1"/>
          </reference>
          <reference field="22" count="1" selected="0">
            <x v="1"/>
          </reference>
        </references>
      </pivotArea>
    </chartFormat>
    <chartFormat chart="5" format="7">
      <pivotArea type="data" outline="0" fieldPosition="0">
        <references count="2">
          <reference field="4294967294" count="1" selected="0">
            <x v="1"/>
          </reference>
          <reference field="22" count="1" selected="0">
            <x v="2"/>
          </reference>
        </references>
      </pivotArea>
    </chartFormat>
    <chartFormat chart="5" format="8">
      <pivotArea type="data" outline="0" fieldPosition="0">
        <references count="2">
          <reference field="4294967294" count="1" selected="0">
            <x v="1"/>
          </reference>
          <reference field="22" count="1" selected="0">
            <x v="3"/>
          </reference>
        </references>
      </pivotArea>
    </chartFormat>
    <chartFormat chart="5" format="9">
      <pivotArea type="data" outline="0" fieldPosition="0">
        <references count="2">
          <reference field="4294967294" count="1" selected="0">
            <x v="1"/>
          </reference>
          <reference field="22" count="1" selected="0">
            <x v="4"/>
          </reference>
        </references>
      </pivotArea>
    </chartFormat>
    <chartFormat chart="5" format="10">
      <pivotArea type="data" outline="0" fieldPosition="0">
        <references count="2">
          <reference field="4294967294" count="1" selected="0">
            <x v="1"/>
          </reference>
          <reference field="22" count="1" selected="0">
            <x v="5"/>
          </reference>
        </references>
      </pivotArea>
    </chartFormat>
    <chartFormat chart="5" format="11">
      <pivotArea type="data" outline="0" fieldPosition="0">
        <references count="2">
          <reference field="4294967294" count="1" selected="0">
            <x v="1"/>
          </reference>
          <reference field="22" count="1" selected="0">
            <x v="6"/>
          </reference>
        </references>
      </pivotArea>
    </chartFormat>
    <chartFormat chart="6" format="12" series="1">
      <pivotArea type="data" outline="0" fieldPosition="0">
        <references count="1">
          <reference field="4294967294" count="1" selected="0">
            <x v="0"/>
          </reference>
        </references>
      </pivotArea>
    </chartFormat>
    <chartFormat chart="6" format="13" series="1">
      <pivotArea type="data" outline="0" fieldPosition="0">
        <references count="1">
          <reference field="4294967294" count="1" selected="0">
            <x v="1"/>
          </reference>
        </references>
      </pivotArea>
    </chartFormat>
    <chartFormat chart="6" format="14">
      <pivotArea type="data" outline="0" fieldPosition="0">
        <references count="2">
          <reference field="4294967294" count="1" selected="0">
            <x v="1"/>
          </reference>
          <reference field="22" count="1" selected="0">
            <x v="1"/>
          </reference>
        </references>
      </pivotArea>
    </chartFormat>
    <chartFormat chart="6" format="15">
      <pivotArea type="data" outline="0" fieldPosition="0">
        <references count="2">
          <reference field="4294967294" count="1" selected="0">
            <x v="1"/>
          </reference>
          <reference field="22" count="1" selected="0">
            <x v="2"/>
          </reference>
        </references>
      </pivotArea>
    </chartFormat>
    <chartFormat chart="6" format="16">
      <pivotArea type="data" outline="0" fieldPosition="0">
        <references count="2">
          <reference field="4294967294" count="1" selected="0">
            <x v="1"/>
          </reference>
          <reference field="22" count="1" selected="0">
            <x v="3"/>
          </reference>
        </references>
      </pivotArea>
    </chartFormat>
    <chartFormat chart="6" format="17">
      <pivotArea type="data" outline="0" fieldPosition="0">
        <references count="2">
          <reference field="4294967294" count="1" selected="0">
            <x v="1"/>
          </reference>
          <reference field="22" count="1" selected="0">
            <x v="4"/>
          </reference>
        </references>
      </pivotArea>
    </chartFormat>
    <chartFormat chart="6" format="18">
      <pivotArea type="data" outline="0" fieldPosition="0">
        <references count="2">
          <reference field="4294967294" count="1" selected="0">
            <x v="1"/>
          </reference>
          <reference field="22" count="1" selected="0">
            <x v="5"/>
          </reference>
        </references>
      </pivotArea>
    </chartFormat>
    <chartFormat chart="6" format="19">
      <pivotArea type="data" outline="0" fieldPosition="0">
        <references count="2">
          <reference field="4294967294" count="1" selected="0">
            <x v="1"/>
          </reference>
          <reference field="22"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954D53B-E8FA-4B43-8C9B-FCD519E99FC2}" name="PivotTable43"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4">
  <location ref="A57:E62" firstHeaderRow="1" firstDataRow="2" firstDataCol="1"/>
  <pivotFields count="26">
    <pivotField dataField="1"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showAll="0">
      <items count="9">
        <item x="0"/>
        <item x="7"/>
        <item x="5"/>
        <item x="1"/>
        <item x="4"/>
        <item x="6"/>
        <item x="3"/>
        <item x="2"/>
        <item t="default"/>
      </items>
    </pivotField>
    <pivotField showAll="0">
      <items count="5">
        <item x="3"/>
        <item x="1"/>
        <item x="0"/>
        <item x="2"/>
        <item t="default"/>
      </items>
    </pivotField>
    <pivotField showAll="0">
      <items count="6">
        <item x="4"/>
        <item x="1"/>
        <item x="3"/>
        <item x="2"/>
        <item x="0"/>
        <item t="default"/>
      </items>
    </pivotField>
    <pivotField showAll="0"/>
    <pivotField axis="axisRow" showAll="0">
      <items count="4">
        <item x="2"/>
        <item x="1"/>
        <item x="0"/>
        <item t="default"/>
      </items>
    </pivotField>
    <pivotField showAll="0"/>
    <pivotField showAll="0">
      <items count="5">
        <item x="3"/>
        <item x="1"/>
        <item x="2"/>
        <item x="0"/>
        <item t="default"/>
      </items>
    </pivotField>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axis="axisCol" showAll="0">
      <items count="4">
        <item x="0"/>
        <item x="2"/>
        <item x="1"/>
        <item t="default"/>
      </items>
    </pivotField>
    <pivotField showAll="0"/>
    <pivotField numFmtId="3" showAll="0"/>
    <pivotField showAll="0" defaultSubtotal="0"/>
    <pivotField showAll="0" defaultSubtotal="0">
      <items count="14">
        <item x="0"/>
        <item x="1"/>
        <item x="2"/>
        <item x="3"/>
        <item x="4"/>
        <item x="5"/>
        <item x="6"/>
        <item x="7"/>
        <item x="8"/>
        <item x="9"/>
        <item x="10"/>
        <item x="11"/>
        <item x="12"/>
        <item x="13"/>
      </items>
    </pivotField>
    <pivotField dragToRow="0" dragToCol="0" dragToPage="0" showAll="0" defaultSubtotal="0"/>
    <pivotField dragToRow="0" dragToCol="0" dragToPage="0" showAll="0" defaultSubtotal="0"/>
    <pivotField dragToRow="0" dragToCol="0" dragToPage="0" showAll="0" defaultSubtotal="0"/>
  </pivotFields>
  <rowFields count="1">
    <field x="5"/>
  </rowFields>
  <rowItems count="4">
    <i>
      <x/>
    </i>
    <i>
      <x v="1"/>
    </i>
    <i>
      <x v="2"/>
    </i>
    <i t="grand">
      <x/>
    </i>
  </rowItems>
  <colFields count="1">
    <field x="18"/>
  </colFields>
  <colItems count="4">
    <i>
      <x/>
    </i>
    <i>
      <x v="1"/>
    </i>
    <i>
      <x v="2"/>
    </i>
    <i t="grand">
      <x/>
    </i>
  </colItems>
  <dataFields count="1">
    <dataField name="Count of LoanID" fld="0" subtotal="count" showDataAs="percentOfRow"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3639FEB-57A2-4B3C-9862-5948F2AAA0ED}"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17:A118" firstHeaderRow="1" firstDataRow="1" firstDataCol="0"/>
  <pivotFields count="26">
    <pivotField dataField="1"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showAll="0">
      <items count="9">
        <item x="0"/>
        <item x="7"/>
        <item x="5"/>
        <item x="1"/>
        <item x="4"/>
        <item x="6"/>
        <item x="3"/>
        <item x="2"/>
        <item t="default"/>
      </items>
    </pivotField>
    <pivotField showAll="0">
      <items count="5">
        <item x="3"/>
        <item x="1"/>
        <item x="0"/>
        <item x="2"/>
        <item t="default"/>
      </items>
    </pivotField>
    <pivotField showAll="0">
      <items count="6">
        <item x="4"/>
        <item x="1"/>
        <item x="3"/>
        <item x="2"/>
        <item x="0"/>
        <item t="default"/>
      </items>
    </pivotField>
    <pivotField showAll="0"/>
    <pivotField showAll="0">
      <items count="4">
        <item x="2"/>
        <item x="1"/>
        <item x="0"/>
        <item t="default"/>
      </items>
    </pivotField>
    <pivotField showAll="0"/>
    <pivotField showAll="0">
      <items count="5">
        <item x="3"/>
        <item x="1"/>
        <item x="2"/>
        <item x="0"/>
        <item t="default"/>
      </items>
    </pivotField>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showAll="0">
      <items count="4">
        <item x="0"/>
        <item x="2"/>
        <item x="1"/>
        <item t="default"/>
      </items>
    </pivotField>
    <pivotField showAll="0"/>
    <pivotField numFmtId="3" showAll="0"/>
    <pivotField showAll="0" defaultSubtotal="0"/>
    <pivotField showAll="0" defaultSubtotal="0">
      <items count="14">
        <item x="0"/>
        <item x="1"/>
        <item x="2"/>
        <item x="3"/>
        <item x="4"/>
        <item x="5"/>
        <item x="6"/>
        <item x="7"/>
        <item x="8"/>
        <item x="9"/>
        <item x="10"/>
        <item x="11"/>
        <item x="12"/>
        <item x="13"/>
      </items>
    </pivotField>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dataFields count="1">
    <dataField name="Count of Loan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E7B2166-4F66-4E97-AC66-178F7665B7D5}"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20:A121" firstHeaderRow="1" firstDataRow="1" firstDataCol="0"/>
  <pivotFields count="26">
    <pivotField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showAll="0">
      <items count="9">
        <item x="0"/>
        <item x="7"/>
        <item x="5"/>
        <item x="1"/>
        <item x="4"/>
        <item x="6"/>
        <item x="3"/>
        <item x="2"/>
        <item t="default"/>
      </items>
    </pivotField>
    <pivotField showAll="0">
      <items count="5">
        <item x="3"/>
        <item x="1"/>
        <item x="0"/>
        <item x="2"/>
        <item t="default"/>
      </items>
    </pivotField>
    <pivotField showAll="0">
      <items count="6">
        <item x="4"/>
        <item x="1"/>
        <item x="3"/>
        <item x="2"/>
        <item x="0"/>
        <item t="default"/>
      </items>
    </pivotField>
    <pivotField showAll="0"/>
    <pivotField showAll="0">
      <items count="4">
        <item x="2"/>
        <item x="1"/>
        <item x="0"/>
        <item t="default"/>
      </items>
    </pivotField>
    <pivotField showAll="0"/>
    <pivotField showAll="0">
      <items count="5">
        <item x="3"/>
        <item x="1"/>
        <item x="2"/>
        <item x="0"/>
        <item t="default"/>
      </items>
    </pivotField>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dataField="1" numFmtId="3" showAll="0"/>
    <pivotField showAll="0"/>
    <pivotField numFmtId="165" showAll="0"/>
    <pivotField numFmtId="3" showAll="0"/>
    <pivotField showAll="0"/>
    <pivotField showAll="0"/>
    <pivotField numFmtId="3" showAll="0"/>
    <pivotField numFmtId="3" showAll="0"/>
    <pivotField showAll="0"/>
    <pivotField showAll="0">
      <items count="4">
        <item x="0"/>
        <item x="2"/>
        <item x="1"/>
        <item t="default"/>
      </items>
    </pivotField>
    <pivotField showAll="0"/>
    <pivotField numFmtId="3" showAll="0"/>
    <pivotField showAll="0" defaultSubtotal="0"/>
    <pivotField showAll="0" defaultSubtotal="0">
      <items count="14">
        <item x="0"/>
        <item x="1"/>
        <item x="2"/>
        <item x="3"/>
        <item x="4"/>
        <item x="5"/>
        <item x="6"/>
        <item x="7"/>
        <item x="8"/>
        <item x="9"/>
        <item x="10"/>
        <item x="11"/>
        <item x="12"/>
        <item x="13"/>
      </items>
    </pivotField>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dataFields count="1">
    <dataField name="Sum of LoanAmount" fld="9" baseField="0" baseItem="0" numFmtId="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7D66F15-569C-489A-8392-1D01128BF1A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L18:P28" firstHeaderRow="1" firstDataRow="2" firstDataCol="1"/>
  <pivotFields count="26">
    <pivotField dataField="1"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axis="axisRow" showAll="0">
      <items count="9">
        <item x="0"/>
        <item x="7"/>
        <item x="5"/>
        <item x="1"/>
        <item x="4"/>
        <item x="6"/>
        <item x="3"/>
        <item x="2"/>
        <item t="default"/>
      </items>
    </pivotField>
    <pivotField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axis="axisCol" showAll="0">
      <items count="4">
        <item x="0"/>
        <item x="2"/>
        <item x="1"/>
        <item t="default"/>
      </items>
    </pivotField>
    <pivotField showAll="0"/>
    <pivotField numFmtId="3" showAll="0"/>
    <pivotField showAll="0" defaultSubtotal="0"/>
    <pivotField showAll="0" defaultSubtotal="0">
      <items count="14">
        <item x="0"/>
        <item x="1"/>
        <item x="2"/>
        <item x="3"/>
        <item x="4"/>
        <item x="5"/>
        <item x="6"/>
        <item x="7"/>
        <item x="8"/>
        <item x="9"/>
        <item x="10"/>
        <item x="11"/>
        <item x="12"/>
        <item x="13"/>
      </items>
    </pivotField>
    <pivotField dragToRow="0" dragToCol="0" dragToPage="0" showAll="0" defaultSubtotal="0"/>
    <pivotField dragToRow="0" dragToCol="0" dragToPage="0" showAll="0" defaultSubtotal="0"/>
    <pivotField dragToRow="0" dragToCol="0" dragToPage="0" showAll="0" defaultSubtotal="0"/>
  </pivotFields>
  <rowFields count="1">
    <field x="1"/>
  </rowFields>
  <rowItems count="9">
    <i>
      <x/>
    </i>
    <i>
      <x v="1"/>
    </i>
    <i>
      <x v="2"/>
    </i>
    <i>
      <x v="3"/>
    </i>
    <i>
      <x v="4"/>
    </i>
    <i>
      <x v="5"/>
    </i>
    <i>
      <x v="6"/>
    </i>
    <i>
      <x v="7"/>
    </i>
    <i t="grand">
      <x/>
    </i>
  </rowItems>
  <colFields count="1">
    <field x="18"/>
  </colFields>
  <colItems count="4">
    <i>
      <x/>
    </i>
    <i>
      <x v="1"/>
    </i>
    <i>
      <x v="2"/>
    </i>
    <i t="grand">
      <x/>
    </i>
  </colItems>
  <dataFields count="1">
    <dataField name="Count of LoanID" fld="0" subtotal="count" showDataAs="percentOfRow"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E797954-DA04-4416-8081-17D17AD4F2E7}" name="PivotTable40"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
  <location ref="A44:D49" firstHeaderRow="1" firstDataRow="2" firstDataCol="1"/>
  <pivotFields count="26">
    <pivotField dataField="1"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showAll="0">
      <items count="9">
        <item x="0"/>
        <item x="7"/>
        <item x="5"/>
        <item x="1"/>
        <item x="4"/>
        <item x="6"/>
        <item x="3"/>
        <item x="2"/>
        <item t="default"/>
      </items>
    </pivotField>
    <pivotField axis="axisRow"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axis="axisCol" showAll="0">
      <items count="4">
        <item x="0"/>
        <item x="2"/>
        <item x="1"/>
        <item t="default"/>
      </items>
    </pivotField>
    <pivotField showAll="0"/>
    <pivotField numFmtId="3" showAll="0"/>
    <pivotField showAll="0" defaultSubtotal="0"/>
    <pivotField showAll="0" defaultSubtotal="0">
      <items count="14">
        <item x="0"/>
        <item x="1"/>
        <item x="2"/>
        <item x="3"/>
        <item x="4"/>
        <item x="5"/>
        <item x="6"/>
        <item x="7"/>
        <item x="8"/>
        <item x="9"/>
        <item x="10"/>
        <item x="11"/>
        <item x="12"/>
        <item x="13"/>
      </items>
    </pivotField>
    <pivotField dragToRow="0" dragToCol="0" dragToPage="0" showAll="0" defaultSubtotal="0"/>
    <pivotField dragToRow="0" dragToCol="0" dragToPage="0" showAll="0" defaultSubtotal="0"/>
    <pivotField dragToRow="0" dragToCol="0" dragToPage="0" showAll="0" defaultSubtotal="0"/>
  </pivotFields>
  <rowFields count="1">
    <field x="2"/>
  </rowFields>
  <rowItems count="4">
    <i>
      <x/>
    </i>
    <i>
      <x v="1"/>
    </i>
    <i>
      <x v="2"/>
    </i>
    <i>
      <x v="3"/>
    </i>
  </rowItems>
  <colFields count="1">
    <field x="18"/>
  </colFields>
  <colItems count="3">
    <i>
      <x/>
    </i>
    <i>
      <x v="1"/>
    </i>
    <i>
      <x v="2"/>
    </i>
  </colItems>
  <dataFields count="1">
    <dataField name="Count of LoanID" fld="0" subtotal="count" showDataAs="percentOfRow"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07D31B-BF73-4609-9153-B6F051C761A4}" name="PivotTable5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84:B93" firstHeaderRow="1" firstDataRow="1" firstDataCol="1"/>
  <pivotFields count="26">
    <pivotField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axis="axisRow" showAll="0">
      <items count="9">
        <item x="0"/>
        <item x="7"/>
        <item x="5"/>
        <item x="1"/>
        <item x="4"/>
        <item x="6"/>
        <item x="3"/>
        <item x="2"/>
        <item t="default"/>
      </items>
    </pivotField>
    <pivotField showAll="0">
      <items count="5">
        <item x="3"/>
        <item x="1"/>
        <item x="0"/>
        <item x="2"/>
        <item t="default"/>
      </items>
    </pivotField>
    <pivotField showAll="0">
      <items count="6">
        <item x="4"/>
        <item x="1"/>
        <item x="3"/>
        <item x="2"/>
        <item x="0"/>
        <item t="default"/>
      </items>
    </pivotField>
    <pivotField showAll="0"/>
    <pivotField showAll="0">
      <items count="4">
        <item x="2"/>
        <item x="1"/>
        <item x="0"/>
        <item t="default"/>
      </items>
    </pivotField>
    <pivotField showAll="0"/>
    <pivotField showAll="0">
      <items count="5">
        <item x="3"/>
        <item x="1"/>
        <item x="2"/>
        <item x="0"/>
        <item t="default"/>
      </items>
    </pivotField>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showAll="0">
      <items count="4">
        <item x="0"/>
        <item x="2"/>
        <item x="1"/>
        <item t="default"/>
      </items>
    </pivotField>
    <pivotField showAll="0"/>
    <pivotField dataField="1" numFmtId="3" showAll="0"/>
    <pivotField showAll="0" defaultSubtotal="0"/>
    <pivotField showAll="0" defaultSubtotal="0">
      <items count="14">
        <item x="0"/>
        <item x="1"/>
        <item x="2"/>
        <item x="3"/>
        <item x="4"/>
        <item x="5"/>
        <item x="6"/>
        <item x="7"/>
        <item x="8"/>
        <item x="9"/>
        <item x="10"/>
        <item x="11"/>
        <item x="12"/>
        <item x="13"/>
      </items>
    </pivotField>
    <pivotField dragToRow="0" dragToCol="0" dragToPage="0" showAll="0" defaultSubtotal="0"/>
    <pivotField dragToRow="0" dragToCol="0" dragToPage="0" showAll="0" defaultSubtotal="0"/>
    <pivotField dragToRow="0" dragToCol="0" dragToPage="0" showAll="0" defaultSubtotal="0"/>
  </pivotFields>
  <rowFields count="1">
    <field x="1"/>
  </rowFields>
  <rowItems count="9">
    <i>
      <x/>
    </i>
    <i>
      <x v="1"/>
    </i>
    <i>
      <x v="2"/>
    </i>
    <i>
      <x v="3"/>
    </i>
    <i>
      <x v="4"/>
    </i>
    <i>
      <x v="5"/>
    </i>
    <i>
      <x v="6"/>
    </i>
    <i>
      <x v="7"/>
    </i>
    <i t="grand">
      <x/>
    </i>
  </rowItems>
  <colItems count="1">
    <i/>
  </colItems>
  <dataFields count="1">
    <dataField name="Sum of InterestIncomeEarned" fld="20" baseField="0" baseItem="0" numFmtId="3"/>
  </dataFields>
  <chartFormats count="2">
    <chartFormat chart="6" format="15" series="1">
      <pivotArea type="data" outline="0" fieldPosition="0">
        <references count="1">
          <reference field="4294967294" count="1" selected="0">
            <x v="0"/>
          </reference>
        </references>
      </pivotArea>
    </chartFormat>
    <chartFormat chart="8" format="1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CFCE54B-BAEC-4D86-9ABD-BD487C2EFF97}" name="PivotTable3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6:E26" firstHeaderRow="1" firstDataRow="2" firstDataCol="1"/>
  <pivotFields count="26">
    <pivotField dataField="1"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axis="axisRow" showAll="0">
      <items count="9">
        <item x="0"/>
        <item x="7"/>
        <item x="5"/>
        <item x="1"/>
        <item x="4"/>
        <item x="6"/>
        <item x="3"/>
        <item x="2"/>
        <item t="default"/>
      </items>
    </pivotField>
    <pivotField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axis="axisCol" showAll="0">
      <items count="4">
        <item x="0"/>
        <item x="2"/>
        <item x="1"/>
        <item t="default"/>
      </items>
    </pivotField>
    <pivotField showAll="0"/>
    <pivotField numFmtId="3" showAll="0"/>
    <pivotField showAll="0" defaultSubtotal="0"/>
    <pivotField showAll="0" defaultSubtotal="0">
      <items count="14">
        <item x="0"/>
        <item x="1"/>
        <item x="2"/>
        <item x="3"/>
        <item x="4"/>
        <item x="5"/>
        <item x="6"/>
        <item x="7"/>
        <item x="8"/>
        <item x="9"/>
        <item x="10"/>
        <item x="11"/>
        <item x="12"/>
        <item x="13"/>
      </items>
    </pivotField>
    <pivotField dragToRow="0" dragToCol="0" dragToPage="0" showAll="0" defaultSubtotal="0"/>
    <pivotField dragToRow="0" dragToCol="0" dragToPage="0" showAll="0" defaultSubtotal="0"/>
    <pivotField dragToRow="0" dragToCol="0" dragToPage="0" showAll="0" defaultSubtotal="0"/>
  </pivotFields>
  <rowFields count="1">
    <field x="1"/>
  </rowFields>
  <rowItems count="9">
    <i>
      <x/>
    </i>
    <i>
      <x v="1"/>
    </i>
    <i>
      <x v="2"/>
    </i>
    <i>
      <x v="3"/>
    </i>
    <i>
      <x v="4"/>
    </i>
    <i>
      <x v="5"/>
    </i>
    <i>
      <x v="6"/>
    </i>
    <i>
      <x v="7"/>
    </i>
    <i t="grand">
      <x/>
    </i>
  </rowItems>
  <colFields count="1">
    <field x="18"/>
  </colFields>
  <colItems count="4">
    <i>
      <x/>
    </i>
    <i>
      <x v="1"/>
    </i>
    <i>
      <x v="2"/>
    </i>
    <i t="grand">
      <x/>
    </i>
  </colItems>
  <dataFields count="1">
    <dataField name="Count of LoanID" fld="0" subtotal="count" showDataAs="percentOfRow"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D5AB484-3E2C-4D0A-879D-BCA8344253D0}" sourceName="Region">
  <pivotTables>
    <pivotTable tabId="6" name="PivotTable19"/>
    <pivotTable tabId="6" name="PivotTable1"/>
    <pivotTable tabId="6" name="PivotTable10"/>
    <pivotTable tabId="6" name="PivotTable11"/>
    <pivotTable tabId="6" name="PivotTable12"/>
    <pivotTable tabId="6" name="PivotTable13"/>
    <pivotTable tabId="6" name="PivotTable14"/>
    <pivotTable tabId="6" name="PivotTable15"/>
    <pivotTable tabId="6" name="PivotTable16"/>
    <pivotTable tabId="6" name="PivotTable17"/>
    <pivotTable tabId="6" name="PivotTable18"/>
    <pivotTable tabId="6" name="PivotTable2"/>
    <pivotTable tabId="6" name="PivotTable26"/>
    <pivotTable tabId="6" name="PivotTable29"/>
    <pivotTable tabId="6" name="PivotTable3"/>
    <pivotTable tabId="6" name="PivotTable30"/>
    <pivotTable tabId="6" name="PivotTable4"/>
    <pivotTable tabId="6" name="PivotTable5"/>
    <pivotTable tabId="6" name="PivotTable6"/>
    <pivotTable tabId="6" name="PivotTable7"/>
    <pivotTable tabId="6" name="PivotTable8"/>
    <pivotTable tabId="6" name="PivotTable9"/>
  </pivotTables>
  <data>
    <tabular pivotCacheId="1250232938">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anProduct" xr10:uid="{3BE0CA6D-7E9C-4767-B3BD-5E7435F3439B}" sourceName="LoanProduct">
  <pivotTables>
    <pivotTable tabId="6" name="PivotTable29"/>
    <pivotTable tabId="6" name="PivotTable1"/>
    <pivotTable tabId="6" name="PivotTable10"/>
    <pivotTable tabId="6" name="PivotTable11"/>
    <pivotTable tabId="6" name="PivotTable12"/>
    <pivotTable tabId="6" name="PivotTable13"/>
    <pivotTable tabId="6" name="PivotTable14"/>
    <pivotTable tabId="6" name="PivotTable15"/>
    <pivotTable tabId="6" name="PivotTable16"/>
    <pivotTable tabId="6" name="PivotTable17"/>
    <pivotTable tabId="6" name="PivotTable18"/>
    <pivotTable tabId="6" name="PivotTable19"/>
    <pivotTable tabId="6" name="PivotTable2"/>
    <pivotTable tabId="6" name="PivotTable26"/>
    <pivotTable tabId="6" name="PivotTable3"/>
    <pivotTable tabId="6" name="PivotTable30"/>
    <pivotTable tabId="6" name="PivotTable4"/>
    <pivotTable tabId="6" name="PivotTable5"/>
    <pivotTable tabId="6" name="PivotTable6"/>
    <pivotTable tabId="6" name="PivotTable7"/>
    <pivotTable tabId="6" name="PivotTable8"/>
    <pivotTable tabId="6" name="PivotTable9"/>
  </pivotTables>
  <data>
    <tabular pivotCacheId="1250232938">
      <items count="5">
        <i x="4" s="1"/>
        <i x="1" s="1"/>
        <i x="3"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anStatus" xr10:uid="{D6D8984B-3E9A-4644-8731-6FB7A49ED414}" sourceName="LoanStatus">
  <pivotTables>
    <pivotTable tabId="10" name="PivotTable1"/>
  </pivotTables>
  <data>
    <tabular pivotCacheId="1250232938">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anProduct1" xr10:uid="{BE89C3D4-9E34-4CC4-B67D-AFCAF3946423}" sourceName="LoanProduct">
  <pivotTables>
    <pivotTable tabId="10" name="PivotTable54"/>
    <pivotTable tabId="10" name="PivotTable1"/>
    <pivotTable tabId="10" name="PivotTable3"/>
    <pivotTable tabId="10" name="PivotTable31"/>
    <pivotTable tabId="10" name="PivotTable32"/>
    <pivotTable tabId="10" name="PivotTable35"/>
    <pivotTable tabId="10" name="PivotTable4"/>
    <pivotTable tabId="10" name="PivotTable40"/>
    <pivotTable tabId="10" name="PivotTable43"/>
    <pivotTable tabId="10" name="PivotTable5"/>
    <pivotTable tabId="10" name="PivotTable50"/>
    <pivotTable tabId="10" name="PivotTable53"/>
    <pivotTable tabId="10" name="PivotTable6"/>
  </pivotTables>
  <data>
    <tabular pivotCacheId="1250232938">
      <items count="5">
        <i x="4" s="1"/>
        <i x="1" s="1"/>
        <i x="3" s="1"/>
        <i x="2"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CD4351DD-49A8-47AD-BADE-91C4A0A1A839}" sourceName="Region">
  <pivotTables>
    <pivotTable tabId="10" name="PivotTable54"/>
    <pivotTable tabId="10" name="PivotTable1"/>
    <pivotTable tabId="10" name="PivotTable3"/>
    <pivotTable tabId="10" name="PivotTable31"/>
    <pivotTable tabId="10" name="PivotTable32"/>
    <pivotTable tabId="10" name="PivotTable35"/>
    <pivotTable tabId="10" name="PivotTable4"/>
    <pivotTable tabId="10" name="PivotTable40"/>
    <pivotTable tabId="10" name="PivotTable43"/>
    <pivotTable tabId="10" name="PivotTable5"/>
    <pivotTable tabId="10" name="PivotTable50"/>
    <pivotTable tabId="10" name="PivotTable53"/>
    <pivotTable tabId="10" name="PivotTable6"/>
  </pivotTables>
  <data>
    <tabular pivotCacheId="1250232938">
      <items count="4">
        <i x="3" s="1"/>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anStatus" xr10:uid="{2354E02F-6350-4C13-8E1F-72FADE5602B7}" cache="Slicer_LoanStatus" caption="LoanStatus"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624D0C32-0D54-411C-A9E6-B75D0FA2EEB5}" cache="Slicer_Region" caption="Region" style="SlicerStyleLight1 2" rowHeight="1224000"/>
  <slicer name="LoanProduct" xr10:uid="{BE5D0171-8AA2-4F84-92D8-387B7E40FFC1}" cache="Slicer_LoanProduct" caption="LoanProduct" style="SlicerStyleLight1 2" rowHeight="9720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AN PRODUCT" xr10:uid="{D9B6056F-E5E3-426C-95B8-62C69B124398}" cache="Slicer_LoanProduct1" caption="LOAN PRODUCT" style="SlicerStyleDark1 2" rowHeight="3564000"/>
  <slicer name="Region 1" xr10:uid="{0D9C89EC-B7B7-4808-B5DF-49A1CFE7CFFA}" cache="Slicer_Region1" caption="REGION" style="SlicerStyleDark1 2" rowHeight="2808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0AA5317-C39A-4694-89D4-49897A62F926}" name="Table1" displayName="Table1" ref="A3:T40" totalsRowShown="0">
  <autoFilter ref="A3:T40" xr:uid="{A0AA5317-C39A-4694-89D4-49897A62F926}"/>
  <tableColumns count="20">
    <tableColumn id="1" xr3:uid="{A076995C-124A-4ACA-BDF6-E99324DAF49C}" name="LoanID"/>
    <tableColumn id="2" xr3:uid="{026009F2-CF89-4D99-9391-3EFBFB43CD86}" name="BranchName"/>
    <tableColumn id="3" xr3:uid="{D2B3AA8A-6982-4FD4-8993-850D07D68E80}" name="Region"/>
    <tableColumn id="4" xr3:uid="{452F68A0-2DB1-48C0-9437-C5A66424714E}" name="LoanProduct"/>
    <tableColumn id="5" xr3:uid="{9310D096-2D6E-4FD4-ACB7-4E57A973B34B}" name="CustomerID"/>
    <tableColumn id="6" xr3:uid="{1C65FDE7-8762-42FA-8F06-064E13928961}" name="EmploymentType"/>
    <tableColumn id="7" xr3:uid="{8714A719-BC70-4979-A247-7A9843967AB2}" name="CustomerAge"/>
    <tableColumn id="8" xr3:uid="{F94E1D68-61F6-4120-A7C3-2D19967E47FC}" name="Age Bands"/>
    <tableColumn id="9" xr3:uid="{3939FFE4-59A5-467D-BD63-A0D6E08BF9FA}" name="DisbursementDate" dataDxfId="0"/>
    <tableColumn id="10" xr3:uid="{567D8654-28AA-4C8A-841A-CD369F999F78}" name="LoanAmount"/>
    <tableColumn id="11" xr3:uid="{6C28B86C-4D1A-45D8-8096-5FC26F6AA6A4}" name="TenureMonths"/>
    <tableColumn id="12" xr3:uid="{51961400-B3B0-4B8A-802D-B68D7B6BDC7E}" name="InterestRate"/>
    <tableColumn id="13" xr3:uid="{0461268B-530F-4366-9A49-CA0FFDF2AD3B}" name="EMIAmount"/>
    <tableColumn id="14" xr3:uid="{43983682-DD39-4DFB-BE89-D54E58F1CF7E}" name="MonthsElapsed"/>
    <tableColumn id="15" xr3:uid="{4F1D74C5-1830-4854-81E0-87FE820834C9}" name="InstallmentsPaid"/>
    <tableColumn id="16" xr3:uid="{3F3140FB-E55F-4555-AA5D-C814C3DCDB97}" name="AmountCollectedTillDate"/>
    <tableColumn id="17" xr3:uid="{5D2C4158-406E-40E4-9CCA-E11751B75D2F}" name="OutstandingPrincipal"/>
    <tableColumn id="18" xr3:uid="{2D755B0A-1F20-4130-8B8C-86A57D44415E}" name="DPD"/>
    <tableColumn id="19" xr3:uid="{D0B28F70-0934-490E-A737-3AC5EEBBBB0B}" name="LoanStatus"/>
    <tableColumn id="20" xr3:uid="{D21E2AAB-52EE-4A90-AD05-43E9763DD49A}" name="InterestIncomeEarned"/>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CCB74F2-978C-4A7C-BDBA-F1F4C1D409D7}">
  <we:reference id="wa200010215" version="2.0.0.1" store="en-US" storeType="OMEX"/>
  <we:alternateReferences>
    <we:reference id="wa200010215" version="2.0.0.1" store="" storeType="OMEX"/>
  </we:alternateReferences>
  <we:properties>
    <we:property name="bps.codex_control.document_id" value="&quot;3394dde1-22e9-43bd-b274-7f30ae438f7c&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21" Type="http://schemas.openxmlformats.org/officeDocument/2006/relationships/pivotTable" Target="../pivotTables/pivotTable21.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drawing" Target="../drawings/drawing1.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rinterSettings" Target="../printerSettings/printerSettings3.bin"/><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30.xml"/><Relationship Id="rId13" Type="http://schemas.openxmlformats.org/officeDocument/2006/relationships/pivotTable" Target="../pivotTables/pivotTable35.xml"/><Relationship Id="rId3" Type="http://schemas.openxmlformats.org/officeDocument/2006/relationships/pivotTable" Target="../pivotTables/pivotTable25.xml"/><Relationship Id="rId7" Type="http://schemas.openxmlformats.org/officeDocument/2006/relationships/pivotTable" Target="../pivotTables/pivotTable29.xml"/><Relationship Id="rId12" Type="http://schemas.openxmlformats.org/officeDocument/2006/relationships/pivotTable" Target="../pivotTables/pivotTable34.xml"/><Relationship Id="rId2" Type="http://schemas.openxmlformats.org/officeDocument/2006/relationships/pivotTable" Target="../pivotTables/pivotTable24.xml"/><Relationship Id="rId1" Type="http://schemas.openxmlformats.org/officeDocument/2006/relationships/pivotTable" Target="../pivotTables/pivotTable23.xml"/><Relationship Id="rId6" Type="http://schemas.openxmlformats.org/officeDocument/2006/relationships/pivotTable" Target="../pivotTables/pivotTable28.xml"/><Relationship Id="rId11" Type="http://schemas.openxmlformats.org/officeDocument/2006/relationships/pivotTable" Target="../pivotTables/pivotTable33.xml"/><Relationship Id="rId5" Type="http://schemas.openxmlformats.org/officeDocument/2006/relationships/pivotTable" Target="../pivotTables/pivotTable27.xml"/><Relationship Id="rId15" Type="http://schemas.microsoft.com/office/2007/relationships/slicer" Target="../slicers/slicer1.xml"/><Relationship Id="rId10" Type="http://schemas.openxmlformats.org/officeDocument/2006/relationships/pivotTable" Target="../pivotTables/pivotTable32.xml"/><Relationship Id="rId4" Type="http://schemas.openxmlformats.org/officeDocument/2006/relationships/pivotTable" Target="../pivotTables/pivotTable26.xml"/><Relationship Id="rId9" Type="http://schemas.openxmlformats.org/officeDocument/2006/relationships/pivotTable" Target="../pivotTables/pivotTable31.xml"/><Relationship Id="rId14"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0A48CC-C362-4808-B7C6-2C3AC8AAB65E}">
  <dimension ref="A1:C20"/>
  <sheetViews>
    <sheetView workbookViewId="0">
      <selection activeCell="E9" sqref="E9"/>
    </sheetView>
  </sheetViews>
  <sheetFormatPr defaultRowHeight="14.4" x14ac:dyDescent="0.3"/>
  <cols>
    <col min="1" max="1" width="23.88671875" customWidth="1"/>
    <col min="2" max="2" width="40.6640625" customWidth="1"/>
    <col min="3" max="3" width="15.33203125" customWidth="1"/>
  </cols>
  <sheetData>
    <row r="1" spans="1:3" x14ac:dyDescent="0.3">
      <c r="A1" s="1" t="s">
        <v>442</v>
      </c>
      <c r="B1" s="1" t="s">
        <v>443</v>
      </c>
      <c r="C1" s="1" t="s">
        <v>444</v>
      </c>
    </row>
    <row r="2" spans="1:3" x14ac:dyDescent="0.3">
      <c r="A2" s="11" t="s">
        <v>0</v>
      </c>
      <c r="B2" s="12" t="s">
        <v>445</v>
      </c>
      <c r="C2" s="2" t="s">
        <v>62</v>
      </c>
    </row>
    <row r="3" spans="1:3" x14ac:dyDescent="0.3">
      <c r="A3" s="13" t="s">
        <v>1</v>
      </c>
      <c r="B3" s="14" t="s">
        <v>446</v>
      </c>
      <c r="C3" s="6" t="s">
        <v>60</v>
      </c>
    </row>
    <row r="4" spans="1:3" ht="26.4" x14ac:dyDescent="0.3">
      <c r="A4" s="11" t="s">
        <v>2</v>
      </c>
      <c r="B4" s="12" t="s">
        <v>447</v>
      </c>
      <c r="C4" s="2" t="s">
        <v>21</v>
      </c>
    </row>
    <row r="5" spans="1:3" x14ac:dyDescent="0.3">
      <c r="A5" s="13" t="s">
        <v>3</v>
      </c>
      <c r="B5" s="14" t="s">
        <v>448</v>
      </c>
      <c r="C5" s="6" t="s">
        <v>35</v>
      </c>
    </row>
    <row r="6" spans="1:3" x14ac:dyDescent="0.3">
      <c r="A6" s="11" t="s">
        <v>4</v>
      </c>
      <c r="B6" s="12" t="s">
        <v>449</v>
      </c>
      <c r="C6" s="2" t="s">
        <v>450</v>
      </c>
    </row>
    <row r="7" spans="1:3" ht="26.4" x14ac:dyDescent="0.3">
      <c r="A7" s="13" t="s">
        <v>5</v>
      </c>
      <c r="B7" s="14" t="s">
        <v>451</v>
      </c>
      <c r="C7" s="6" t="s">
        <v>24</v>
      </c>
    </row>
    <row r="8" spans="1:3" x14ac:dyDescent="0.3">
      <c r="A8" s="11" t="s">
        <v>6</v>
      </c>
      <c r="B8" s="12" t="s">
        <v>452</v>
      </c>
      <c r="C8" s="2" t="s">
        <v>453</v>
      </c>
    </row>
    <row r="9" spans="1:3" ht="26.4" x14ac:dyDescent="0.3">
      <c r="A9" s="13" t="s">
        <v>7</v>
      </c>
      <c r="B9" s="14" t="s">
        <v>454</v>
      </c>
      <c r="C9" s="6" t="s">
        <v>455</v>
      </c>
    </row>
    <row r="10" spans="1:3" ht="26.4" x14ac:dyDescent="0.3">
      <c r="A10" s="11" t="s">
        <v>8</v>
      </c>
      <c r="B10" s="12" t="s">
        <v>456</v>
      </c>
      <c r="C10" s="2" t="s">
        <v>457</v>
      </c>
    </row>
    <row r="11" spans="1:3" ht="26.4" x14ac:dyDescent="0.3">
      <c r="A11" s="13" t="s">
        <v>9</v>
      </c>
      <c r="B11" s="14" t="s">
        <v>458</v>
      </c>
      <c r="C11" s="6" t="s">
        <v>459</v>
      </c>
    </row>
    <row r="12" spans="1:3" x14ac:dyDescent="0.3">
      <c r="A12" s="11" t="s">
        <v>10</v>
      </c>
      <c r="B12" s="12" t="s">
        <v>460</v>
      </c>
      <c r="C12" s="2" t="s">
        <v>461</v>
      </c>
    </row>
    <row r="13" spans="1:3" ht="52.8" x14ac:dyDescent="0.3">
      <c r="A13" s="13" t="s">
        <v>11</v>
      </c>
      <c r="B13" s="14" t="s">
        <v>462</v>
      </c>
      <c r="C13" s="6" t="s">
        <v>463</v>
      </c>
    </row>
    <row r="14" spans="1:3" ht="39.6" x14ac:dyDescent="0.3">
      <c r="A14" s="11" t="s">
        <v>12</v>
      </c>
      <c r="B14" s="12" t="s">
        <v>464</v>
      </c>
      <c r="C14" s="2" t="s">
        <v>465</v>
      </c>
    </row>
    <row r="15" spans="1:3" ht="26.4" x14ac:dyDescent="0.3">
      <c r="A15" s="13" t="s">
        <v>13</v>
      </c>
      <c r="B15" s="14" t="s">
        <v>466</v>
      </c>
      <c r="C15" s="6" t="s">
        <v>467</v>
      </c>
    </row>
    <row r="16" spans="1:3" ht="39.6" x14ac:dyDescent="0.3">
      <c r="A16" s="11" t="s">
        <v>14</v>
      </c>
      <c r="B16" s="12" t="s">
        <v>468</v>
      </c>
      <c r="C16" s="2" t="s">
        <v>469</v>
      </c>
    </row>
    <row r="17" spans="1:3" ht="52.8" x14ac:dyDescent="0.3">
      <c r="A17" s="13" t="s">
        <v>15</v>
      </c>
      <c r="B17" s="14" t="s">
        <v>470</v>
      </c>
      <c r="C17" s="6" t="s">
        <v>471</v>
      </c>
    </row>
    <row r="18" spans="1:3" ht="39.6" x14ac:dyDescent="0.3">
      <c r="A18" s="11" t="s">
        <v>16</v>
      </c>
      <c r="B18" s="12" t="s">
        <v>472</v>
      </c>
      <c r="C18" s="2" t="s">
        <v>473</v>
      </c>
    </row>
    <row r="19" spans="1:3" ht="39.6" x14ac:dyDescent="0.3">
      <c r="A19" s="13" t="s">
        <v>17</v>
      </c>
      <c r="B19" s="14" t="s">
        <v>474</v>
      </c>
      <c r="C19" s="6" t="s">
        <v>47</v>
      </c>
    </row>
    <row r="20" spans="1:3" ht="52.8" x14ac:dyDescent="0.3">
      <c r="A20" s="11" t="s">
        <v>18</v>
      </c>
      <c r="B20" s="12" t="s">
        <v>475</v>
      </c>
      <c r="C20" s="2" t="s">
        <v>476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CBF36-45EF-4CFA-8B64-601DA79380C8}">
  <dimension ref="A1:T40"/>
  <sheetViews>
    <sheetView topLeftCell="N1" workbookViewId="0">
      <selection activeCell="A3" sqref="A3:T40"/>
    </sheetView>
  </sheetViews>
  <sheetFormatPr defaultRowHeight="14.4" x14ac:dyDescent="0.3"/>
  <cols>
    <col min="1" max="1" width="9.33203125" bestFit="1" customWidth="1"/>
    <col min="2" max="2" width="14.77734375" bestFit="1" customWidth="1"/>
    <col min="3" max="3" width="9" bestFit="1" customWidth="1"/>
    <col min="4" max="4" width="22.109375" bestFit="1" customWidth="1"/>
    <col min="5" max="5" width="13.109375" bestFit="1" customWidth="1"/>
    <col min="6" max="6" width="18.21875" bestFit="1" customWidth="1"/>
    <col min="7" max="7" width="14.5546875" bestFit="1" customWidth="1"/>
    <col min="8" max="8" width="12" bestFit="1" customWidth="1"/>
    <col min="9" max="9" width="18.77734375" bestFit="1" customWidth="1"/>
    <col min="10" max="10" width="14.21875" bestFit="1" customWidth="1"/>
    <col min="11" max="11" width="15.77734375" bestFit="1" customWidth="1"/>
    <col min="12" max="13" width="13.44140625" bestFit="1" customWidth="1"/>
    <col min="14" max="14" width="16.33203125" bestFit="1" customWidth="1"/>
    <col min="15" max="15" width="17.21875" bestFit="1" customWidth="1"/>
    <col min="16" max="16" width="24.44140625" bestFit="1" customWidth="1"/>
    <col min="17" max="17" width="21" bestFit="1" customWidth="1"/>
    <col min="18" max="18" width="9" bestFit="1" customWidth="1"/>
    <col min="19" max="19" width="12.5546875" bestFit="1" customWidth="1"/>
    <col min="20" max="20" width="22.109375" bestFit="1" customWidth="1"/>
  </cols>
  <sheetData>
    <row r="1" spans="1:20" x14ac:dyDescent="0.3">
      <c r="A1" s="38" t="s">
        <v>557</v>
      </c>
    </row>
    <row r="3" spans="1:20" x14ac:dyDescent="0.3">
      <c r="A3" t="s">
        <v>0</v>
      </c>
      <c r="B3" t="s">
        <v>1</v>
      </c>
      <c r="C3" t="s">
        <v>2</v>
      </c>
      <c r="D3" t="s">
        <v>3</v>
      </c>
      <c r="E3" t="s">
        <v>4</v>
      </c>
      <c r="F3" t="s">
        <v>5</v>
      </c>
      <c r="G3" t="s">
        <v>6</v>
      </c>
      <c r="H3" t="s">
        <v>536</v>
      </c>
      <c r="I3" t="s">
        <v>7</v>
      </c>
      <c r="J3" t="s">
        <v>8</v>
      </c>
      <c r="K3" t="s">
        <v>9</v>
      </c>
      <c r="L3" t="s">
        <v>10</v>
      </c>
      <c r="M3" t="s">
        <v>11</v>
      </c>
      <c r="N3" t="s">
        <v>12</v>
      </c>
      <c r="O3" t="s">
        <v>13</v>
      </c>
      <c r="P3" t="s">
        <v>14</v>
      </c>
      <c r="Q3" t="s">
        <v>15</v>
      </c>
      <c r="R3" t="s">
        <v>16</v>
      </c>
      <c r="S3" t="s">
        <v>17</v>
      </c>
      <c r="T3" t="s">
        <v>18</v>
      </c>
    </row>
    <row r="4" spans="1:20" x14ac:dyDescent="0.3">
      <c r="A4" t="s">
        <v>440</v>
      </c>
      <c r="B4" t="s">
        <v>33</v>
      </c>
      <c r="C4" t="s">
        <v>34</v>
      </c>
      <c r="D4" t="s">
        <v>22</v>
      </c>
      <c r="E4" t="s">
        <v>441</v>
      </c>
      <c r="F4" t="s">
        <v>42</v>
      </c>
      <c r="G4">
        <v>58</v>
      </c>
      <c r="H4" t="s">
        <v>540</v>
      </c>
      <c r="I4" s="37">
        <v>45326</v>
      </c>
      <c r="J4">
        <v>1158000</v>
      </c>
      <c r="K4">
        <v>48</v>
      </c>
      <c r="L4">
        <v>10</v>
      </c>
      <c r="M4">
        <v>29370</v>
      </c>
      <c r="N4">
        <v>5</v>
      </c>
      <c r="O4">
        <v>4</v>
      </c>
      <c r="P4">
        <v>117480</v>
      </c>
      <c r="Q4">
        <v>1078129</v>
      </c>
      <c r="R4">
        <v>35</v>
      </c>
      <c r="S4" t="s">
        <v>47</v>
      </c>
      <c r="T4">
        <v>37609</v>
      </c>
    </row>
    <row r="5" spans="1:20" x14ac:dyDescent="0.3">
      <c r="A5" t="s">
        <v>432</v>
      </c>
      <c r="B5" t="s">
        <v>52</v>
      </c>
      <c r="C5" t="s">
        <v>53</v>
      </c>
      <c r="D5" t="s">
        <v>35</v>
      </c>
      <c r="E5" t="s">
        <v>433</v>
      </c>
      <c r="F5" t="s">
        <v>42</v>
      </c>
      <c r="G5">
        <v>51</v>
      </c>
      <c r="H5" t="s">
        <v>540</v>
      </c>
      <c r="I5" s="37">
        <v>45417</v>
      </c>
      <c r="J5">
        <v>163000</v>
      </c>
      <c r="K5">
        <v>12</v>
      </c>
      <c r="L5">
        <v>15.6</v>
      </c>
      <c r="M5">
        <v>14758</v>
      </c>
      <c r="N5">
        <v>2</v>
      </c>
      <c r="O5">
        <v>1</v>
      </c>
      <c r="P5">
        <v>14758</v>
      </c>
      <c r="Q5">
        <v>150361</v>
      </c>
      <c r="R5">
        <v>13</v>
      </c>
      <c r="S5" t="s">
        <v>47</v>
      </c>
      <c r="T5">
        <v>2119</v>
      </c>
    </row>
    <row r="6" spans="1:20" x14ac:dyDescent="0.3">
      <c r="A6" t="s">
        <v>412</v>
      </c>
      <c r="B6" t="s">
        <v>80</v>
      </c>
      <c r="C6" t="s">
        <v>53</v>
      </c>
      <c r="D6" t="s">
        <v>35</v>
      </c>
      <c r="E6" t="s">
        <v>413</v>
      </c>
      <c r="F6" t="s">
        <v>24</v>
      </c>
      <c r="G6">
        <v>27</v>
      </c>
      <c r="H6" t="s">
        <v>537</v>
      </c>
      <c r="I6" s="37">
        <v>45307</v>
      </c>
      <c r="J6">
        <v>450000</v>
      </c>
      <c r="K6">
        <v>24</v>
      </c>
      <c r="L6">
        <v>14.4</v>
      </c>
      <c r="M6">
        <v>21691</v>
      </c>
      <c r="N6">
        <v>6</v>
      </c>
      <c r="O6">
        <v>5</v>
      </c>
      <c r="P6">
        <v>108455</v>
      </c>
      <c r="Q6">
        <v>366567</v>
      </c>
      <c r="R6">
        <v>28</v>
      </c>
      <c r="S6" t="s">
        <v>47</v>
      </c>
      <c r="T6">
        <v>25022</v>
      </c>
    </row>
    <row r="7" spans="1:20" x14ac:dyDescent="0.3">
      <c r="A7" t="s">
        <v>410</v>
      </c>
      <c r="B7" t="s">
        <v>40</v>
      </c>
      <c r="C7" t="s">
        <v>34</v>
      </c>
      <c r="D7" t="s">
        <v>35</v>
      </c>
      <c r="E7" t="s">
        <v>411</v>
      </c>
      <c r="F7" t="s">
        <v>42</v>
      </c>
      <c r="G7">
        <v>42</v>
      </c>
      <c r="H7" t="s">
        <v>539</v>
      </c>
      <c r="I7" s="37">
        <v>45303</v>
      </c>
      <c r="J7">
        <v>174000</v>
      </c>
      <c r="K7">
        <v>12</v>
      </c>
      <c r="L7">
        <v>16.399999999999999</v>
      </c>
      <c r="M7">
        <v>15820</v>
      </c>
      <c r="N7">
        <v>6</v>
      </c>
      <c r="O7">
        <v>3</v>
      </c>
      <c r="P7">
        <v>47460</v>
      </c>
      <c r="Q7">
        <v>133120</v>
      </c>
      <c r="R7">
        <v>76</v>
      </c>
      <c r="S7" t="s">
        <v>47</v>
      </c>
      <c r="T7">
        <v>6580</v>
      </c>
    </row>
    <row r="8" spans="1:20" x14ac:dyDescent="0.3">
      <c r="A8" t="s">
        <v>406</v>
      </c>
      <c r="B8" t="s">
        <v>20</v>
      </c>
      <c r="C8" t="s">
        <v>21</v>
      </c>
      <c r="D8" t="s">
        <v>49</v>
      </c>
      <c r="E8" t="s">
        <v>407</v>
      </c>
      <c r="F8" t="s">
        <v>24</v>
      </c>
      <c r="G8">
        <v>46</v>
      </c>
      <c r="H8" t="s">
        <v>539</v>
      </c>
      <c r="I8" s="37">
        <v>45333</v>
      </c>
      <c r="J8">
        <v>360000</v>
      </c>
      <c r="K8">
        <v>60</v>
      </c>
      <c r="L8">
        <v>11.5</v>
      </c>
      <c r="M8">
        <v>7917</v>
      </c>
      <c r="N8">
        <v>5</v>
      </c>
      <c r="O8">
        <v>4</v>
      </c>
      <c r="P8">
        <v>31668</v>
      </c>
      <c r="Q8">
        <v>341872</v>
      </c>
      <c r="R8">
        <v>18</v>
      </c>
      <c r="S8" t="s">
        <v>47</v>
      </c>
      <c r="T8">
        <v>13540</v>
      </c>
    </row>
    <row r="9" spans="1:20" x14ac:dyDescent="0.3">
      <c r="A9" t="s">
        <v>392</v>
      </c>
      <c r="B9" t="s">
        <v>40</v>
      </c>
      <c r="C9" t="s">
        <v>34</v>
      </c>
      <c r="D9" t="s">
        <v>57</v>
      </c>
      <c r="E9" t="s">
        <v>393</v>
      </c>
      <c r="F9" t="s">
        <v>24</v>
      </c>
      <c r="G9">
        <v>29</v>
      </c>
      <c r="H9" t="s">
        <v>537</v>
      </c>
      <c r="I9" s="37">
        <v>45393</v>
      </c>
      <c r="J9">
        <v>1705000</v>
      </c>
      <c r="K9">
        <v>36</v>
      </c>
      <c r="L9">
        <v>14.3</v>
      </c>
      <c r="M9">
        <v>58522</v>
      </c>
      <c r="N9">
        <v>3</v>
      </c>
      <c r="O9">
        <v>2</v>
      </c>
      <c r="P9">
        <v>117044</v>
      </c>
      <c r="Q9">
        <v>1628137</v>
      </c>
      <c r="R9">
        <v>8</v>
      </c>
      <c r="S9" t="s">
        <v>47</v>
      </c>
      <c r="T9">
        <v>40181</v>
      </c>
    </row>
    <row r="10" spans="1:20" x14ac:dyDescent="0.3">
      <c r="A10" t="s">
        <v>45</v>
      </c>
      <c r="B10" t="s">
        <v>33</v>
      </c>
      <c r="C10" t="s">
        <v>34</v>
      </c>
      <c r="D10" t="s">
        <v>29</v>
      </c>
      <c r="E10" t="s">
        <v>46</v>
      </c>
      <c r="F10" t="s">
        <v>42</v>
      </c>
      <c r="G10">
        <v>54</v>
      </c>
      <c r="H10" t="s">
        <v>540</v>
      </c>
      <c r="I10" s="37">
        <v>45307</v>
      </c>
      <c r="J10">
        <v>28000</v>
      </c>
      <c r="K10">
        <v>24</v>
      </c>
      <c r="L10">
        <v>9.3000000000000007</v>
      </c>
      <c r="M10">
        <v>1283</v>
      </c>
      <c r="N10">
        <v>6</v>
      </c>
      <c r="O10">
        <v>3</v>
      </c>
      <c r="P10">
        <v>3849</v>
      </c>
      <c r="Q10">
        <v>24777</v>
      </c>
      <c r="R10">
        <v>77</v>
      </c>
      <c r="S10" t="s">
        <v>47</v>
      </c>
      <c r="T10">
        <v>626</v>
      </c>
    </row>
    <row r="11" spans="1:20" x14ac:dyDescent="0.3">
      <c r="A11" t="s">
        <v>366</v>
      </c>
      <c r="B11" t="s">
        <v>27</v>
      </c>
      <c r="C11" t="s">
        <v>28</v>
      </c>
      <c r="D11" t="s">
        <v>57</v>
      </c>
      <c r="E11" t="s">
        <v>367</v>
      </c>
      <c r="F11" t="s">
        <v>24</v>
      </c>
      <c r="G11">
        <v>34</v>
      </c>
      <c r="H11" t="s">
        <v>538</v>
      </c>
      <c r="I11" s="37">
        <v>45373</v>
      </c>
      <c r="J11">
        <v>791000</v>
      </c>
      <c r="K11">
        <v>36</v>
      </c>
      <c r="L11">
        <v>16</v>
      </c>
      <c r="M11">
        <v>27809</v>
      </c>
      <c r="N11">
        <v>4</v>
      </c>
      <c r="O11">
        <v>2</v>
      </c>
      <c r="P11">
        <v>55618</v>
      </c>
      <c r="Q11">
        <v>756245</v>
      </c>
      <c r="R11">
        <v>51</v>
      </c>
      <c r="S11" t="s">
        <v>47</v>
      </c>
      <c r="T11">
        <v>20863</v>
      </c>
    </row>
    <row r="12" spans="1:20" x14ac:dyDescent="0.3">
      <c r="A12" t="s">
        <v>360</v>
      </c>
      <c r="B12" t="s">
        <v>80</v>
      </c>
      <c r="C12" t="s">
        <v>53</v>
      </c>
      <c r="D12" t="s">
        <v>35</v>
      </c>
      <c r="E12" t="s">
        <v>361</v>
      </c>
      <c r="F12" t="s">
        <v>24</v>
      </c>
      <c r="G12">
        <v>33</v>
      </c>
      <c r="H12" t="s">
        <v>538</v>
      </c>
      <c r="I12" s="37">
        <v>45345</v>
      </c>
      <c r="J12">
        <v>474000</v>
      </c>
      <c r="K12">
        <v>12</v>
      </c>
      <c r="L12">
        <v>14.3</v>
      </c>
      <c r="M12">
        <v>42626</v>
      </c>
      <c r="N12">
        <v>5</v>
      </c>
      <c r="O12">
        <v>3</v>
      </c>
      <c r="P12">
        <v>127878</v>
      </c>
      <c r="Q12">
        <v>361740</v>
      </c>
      <c r="R12">
        <v>75</v>
      </c>
      <c r="S12" t="s">
        <v>47</v>
      </c>
      <c r="T12">
        <v>15618</v>
      </c>
    </row>
    <row r="13" spans="1:20" x14ac:dyDescent="0.3">
      <c r="A13" t="s">
        <v>56</v>
      </c>
      <c r="B13" t="s">
        <v>20</v>
      </c>
      <c r="C13" t="s">
        <v>21</v>
      </c>
      <c r="D13" t="s">
        <v>57</v>
      </c>
      <c r="E13" t="s">
        <v>58</v>
      </c>
      <c r="F13" t="s">
        <v>24</v>
      </c>
      <c r="G13">
        <v>55</v>
      </c>
      <c r="H13" t="s">
        <v>540</v>
      </c>
      <c r="I13" s="37">
        <v>45404</v>
      </c>
      <c r="J13">
        <v>1931000</v>
      </c>
      <c r="K13">
        <v>48</v>
      </c>
      <c r="L13">
        <v>14.4</v>
      </c>
      <c r="M13">
        <v>53156</v>
      </c>
      <c r="N13">
        <v>3</v>
      </c>
      <c r="O13">
        <v>2</v>
      </c>
      <c r="P13">
        <v>106312</v>
      </c>
      <c r="Q13">
        <v>1870673</v>
      </c>
      <c r="R13">
        <v>32</v>
      </c>
      <c r="S13" t="s">
        <v>47</v>
      </c>
      <c r="T13">
        <v>45985</v>
      </c>
    </row>
    <row r="14" spans="1:20" x14ac:dyDescent="0.3">
      <c r="A14" t="s">
        <v>346</v>
      </c>
      <c r="B14" t="s">
        <v>52</v>
      </c>
      <c r="C14" t="s">
        <v>53</v>
      </c>
      <c r="D14" t="s">
        <v>57</v>
      </c>
      <c r="E14" t="s">
        <v>347</v>
      </c>
      <c r="F14" t="s">
        <v>42</v>
      </c>
      <c r="G14">
        <v>27</v>
      </c>
      <c r="H14" t="s">
        <v>537</v>
      </c>
      <c r="I14" s="37">
        <v>45365</v>
      </c>
      <c r="J14">
        <v>1040000</v>
      </c>
      <c r="K14">
        <v>36</v>
      </c>
      <c r="L14">
        <v>15.9</v>
      </c>
      <c r="M14">
        <v>36512</v>
      </c>
      <c r="N14">
        <v>4</v>
      </c>
      <c r="O14">
        <v>2</v>
      </c>
      <c r="P14">
        <v>73024</v>
      </c>
      <c r="Q14">
        <v>994235</v>
      </c>
      <c r="R14">
        <v>48</v>
      </c>
      <c r="S14" t="s">
        <v>47</v>
      </c>
      <c r="T14">
        <v>27259</v>
      </c>
    </row>
    <row r="15" spans="1:20" x14ac:dyDescent="0.3">
      <c r="A15" t="s">
        <v>344</v>
      </c>
      <c r="B15" t="s">
        <v>27</v>
      </c>
      <c r="C15" t="s">
        <v>28</v>
      </c>
      <c r="D15" t="s">
        <v>35</v>
      </c>
      <c r="E15" t="s">
        <v>345</v>
      </c>
      <c r="F15" t="s">
        <v>24</v>
      </c>
      <c r="G15">
        <v>45</v>
      </c>
      <c r="H15" t="s">
        <v>539</v>
      </c>
      <c r="I15" s="37">
        <v>45295</v>
      </c>
      <c r="J15">
        <v>423000</v>
      </c>
      <c r="K15">
        <v>12</v>
      </c>
      <c r="L15">
        <v>14.2</v>
      </c>
      <c r="M15">
        <v>38020</v>
      </c>
      <c r="N15">
        <v>6</v>
      </c>
      <c r="O15">
        <v>5</v>
      </c>
      <c r="P15">
        <v>190100</v>
      </c>
      <c r="Q15">
        <v>253975</v>
      </c>
      <c r="R15">
        <v>35</v>
      </c>
      <c r="S15" t="s">
        <v>47</v>
      </c>
      <c r="T15">
        <v>21075</v>
      </c>
    </row>
    <row r="16" spans="1:20" x14ac:dyDescent="0.3">
      <c r="A16" t="s">
        <v>64</v>
      </c>
      <c r="B16" t="s">
        <v>65</v>
      </c>
      <c r="C16" t="s">
        <v>28</v>
      </c>
      <c r="D16" t="s">
        <v>57</v>
      </c>
      <c r="E16" t="s">
        <v>66</v>
      </c>
      <c r="F16" t="s">
        <v>31</v>
      </c>
      <c r="G16">
        <v>36</v>
      </c>
      <c r="H16" t="s">
        <v>538</v>
      </c>
      <c r="I16" s="37">
        <v>45377</v>
      </c>
      <c r="J16">
        <v>1926000</v>
      </c>
      <c r="K16">
        <v>60</v>
      </c>
      <c r="L16">
        <v>14.1</v>
      </c>
      <c r="M16">
        <v>44915</v>
      </c>
      <c r="N16">
        <v>4</v>
      </c>
      <c r="O16">
        <v>2</v>
      </c>
      <c r="P16">
        <v>89830</v>
      </c>
      <c r="Q16">
        <v>1881170</v>
      </c>
      <c r="R16">
        <v>48</v>
      </c>
      <c r="S16" t="s">
        <v>47</v>
      </c>
      <c r="T16">
        <v>45000</v>
      </c>
    </row>
    <row r="17" spans="1:20" x14ac:dyDescent="0.3">
      <c r="A17" t="s">
        <v>330</v>
      </c>
      <c r="B17" t="s">
        <v>60</v>
      </c>
      <c r="C17" t="s">
        <v>21</v>
      </c>
      <c r="D17" t="s">
        <v>35</v>
      </c>
      <c r="E17" t="s">
        <v>331</v>
      </c>
      <c r="F17" t="s">
        <v>42</v>
      </c>
      <c r="G17">
        <v>56</v>
      </c>
      <c r="H17" t="s">
        <v>540</v>
      </c>
      <c r="I17" s="37">
        <v>45390</v>
      </c>
      <c r="J17">
        <v>381000</v>
      </c>
      <c r="K17">
        <v>24</v>
      </c>
      <c r="L17">
        <v>17.399999999999999</v>
      </c>
      <c r="M17">
        <v>18911</v>
      </c>
      <c r="N17">
        <v>3</v>
      </c>
      <c r="O17">
        <v>2</v>
      </c>
      <c r="P17">
        <v>37822</v>
      </c>
      <c r="Q17">
        <v>354033</v>
      </c>
      <c r="R17">
        <v>9</v>
      </c>
      <c r="S17" t="s">
        <v>47</v>
      </c>
      <c r="T17">
        <v>10855</v>
      </c>
    </row>
    <row r="18" spans="1:20" x14ac:dyDescent="0.3">
      <c r="A18" t="s">
        <v>326</v>
      </c>
      <c r="B18" t="s">
        <v>60</v>
      </c>
      <c r="C18" t="s">
        <v>21</v>
      </c>
      <c r="D18" t="s">
        <v>49</v>
      </c>
      <c r="E18" t="s">
        <v>327</v>
      </c>
      <c r="F18" t="s">
        <v>31</v>
      </c>
      <c r="G18">
        <v>57</v>
      </c>
      <c r="H18" t="s">
        <v>540</v>
      </c>
      <c r="I18" s="37">
        <v>45326</v>
      </c>
      <c r="J18">
        <v>102000</v>
      </c>
      <c r="K18">
        <v>36</v>
      </c>
      <c r="L18">
        <v>12.7</v>
      </c>
      <c r="M18">
        <v>3422</v>
      </c>
      <c r="N18">
        <v>5</v>
      </c>
      <c r="O18">
        <v>3</v>
      </c>
      <c r="P18">
        <v>10266</v>
      </c>
      <c r="Q18">
        <v>94898</v>
      </c>
      <c r="R18">
        <v>63</v>
      </c>
      <c r="S18" t="s">
        <v>47</v>
      </c>
      <c r="T18">
        <v>3164</v>
      </c>
    </row>
    <row r="19" spans="1:20" x14ac:dyDescent="0.3">
      <c r="A19" t="s">
        <v>312</v>
      </c>
      <c r="B19" t="s">
        <v>65</v>
      </c>
      <c r="C19" t="s">
        <v>28</v>
      </c>
      <c r="D19" t="s">
        <v>35</v>
      </c>
      <c r="E19" t="s">
        <v>313</v>
      </c>
      <c r="F19" t="s">
        <v>42</v>
      </c>
      <c r="G19">
        <v>34</v>
      </c>
      <c r="H19" t="s">
        <v>538</v>
      </c>
      <c r="I19" s="37">
        <v>45374</v>
      </c>
      <c r="J19">
        <v>288000</v>
      </c>
      <c r="K19">
        <v>12</v>
      </c>
      <c r="L19">
        <v>17.7</v>
      </c>
      <c r="M19">
        <v>26363</v>
      </c>
      <c r="N19">
        <v>4</v>
      </c>
      <c r="O19">
        <v>3</v>
      </c>
      <c r="P19">
        <v>79089</v>
      </c>
      <c r="Q19">
        <v>220672</v>
      </c>
      <c r="R19">
        <v>43</v>
      </c>
      <c r="S19" t="s">
        <v>47</v>
      </c>
      <c r="T19">
        <v>11761</v>
      </c>
    </row>
    <row r="20" spans="1:20" x14ac:dyDescent="0.3">
      <c r="A20" t="s">
        <v>308</v>
      </c>
      <c r="B20" t="s">
        <v>20</v>
      </c>
      <c r="C20" t="s">
        <v>21</v>
      </c>
      <c r="D20" t="s">
        <v>49</v>
      </c>
      <c r="E20" t="s">
        <v>309</v>
      </c>
      <c r="F20" t="s">
        <v>31</v>
      </c>
      <c r="G20">
        <v>49</v>
      </c>
      <c r="H20" t="s">
        <v>539</v>
      </c>
      <c r="I20" s="37">
        <v>45439</v>
      </c>
      <c r="J20">
        <v>417000</v>
      </c>
      <c r="K20">
        <v>24</v>
      </c>
      <c r="L20">
        <v>11.1</v>
      </c>
      <c r="M20">
        <v>19455</v>
      </c>
      <c r="N20">
        <v>2</v>
      </c>
      <c r="O20">
        <v>1</v>
      </c>
      <c r="P20">
        <v>19455</v>
      </c>
      <c r="Q20">
        <v>401402</v>
      </c>
      <c r="R20">
        <v>14</v>
      </c>
      <c r="S20" t="s">
        <v>47</v>
      </c>
      <c r="T20">
        <v>3857</v>
      </c>
    </row>
    <row r="21" spans="1:20" x14ac:dyDescent="0.3">
      <c r="A21" t="s">
        <v>292</v>
      </c>
      <c r="B21" t="s">
        <v>80</v>
      </c>
      <c r="C21" t="s">
        <v>53</v>
      </c>
      <c r="D21" t="s">
        <v>35</v>
      </c>
      <c r="E21" t="s">
        <v>293</v>
      </c>
      <c r="F21" t="s">
        <v>24</v>
      </c>
      <c r="G21">
        <v>43</v>
      </c>
      <c r="H21" t="s">
        <v>539</v>
      </c>
      <c r="I21" s="37">
        <v>45338</v>
      </c>
      <c r="J21">
        <v>147000</v>
      </c>
      <c r="K21">
        <v>36</v>
      </c>
      <c r="L21">
        <v>14.9</v>
      </c>
      <c r="M21">
        <v>5089</v>
      </c>
      <c r="N21">
        <v>5</v>
      </c>
      <c r="O21">
        <v>4</v>
      </c>
      <c r="P21">
        <v>20356</v>
      </c>
      <c r="Q21">
        <v>133701</v>
      </c>
      <c r="R21">
        <v>40</v>
      </c>
      <c r="S21" t="s">
        <v>47</v>
      </c>
      <c r="T21">
        <v>7057</v>
      </c>
    </row>
    <row r="22" spans="1:20" x14ac:dyDescent="0.3">
      <c r="A22" t="s">
        <v>288</v>
      </c>
      <c r="B22" t="s">
        <v>80</v>
      </c>
      <c r="C22" t="s">
        <v>53</v>
      </c>
      <c r="D22" t="s">
        <v>35</v>
      </c>
      <c r="E22" t="s">
        <v>289</v>
      </c>
      <c r="F22" t="s">
        <v>31</v>
      </c>
      <c r="G22">
        <v>35</v>
      </c>
      <c r="H22" t="s">
        <v>538</v>
      </c>
      <c r="I22" s="37">
        <v>45346</v>
      </c>
      <c r="J22">
        <v>250000</v>
      </c>
      <c r="K22">
        <v>24</v>
      </c>
      <c r="L22">
        <v>14.4</v>
      </c>
      <c r="M22">
        <v>12051</v>
      </c>
      <c r="N22">
        <v>5</v>
      </c>
      <c r="O22">
        <v>3</v>
      </c>
      <c r="P22">
        <v>36153</v>
      </c>
      <c r="Q22">
        <v>222521</v>
      </c>
      <c r="R22">
        <v>59</v>
      </c>
      <c r="S22" t="s">
        <v>47</v>
      </c>
      <c r="T22">
        <v>8674</v>
      </c>
    </row>
    <row r="23" spans="1:20" x14ac:dyDescent="0.3">
      <c r="A23" t="s">
        <v>276</v>
      </c>
      <c r="B23" t="s">
        <v>27</v>
      </c>
      <c r="C23" t="s">
        <v>28</v>
      </c>
      <c r="D23" t="s">
        <v>22</v>
      </c>
      <c r="E23" t="s">
        <v>277</v>
      </c>
      <c r="F23" t="s">
        <v>42</v>
      </c>
      <c r="G23">
        <v>50</v>
      </c>
      <c r="H23" t="s">
        <v>539</v>
      </c>
      <c r="I23" s="37">
        <v>45419</v>
      </c>
      <c r="J23">
        <v>669000</v>
      </c>
      <c r="K23">
        <v>36</v>
      </c>
      <c r="L23">
        <v>10.1</v>
      </c>
      <c r="M23">
        <v>21618</v>
      </c>
      <c r="N23">
        <v>2</v>
      </c>
      <c r="O23">
        <v>0</v>
      </c>
      <c r="P23">
        <v>0</v>
      </c>
      <c r="Q23">
        <v>669000</v>
      </c>
      <c r="R23">
        <v>84</v>
      </c>
      <c r="S23" t="s">
        <v>47</v>
      </c>
      <c r="T23">
        <v>0</v>
      </c>
    </row>
    <row r="24" spans="1:20" x14ac:dyDescent="0.3">
      <c r="A24" t="s">
        <v>82</v>
      </c>
      <c r="B24" t="s">
        <v>60</v>
      </c>
      <c r="C24" t="s">
        <v>21</v>
      </c>
      <c r="D24" t="s">
        <v>49</v>
      </c>
      <c r="E24" t="s">
        <v>83</v>
      </c>
      <c r="F24" t="s">
        <v>31</v>
      </c>
      <c r="G24">
        <v>43</v>
      </c>
      <c r="H24" t="s">
        <v>539</v>
      </c>
      <c r="I24" s="37">
        <v>45457</v>
      </c>
      <c r="J24">
        <v>661000</v>
      </c>
      <c r="K24">
        <v>48</v>
      </c>
      <c r="L24">
        <v>14.9</v>
      </c>
      <c r="M24">
        <v>18363</v>
      </c>
      <c r="N24">
        <v>1</v>
      </c>
      <c r="O24">
        <v>0</v>
      </c>
      <c r="P24">
        <v>0</v>
      </c>
      <c r="Q24">
        <v>661000</v>
      </c>
      <c r="R24">
        <v>10</v>
      </c>
      <c r="S24" t="s">
        <v>47</v>
      </c>
      <c r="T24">
        <v>0</v>
      </c>
    </row>
    <row r="25" spans="1:20" x14ac:dyDescent="0.3">
      <c r="A25" t="s">
        <v>274</v>
      </c>
      <c r="B25" t="s">
        <v>60</v>
      </c>
      <c r="C25" t="s">
        <v>21</v>
      </c>
      <c r="D25" t="s">
        <v>35</v>
      </c>
      <c r="E25" t="s">
        <v>275</v>
      </c>
      <c r="F25" t="s">
        <v>31</v>
      </c>
      <c r="G25">
        <v>48</v>
      </c>
      <c r="H25" t="s">
        <v>539</v>
      </c>
      <c r="I25" s="37">
        <v>45342</v>
      </c>
      <c r="J25">
        <v>143000</v>
      </c>
      <c r="K25">
        <v>24</v>
      </c>
      <c r="L25">
        <v>16.8</v>
      </c>
      <c r="M25">
        <v>7057</v>
      </c>
      <c r="N25">
        <v>5</v>
      </c>
      <c r="O25">
        <v>3</v>
      </c>
      <c r="P25">
        <v>21171</v>
      </c>
      <c r="Q25">
        <v>127623</v>
      </c>
      <c r="R25">
        <v>57</v>
      </c>
      <c r="S25" t="s">
        <v>47</v>
      </c>
      <c r="T25">
        <v>5794</v>
      </c>
    </row>
    <row r="26" spans="1:20" x14ac:dyDescent="0.3">
      <c r="A26" t="s">
        <v>260</v>
      </c>
      <c r="B26" t="s">
        <v>20</v>
      </c>
      <c r="C26" t="s">
        <v>21</v>
      </c>
      <c r="D26" t="s">
        <v>22</v>
      </c>
      <c r="E26" t="s">
        <v>261</v>
      </c>
      <c r="F26" t="s">
        <v>24</v>
      </c>
      <c r="G26">
        <v>50</v>
      </c>
      <c r="H26" t="s">
        <v>539</v>
      </c>
      <c r="I26" s="37">
        <v>45464</v>
      </c>
      <c r="J26">
        <v>735000</v>
      </c>
      <c r="K26">
        <v>48</v>
      </c>
      <c r="L26">
        <v>12.1</v>
      </c>
      <c r="M26">
        <v>19391</v>
      </c>
      <c r="N26">
        <v>1</v>
      </c>
      <c r="O26">
        <v>0</v>
      </c>
      <c r="P26">
        <v>0</v>
      </c>
      <c r="Q26">
        <v>735000</v>
      </c>
      <c r="R26">
        <v>68</v>
      </c>
      <c r="S26" t="s">
        <v>47</v>
      </c>
      <c r="T26">
        <v>0</v>
      </c>
    </row>
    <row r="27" spans="1:20" x14ac:dyDescent="0.3">
      <c r="A27" t="s">
        <v>254</v>
      </c>
      <c r="B27" t="s">
        <v>52</v>
      </c>
      <c r="C27" t="s">
        <v>53</v>
      </c>
      <c r="D27" t="s">
        <v>57</v>
      </c>
      <c r="E27" t="s">
        <v>255</v>
      </c>
      <c r="F27" t="s">
        <v>42</v>
      </c>
      <c r="G27">
        <v>40</v>
      </c>
      <c r="H27" t="s">
        <v>538</v>
      </c>
      <c r="I27" s="37">
        <v>45363</v>
      </c>
      <c r="J27">
        <v>435000</v>
      </c>
      <c r="K27">
        <v>60</v>
      </c>
      <c r="L27">
        <v>13.4</v>
      </c>
      <c r="M27">
        <v>9987</v>
      </c>
      <c r="N27">
        <v>4</v>
      </c>
      <c r="O27">
        <v>3</v>
      </c>
      <c r="P27">
        <v>29961</v>
      </c>
      <c r="Q27">
        <v>419439</v>
      </c>
      <c r="R27">
        <v>27</v>
      </c>
      <c r="S27" t="s">
        <v>47</v>
      </c>
      <c r="T27">
        <v>14400</v>
      </c>
    </row>
    <row r="28" spans="1:20" x14ac:dyDescent="0.3">
      <c r="A28" t="s">
        <v>222</v>
      </c>
      <c r="B28" t="s">
        <v>80</v>
      </c>
      <c r="C28" t="s">
        <v>53</v>
      </c>
      <c r="D28" t="s">
        <v>22</v>
      </c>
      <c r="E28" t="s">
        <v>223</v>
      </c>
      <c r="F28" t="s">
        <v>31</v>
      </c>
      <c r="G28">
        <v>56</v>
      </c>
      <c r="H28" t="s">
        <v>540</v>
      </c>
      <c r="I28" s="37">
        <v>45421</v>
      </c>
      <c r="J28">
        <v>482000</v>
      </c>
      <c r="K28">
        <v>36</v>
      </c>
      <c r="L28">
        <v>13.2</v>
      </c>
      <c r="M28">
        <v>16287</v>
      </c>
      <c r="N28">
        <v>2</v>
      </c>
      <c r="O28">
        <v>0</v>
      </c>
      <c r="P28">
        <v>0</v>
      </c>
      <c r="Q28">
        <v>482000</v>
      </c>
      <c r="R28">
        <v>67</v>
      </c>
      <c r="S28" t="s">
        <v>47</v>
      </c>
      <c r="T28">
        <v>0</v>
      </c>
    </row>
    <row r="29" spans="1:20" x14ac:dyDescent="0.3">
      <c r="A29" t="s">
        <v>196</v>
      </c>
      <c r="B29" t="s">
        <v>65</v>
      </c>
      <c r="C29" t="s">
        <v>28</v>
      </c>
      <c r="D29" t="s">
        <v>35</v>
      </c>
      <c r="E29" t="s">
        <v>197</v>
      </c>
      <c r="F29" t="s">
        <v>24</v>
      </c>
      <c r="G29">
        <v>51</v>
      </c>
      <c r="H29" t="s">
        <v>540</v>
      </c>
      <c r="I29" s="37">
        <v>45406</v>
      </c>
      <c r="J29">
        <v>308000</v>
      </c>
      <c r="K29">
        <v>36</v>
      </c>
      <c r="L29">
        <v>15.5</v>
      </c>
      <c r="M29">
        <v>10752</v>
      </c>
      <c r="N29">
        <v>3</v>
      </c>
      <c r="O29">
        <v>1</v>
      </c>
      <c r="P29">
        <v>10752</v>
      </c>
      <c r="Q29">
        <v>301226</v>
      </c>
      <c r="R29">
        <v>73</v>
      </c>
      <c r="S29" t="s">
        <v>47</v>
      </c>
      <c r="T29">
        <v>3978</v>
      </c>
    </row>
    <row r="30" spans="1:20" x14ac:dyDescent="0.3">
      <c r="A30" t="s">
        <v>188</v>
      </c>
      <c r="B30" t="s">
        <v>60</v>
      </c>
      <c r="C30" t="s">
        <v>21</v>
      </c>
      <c r="D30" t="s">
        <v>35</v>
      </c>
      <c r="E30" t="s">
        <v>189</v>
      </c>
      <c r="F30" t="s">
        <v>24</v>
      </c>
      <c r="G30">
        <v>43</v>
      </c>
      <c r="H30" t="s">
        <v>539</v>
      </c>
      <c r="I30" s="37">
        <v>45346</v>
      </c>
      <c r="J30">
        <v>128000</v>
      </c>
      <c r="K30">
        <v>24</v>
      </c>
      <c r="L30">
        <v>16.899999999999999</v>
      </c>
      <c r="M30">
        <v>6322</v>
      </c>
      <c r="N30">
        <v>5</v>
      </c>
      <c r="O30">
        <v>4</v>
      </c>
      <c r="P30">
        <v>25288</v>
      </c>
      <c r="Q30">
        <v>109535</v>
      </c>
      <c r="R30">
        <v>38</v>
      </c>
      <c r="S30" t="s">
        <v>47</v>
      </c>
      <c r="T30">
        <v>6823</v>
      </c>
    </row>
    <row r="31" spans="1:20" x14ac:dyDescent="0.3">
      <c r="A31" t="s">
        <v>166</v>
      </c>
      <c r="B31" t="s">
        <v>80</v>
      </c>
      <c r="C31" t="s">
        <v>53</v>
      </c>
      <c r="D31" t="s">
        <v>57</v>
      </c>
      <c r="E31" t="s">
        <v>167</v>
      </c>
      <c r="F31" t="s">
        <v>31</v>
      </c>
      <c r="G31">
        <v>25</v>
      </c>
      <c r="H31" t="s">
        <v>537</v>
      </c>
      <c r="I31" s="37">
        <v>45329</v>
      </c>
      <c r="J31">
        <v>1587000</v>
      </c>
      <c r="K31">
        <v>36</v>
      </c>
      <c r="L31">
        <v>12.1</v>
      </c>
      <c r="M31">
        <v>52787</v>
      </c>
      <c r="N31">
        <v>5</v>
      </c>
      <c r="O31">
        <v>4</v>
      </c>
      <c r="P31">
        <v>211148</v>
      </c>
      <c r="Q31">
        <v>1437621</v>
      </c>
      <c r="R31">
        <v>44</v>
      </c>
      <c r="S31" t="s">
        <v>47</v>
      </c>
      <c r="T31">
        <v>61769</v>
      </c>
    </row>
    <row r="32" spans="1:20" x14ac:dyDescent="0.3">
      <c r="A32" t="s">
        <v>144</v>
      </c>
      <c r="B32" t="s">
        <v>33</v>
      </c>
      <c r="C32" t="s">
        <v>34</v>
      </c>
      <c r="D32" t="s">
        <v>49</v>
      </c>
      <c r="E32" t="s">
        <v>145</v>
      </c>
      <c r="F32" t="s">
        <v>42</v>
      </c>
      <c r="G32">
        <v>24</v>
      </c>
      <c r="H32" t="s">
        <v>537</v>
      </c>
      <c r="I32" s="37">
        <v>45455</v>
      </c>
      <c r="J32">
        <v>453000</v>
      </c>
      <c r="K32">
        <v>60</v>
      </c>
      <c r="L32">
        <v>13.2</v>
      </c>
      <c r="M32">
        <v>10354</v>
      </c>
      <c r="N32">
        <v>1</v>
      </c>
      <c r="O32">
        <v>0</v>
      </c>
      <c r="P32">
        <v>0</v>
      </c>
      <c r="Q32">
        <v>453000</v>
      </c>
      <c r="R32">
        <v>52</v>
      </c>
      <c r="S32" t="s">
        <v>47</v>
      </c>
      <c r="T32">
        <v>0</v>
      </c>
    </row>
    <row r="33" spans="1:20" x14ac:dyDescent="0.3">
      <c r="A33" t="s">
        <v>140</v>
      </c>
      <c r="B33" t="s">
        <v>20</v>
      </c>
      <c r="C33" t="s">
        <v>21</v>
      </c>
      <c r="D33" t="s">
        <v>22</v>
      </c>
      <c r="E33" t="s">
        <v>141</v>
      </c>
      <c r="F33" t="s">
        <v>42</v>
      </c>
      <c r="G33">
        <v>56</v>
      </c>
      <c r="H33" t="s">
        <v>540</v>
      </c>
      <c r="I33" s="37">
        <v>45352</v>
      </c>
      <c r="J33">
        <v>405000</v>
      </c>
      <c r="K33">
        <v>36</v>
      </c>
      <c r="L33">
        <v>12.7</v>
      </c>
      <c r="M33">
        <v>13588</v>
      </c>
      <c r="N33">
        <v>4</v>
      </c>
      <c r="O33">
        <v>3</v>
      </c>
      <c r="P33">
        <v>40764</v>
      </c>
      <c r="Q33">
        <v>376800</v>
      </c>
      <c r="R33">
        <v>19</v>
      </c>
      <c r="S33" t="s">
        <v>47</v>
      </c>
      <c r="T33">
        <v>12564</v>
      </c>
    </row>
    <row r="34" spans="1:20" x14ac:dyDescent="0.3">
      <c r="A34" t="s">
        <v>102</v>
      </c>
      <c r="B34" t="s">
        <v>65</v>
      </c>
      <c r="C34" t="s">
        <v>28</v>
      </c>
      <c r="D34" t="s">
        <v>49</v>
      </c>
      <c r="E34" t="s">
        <v>103</v>
      </c>
      <c r="F34" t="s">
        <v>42</v>
      </c>
      <c r="G34">
        <v>32</v>
      </c>
      <c r="H34" t="s">
        <v>538</v>
      </c>
      <c r="I34" s="37">
        <v>45301</v>
      </c>
      <c r="J34">
        <v>381000</v>
      </c>
      <c r="K34">
        <v>24</v>
      </c>
      <c r="L34">
        <v>12.8</v>
      </c>
      <c r="M34">
        <v>18078</v>
      </c>
      <c r="N34">
        <v>6</v>
      </c>
      <c r="O34">
        <v>4</v>
      </c>
      <c r="P34">
        <v>72312</v>
      </c>
      <c r="Q34">
        <v>324042</v>
      </c>
      <c r="R34">
        <v>48</v>
      </c>
      <c r="S34" t="s">
        <v>47</v>
      </c>
      <c r="T34">
        <v>15354</v>
      </c>
    </row>
    <row r="35" spans="1:20" x14ac:dyDescent="0.3">
      <c r="A35" t="s">
        <v>104</v>
      </c>
      <c r="B35" t="s">
        <v>65</v>
      </c>
      <c r="C35" t="s">
        <v>28</v>
      </c>
      <c r="D35" t="s">
        <v>57</v>
      </c>
      <c r="E35" t="s">
        <v>105</v>
      </c>
      <c r="F35" t="s">
        <v>42</v>
      </c>
      <c r="G35">
        <v>26</v>
      </c>
      <c r="H35" t="s">
        <v>537</v>
      </c>
      <c r="I35" s="37">
        <v>45358</v>
      </c>
      <c r="J35">
        <v>443000</v>
      </c>
      <c r="K35">
        <v>60</v>
      </c>
      <c r="L35">
        <v>15.2</v>
      </c>
      <c r="M35">
        <v>10586</v>
      </c>
      <c r="N35">
        <v>4</v>
      </c>
      <c r="O35">
        <v>2</v>
      </c>
      <c r="P35">
        <v>21172</v>
      </c>
      <c r="Q35">
        <v>432989</v>
      </c>
      <c r="R35">
        <v>71</v>
      </c>
      <c r="S35" t="s">
        <v>47</v>
      </c>
      <c r="T35">
        <v>11161</v>
      </c>
    </row>
    <row r="36" spans="1:20" x14ac:dyDescent="0.3">
      <c r="A36" t="s">
        <v>132</v>
      </c>
      <c r="B36" t="s">
        <v>40</v>
      </c>
      <c r="C36" t="s">
        <v>34</v>
      </c>
      <c r="D36" t="s">
        <v>22</v>
      </c>
      <c r="E36" t="s">
        <v>133</v>
      </c>
      <c r="F36" t="s">
        <v>24</v>
      </c>
      <c r="G36">
        <v>52</v>
      </c>
      <c r="H36" t="s">
        <v>540</v>
      </c>
      <c r="I36" s="37">
        <v>45338</v>
      </c>
      <c r="J36">
        <v>146000</v>
      </c>
      <c r="K36">
        <v>48</v>
      </c>
      <c r="L36">
        <v>13.1</v>
      </c>
      <c r="M36">
        <v>3924</v>
      </c>
      <c r="N36">
        <v>5</v>
      </c>
      <c r="O36">
        <v>3</v>
      </c>
      <c r="P36">
        <v>11772</v>
      </c>
      <c r="Q36">
        <v>138933</v>
      </c>
      <c r="R36">
        <v>71</v>
      </c>
      <c r="S36" t="s">
        <v>47</v>
      </c>
      <c r="T36">
        <v>4705</v>
      </c>
    </row>
    <row r="37" spans="1:20" x14ac:dyDescent="0.3">
      <c r="A37" t="s">
        <v>128</v>
      </c>
      <c r="B37" t="s">
        <v>33</v>
      </c>
      <c r="C37" t="s">
        <v>34</v>
      </c>
      <c r="D37" t="s">
        <v>57</v>
      </c>
      <c r="E37" t="s">
        <v>129</v>
      </c>
      <c r="F37" t="s">
        <v>24</v>
      </c>
      <c r="G37">
        <v>37</v>
      </c>
      <c r="H37" t="s">
        <v>538</v>
      </c>
      <c r="I37" s="37">
        <v>45398</v>
      </c>
      <c r="J37">
        <v>1371000</v>
      </c>
      <c r="K37">
        <v>60</v>
      </c>
      <c r="L37">
        <v>13</v>
      </c>
      <c r="M37">
        <v>31194</v>
      </c>
      <c r="N37">
        <v>3</v>
      </c>
      <c r="O37">
        <v>1</v>
      </c>
      <c r="P37">
        <v>31194</v>
      </c>
      <c r="Q37">
        <v>1354658</v>
      </c>
      <c r="R37">
        <v>69</v>
      </c>
      <c r="S37" t="s">
        <v>47</v>
      </c>
      <c r="T37">
        <v>14852</v>
      </c>
    </row>
    <row r="38" spans="1:20" x14ac:dyDescent="0.3">
      <c r="A38" t="s">
        <v>110</v>
      </c>
      <c r="B38" t="s">
        <v>52</v>
      </c>
      <c r="C38" t="s">
        <v>53</v>
      </c>
      <c r="D38" t="s">
        <v>29</v>
      </c>
      <c r="E38" t="s">
        <v>111</v>
      </c>
      <c r="F38" t="s">
        <v>42</v>
      </c>
      <c r="G38">
        <v>23</v>
      </c>
      <c r="H38" t="s">
        <v>537</v>
      </c>
      <c r="I38" s="37">
        <v>45313</v>
      </c>
      <c r="J38">
        <v>63000</v>
      </c>
      <c r="K38">
        <v>24</v>
      </c>
      <c r="L38">
        <v>9.9</v>
      </c>
      <c r="M38">
        <v>2904</v>
      </c>
      <c r="N38">
        <v>6</v>
      </c>
      <c r="O38">
        <v>4</v>
      </c>
      <c r="P38">
        <v>11616</v>
      </c>
      <c r="Q38">
        <v>53343</v>
      </c>
      <c r="R38">
        <v>66</v>
      </c>
      <c r="S38" t="s">
        <v>47</v>
      </c>
      <c r="T38">
        <v>1959</v>
      </c>
    </row>
    <row r="39" spans="1:20" x14ac:dyDescent="0.3">
      <c r="A39" t="s">
        <v>126</v>
      </c>
      <c r="B39" t="s">
        <v>40</v>
      </c>
      <c r="C39" t="s">
        <v>34</v>
      </c>
      <c r="D39" t="s">
        <v>57</v>
      </c>
      <c r="E39" t="s">
        <v>127</v>
      </c>
      <c r="F39" t="s">
        <v>42</v>
      </c>
      <c r="G39">
        <v>41</v>
      </c>
      <c r="H39" t="s">
        <v>539</v>
      </c>
      <c r="I39" s="37">
        <v>45297</v>
      </c>
      <c r="J39">
        <v>1535000</v>
      </c>
      <c r="K39">
        <v>48</v>
      </c>
      <c r="L39">
        <v>12.9</v>
      </c>
      <c r="M39">
        <v>41104</v>
      </c>
      <c r="N39">
        <v>6</v>
      </c>
      <c r="O39">
        <v>4</v>
      </c>
      <c r="P39">
        <v>164416</v>
      </c>
      <c r="Q39">
        <v>1434990</v>
      </c>
      <c r="R39">
        <v>55</v>
      </c>
      <c r="S39" t="s">
        <v>47</v>
      </c>
      <c r="T39">
        <v>64406</v>
      </c>
    </row>
    <row r="40" spans="1:20" x14ac:dyDescent="0.3">
      <c r="A40" t="s">
        <v>114</v>
      </c>
      <c r="B40" t="s">
        <v>40</v>
      </c>
      <c r="C40" t="s">
        <v>34</v>
      </c>
      <c r="D40" t="s">
        <v>35</v>
      </c>
      <c r="E40" t="s">
        <v>115</v>
      </c>
      <c r="F40" t="s">
        <v>24</v>
      </c>
      <c r="G40">
        <v>49</v>
      </c>
      <c r="H40" t="s">
        <v>539</v>
      </c>
      <c r="I40" s="37">
        <v>45345</v>
      </c>
      <c r="J40">
        <v>97000</v>
      </c>
      <c r="K40">
        <v>36</v>
      </c>
      <c r="L40">
        <v>17.7</v>
      </c>
      <c r="M40">
        <v>3492</v>
      </c>
      <c r="N40">
        <v>5</v>
      </c>
      <c r="O40">
        <v>3</v>
      </c>
      <c r="P40">
        <v>10476</v>
      </c>
      <c r="Q40">
        <v>90724</v>
      </c>
      <c r="R40">
        <v>68</v>
      </c>
      <c r="S40" t="s">
        <v>47</v>
      </c>
      <c r="T40">
        <v>4200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56D7E-511F-48EB-98B2-09AB1AD5EF76}">
  <dimension ref="A1:T201"/>
  <sheetViews>
    <sheetView topLeftCell="J1" zoomScale="110" zoomScaleNormal="130" workbookViewId="0">
      <selection activeCell="S1" sqref="S1:S1048576"/>
    </sheetView>
  </sheetViews>
  <sheetFormatPr defaultRowHeight="14.4" x14ac:dyDescent="0.3"/>
  <cols>
    <col min="1" max="1" width="10" bestFit="1" customWidth="1"/>
    <col min="2" max="2" width="14.77734375" bestFit="1" customWidth="1"/>
    <col min="3" max="3" width="7.109375" bestFit="1" customWidth="1"/>
    <col min="4" max="4" width="21.44140625" bestFit="1" customWidth="1"/>
    <col min="5" max="5" width="11.33203125" bestFit="1" customWidth="1"/>
    <col min="6" max="6" width="16.109375" bestFit="1" customWidth="1"/>
    <col min="7" max="7" width="12.88671875" bestFit="1" customWidth="1"/>
    <col min="8" max="8" width="12.88671875" customWidth="1"/>
    <col min="9" max="9" width="17.33203125" bestFit="1" customWidth="1"/>
    <col min="10" max="10" width="12.109375" bestFit="1" customWidth="1"/>
    <col min="11" max="11" width="13.6640625" bestFit="1" customWidth="1"/>
    <col min="12" max="12" width="11.6640625" bestFit="1" customWidth="1"/>
    <col min="13" max="13" width="10.88671875" bestFit="1" customWidth="1"/>
    <col min="14" max="14" width="14.44140625" bestFit="1" customWidth="1"/>
    <col min="15" max="15" width="15.33203125" bestFit="1" customWidth="1"/>
    <col min="16" max="16" width="22.6640625" bestFit="1" customWidth="1"/>
    <col min="17" max="17" width="19.5546875" bestFit="1" customWidth="1"/>
    <col min="18" max="18" width="9.5546875" customWidth="1"/>
    <col min="19" max="19" width="11" bestFit="1" customWidth="1"/>
    <col min="20" max="20" width="20.33203125" bestFit="1" customWidth="1"/>
  </cols>
  <sheetData>
    <row r="1" spans="1:20" x14ac:dyDescent="0.3">
      <c r="A1" s="10" t="s">
        <v>0</v>
      </c>
      <c r="B1" s="10" t="s">
        <v>1</v>
      </c>
      <c r="C1" s="10" t="s">
        <v>2</v>
      </c>
      <c r="D1" s="10" t="s">
        <v>3</v>
      </c>
      <c r="E1" s="10" t="s">
        <v>4</v>
      </c>
      <c r="F1" s="10" t="s">
        <v>5</v>
      </c>
      <c r="G1" s="10" t="s">
        <v>6</v>
      </c>
      <c r="H1" s="10" t="s">
        <v>536</v>
      </c>
      <c r="I1" s="10" t="s">
        <v>7</v>
      </c>
      <c r="J1" s="10" t="s">
        <v>8</v>
      </c>
      <c r="K1" s="10" t="s">
        <v>9</v>
      </c>
      <c r="L1" s="10" t="s">
        <v>10</v>
      </c>
      <c r="M1" s="10" t="s">
        <v>11</v>
      </c>
      <c r="N1" s="10" t="s">
        <v>12</v>
      </c>
      <c r="O1" s="10" t="s">
        <v>13</v>
      </c>
      <c r="P1" s="10" t="s">
        <v>14</v>
      </c>
      <c r="Q1" s="10" t="s">
        <v>15</v>
      </c>
      <c r="R1" s="10" t="s">
        <v>16</v>
      </c>
      <c r="S1" s="10" t="s">
        <v>17</v>
      </c>
      <c r="T1" s="10" t="s">
        <v>18</v>
      </c>
    </row>
    <row r="2" spans="1:20" x14ac:dyDescent="0.3">
      <c r="A2" s="2" t="s">
        <v>19</v>
      </c>
      <c r="B2" s="2" t="s">
        <v>20</v>
      </c>
      <c r="C2" s="2" t="s">
        <v>21</v>
      </c>
      <c r="D2" s="2" t="s">
        <v>22</v>
      </c>
      <c r="E2" s="2" t="s">
        <v>23</v>
      </c>
      <c r="F2" s="2" t="s">
        <v>24</v>
      </c>
      <c r="G2" s="2">
        <v>55</v>
      </c>
      <c r="H2" s="2" t="str" cm="1">
        <f t="array" ref="H2">_xlfn.IFS(G2&lt;30,"&lt;30",G2&lt;=40,"30-40",G2&lt;=50,"40-50",LoanData!G2&gt;50,"50+")</f>
        <v>50+</v>
      </c>
      <c r="I2" s="3">
        <v>45339</v>
      </c>
      <c r="J2" s="4">
        <v>989000</v>
      </c>
      <c r="K2" s="2">
        <v>24</v>
      </c>
      <c r="L2" s="5">
        <v>11.9</v>
      </c>
      <c r="M2" s="4">
        <v>46509</v>
      </c>
      <c r="N2" s="2">
        <v>5</v>
      </c>
      <c r="O2" s="2">
        <v>5</v>
      </c>
      <c r="P2" s="4">
        <v>232545</v>
      </c>
      <c r="Q2" s="4">
        <v>801815</v>
      </c>
      <c r="R2" s="2">
        <v>0</v>
      </c>
      <c r="S2" s="2" t="s">
        <v>25</v>
      </c>
      <c r="T2" s="4">
        <v>45360</v>
      </c>
    </row>
    <row r="3" spans="1:20" x14ac:dyDescent="0.3">
      <c r="A3" s="6" t="s">
        <v>26</v>
      </c>
      <c r="B3" s="6" t="s">
        <v>27</v>
      </c>
      <c r="C3" s="6" t="s">
        <v>28</v>
      </c>
      <c r="D3" s="6" t="s">
        <v>29</v>
      </c>
      <c r="E3" s="6" t="s">
        <v>30</v>
      </c>
      <c r="F3" s="6" t="s">
        <v>31</v>
      </c>
      <c r="G3" s="6">
        <v>37</v>
      </c>
      <c r="H3" s="2" t="str" cm="1">
        <f t="array" ref="H3">_xlfn.IFS(G3&lt;30,"&lt;30",G3&lt;=40,"30-40",G3&lt;=50,"40-50",LoanData!G3&gt;50,"50+")</f>
        <v>30-40</v>
      </c>
      <c r="I3" s="7">
        <v>45445</v>
      </c>
      <c r="J3" s="8">
        <v>281000</v>
      </c>
      <c r="K3" s="6">
        <v>6</v>
      </c>
      <c r="L3" s="9">
        <v>10.3</v>
      </c>
      <c r="M3" s="8">
        <v>48250</v>
      </c>
      <c r="N3" s="6">
        <v>1</v>
      </c>
      <c r="O3" s="6">
        <v>1</v>
      </c>
      <c r="P3" s="8">
        <v>48250</v>
      </c>
      <c r="Q3" s="8">
        <v>235162</v>
      </c>
      <c r="R3" s="6">
        <v>0</v>
      </c>
      <c r="S3" s="6" t="s">
        <v>25</v>
      </c>
      <c r="T3" s="8">
        <v>2412</v>
      </c>
    </row>
    <row r="4" spans="1:20" x14ac:dyDescent="0.3">
      <c r="A4" s="2" t="s">
        <v>32</v>
      </c>
      <c r="B4" s="2" t="s">
        <v>33</v>
      </c>
      <c r="C4" s="2" t="s">
        <v>34</v>
      </c>
      <c r="D4" s="2" t="s">
        <v>35</v>
      </c>
      <c r="E4" s="2" t="s">
        <v>36</v>
      </c>
      <c r="F4" s="2" t="s">
        <v>31</v>
      </c>
      <c r="G4" s="2">
        <v>46</v>
      </c>
      <c r="H4" s="2" t="str" cm="1">
        <f t="array" ref="H4">_xlfn.IFS(G4&lt;30,"&lt;30",G4&lt;=40,"30-40",G4&lt;=50,"40-50",LoanData!G4&gt;50,"50+")</f>
        <v>40-50</v>
      </c>
      <c r="I4" s="3">
        <v>45296</v>
      </c>
      <c r="J4" s="4">
        <v>481000</v>
      </c>
      <c r="K4" s="2">
        <v>36</v>
      </c>
      <c r="L4" s="5">
        <v>16.2</v>
      </c>
      <c r="M4" s="4">
        <v>16958</v>
      </c>
      <c r="N4" s="2">
        <v>6</v>
      </c>
      <c r="O4" s="2">
        <v>6</v>
      </c>
      <c r="P4" s="4">
        <v>101748</v>
      </c>
      <c r="Q4" s="4">
        <v>416055</v>
      </c>
      <c r="R4" s="2">
        <v>0</v>
      </c>
      <c r="S4" s="2" t="s">
        <v>25</v>
      </c>
      <c r="T4" s="4">
        <v>36803</v>
      </c>
    </row>
    <row r="5" spans="1:20" x14ac:dyDescent="0.3">
      <c r="A5" s="6" t="s">
        <v>37</v>
      </c>
      <c r="B5" s="6" t="s">
        <v>27</v>
      </c>
      <c r="C5" s="6" t="s">
        <v>28</v>
      </c>
      <c r="D5" s="6" t="s">
        <v>35</v>
      </c>
      <c r="E5" s="6" t="s">
        <v>38</v>
      </c>
      <c r="F5" s="6" t="s">
        <v>24</v>
      </c>
      <c r="G5" s="6">
        <v>54</v>
      </c>
      <c r="H5" s="2" t="str" cm="1">
        <f t="array" ref="H5">_xlfn.IFS(G5&lt;30,"&lt;30",G5&lt;=40,"30-40",G5&lt;=50,"40-50",LoanData!G5&gt;50,"50+")</f>
        <v>50+</v>
      </c>
      <c r="I5" s="7">
        <v>45328</v>
      </c>
      <c r="J5" s="8">
        <v>254000</v>
      </c>
      <c r="K5" s="6">
        <v>24</v>
      </c>
      <c r="L5" s="9">
        <v>16.2</v>
      </c>
      <c r="M5" s="8">
        <v>12461</v>
      </c>
      <c r="N5" s="6">
        <v>5</v>
      </c>
      <c r="O5" s="6">
        <v>5</v>
      </c>
      <c r="P5" s="8">
        <v>62305</v>
      </c>
      <c r="Q5" s="8">
        <v>207605</v>
      </c>
      <c r="R5" s="6">
        <v>0</v>
      </c>
      <c r="S5" s="6" t="s">
        <v>25</v>
      </c>
      <c r="T5" s="8">
        <v>15910</v>
      </c>
    </row>
    <row r="6" spans="1:20" x14ac:dyDescent="0.3">
      <c r="A6" s="2" t="s">
        <v>39</v>
      </c>
      <c r="B6" s="2" t="s">
        <v>40</v>
      </c>
      <c r="C6" s="2" t="s">
        <v>34</v>
      </c>
      <c r="D6" s="2" t="s">
        <v>35</v>
      </c>
      <c r="E6" s="2" t="s">
        <v>41</v>
      </c>
      <c r="F6" s="2" t="s">
        <v>42</v>
      </c>
      <c r="G6" s="2">
        <v>27</v>
      </c>
      <c r="H6" s="2" t="str" cm="1">
        <f t="array" ref="H6">_xlfn.IFS(G6&lt;30,"&lt;30",G6&lt;=40,"30-40",G6&lt;=50,"40-50",LoanData!G6&gt;50,"50+")</f>
        <v>&lt;30</v>
      </c>
      <c r="I6" s="3">
        <v>45309</v>
      </c>
      <c r="J6" s="4">
        <v>401000</v>
      </c>
      <c r="K6" s="2">
        <v>36</v>
      </c>
      <c r="L6" s="5">
        <v>14.8</v>
      </c>
      <c r="M6" s="4">
        <v>13862</v>
      </c>
      <c r="N6" s="2">
        <v>6</v>
      </c>
      <c r="O6" s="2">
        <v>6</v>
      </c>
      <c r="P6" s="4">
        <v>83172</v>
      </c>
      <c r="Q6" s="4">
        <v>345828</v>
      </c>
      <c r="R6" s="2">
        <v>0</v>
      </c>
      <c r="S6" s="2" t="s">
        <v>25</v>
      </c>
      <c r="T6" s="4">
        <v>28000</v>
      </c>
    </row>
    <row r="7" spans="1:20" x14ac:dyDescent="0.3">
      <c r="A7" s="6" t="s">
        <v>43</v>
      </c>
      <c r="B7" s="6" t="s">
        <v>40</v>
      </c>
      <c r="C7" s="6" t="s">
        <v>34</v>
      </c>
      <c r="D7" s="6" t="s">
        <v>29</v>
      </c>
      <c r="E7" s="6" t="s">
        <v>44</v>
      </c>
      <c r="F7" s="6" t="s">
        <v>24</v>
      </c>
      <c r="G7" s="6">
        <v>46</v>
      </c>
      <c r="H7" s="2" t="str" cm="1">
        <f t="array" ref="H7">_xlfn.IFS(G7&lt;30,"&lt;30",G7&lt;=40,"30-40",G7&lt;=50,"40-50",LoanData!G7&gt;50,"50+")</f>
        <v>40-50</v>
      </c>
      <c r="I7" s="7">
        <v>45399</v>
      </c>
      <c r="J7" s="8">
        <v>278000</v>
      </c>
      <c r="K7" s="6">
        <v>12</v>
      </c>
      <c r="L7" s="9">
        <v>11.7</v>
      </c>
      <c r="M7" s="8">
        <v>24661</v>
      </c>
      <c r="N7" s="6">
        <v>3</v>
      </c>
      <c r="O7" s="6">
        <v>3</v>
      </c>
      <c r="P7" s="8">
        <v>73983</v>
      </c>
      <c r="Q7" s="8">
        <v>211504</v>
      </c>
      <c r="R7" s="6">
        <v>0</v>
      </c>
      <c r="S7" s="6" t="s">
        <v>25</v>
      </c>
      <c r="T7" s="8">
        <v>7487</v>
      </c>
    </row>
    <row r="8" spans="1:20" x14ac:dyDescent="0.3">
      <c r="A8" s="2" t="s">
        <v>45</v>
      </c>
      <c r="B8" s="2" t="s">
        <v>33</v>
      </c>
      <c r="C8" s="2" t="s">
        <v>34</v>
      </c>
      <c r="D8" s="2" t="s">
        <v>29</v>
      </c>
      <c r="E8" s="2" t="s">
        <v>46</v>
      </c>
      <c r="F8" s="2" t="s">
        <v>42</v>
      </c>
      <c r="G8" s="2">
        <v>54</v>
      </c>
      <c r="H8" s="2" t="str" cm="1">
        <f t="array" ref="H8">_xlfn.IFS(G8&lt;30,"&lt;30",G8&lt;=40,"30-40",G8&lt;=50,"40-50",LoanData!G8&gt;50,"50+")</f>
        <v>50+</v>
      </c>
      <c r="I8" s="3">
        <v>45307</v>
      </c>
      <c r="J8" s="4">
        <v>28000</v>
      </c>
      <c r="K8" s="2">
        <v>24</v>
      </c>
      <c r="L8" s="5">
        <v>9.3000000000000007</v>
      </c>
      <c r="M8" s="4">
        <v>1283</v>
      </c>
      <c r="N8" s="2">
        <v>6</v>
      </c>
      <c r="O8" s="2">
        <v>3</v>
      </c>
      <c r="P8" s="4">
        <v>3849</v>
      </c>
      <c r="Q8" s="4">
        <v>24777</v>
      </c>
      <c r="R8" s="2">
        <v>77</v>
      </c>
      <c r="S8" s="2" t="s">
        <v>47</v>
      </c>
      <c r="T8" s="4">
        <v>626</v>
      </c>
    </row>
    <row r="9" spans="1:20" x14ac:dyDescent="0.3">
      <c r="A9" s="6" t="s">
        <v>48</v>
      </c>
      <c r="B9" s="6" t="s">
        <v>20</v>
      </c>
      <c r="C9" s="6" t="s">
        <v>21</v>
      </c>
      <c r="D9" s="6" t="s">
        <v>49</v>
      </c>
      <c r="E9" s="6" t="s">
        <v>50</v>
      </c>
      <c r="F9" s="6" t="s">
        <v>42</v>
      </c>
      <c r="G9" s="6">
        <v>45</v>
      </c>
      <c r="H9" s="2" t="str" cm="1">
        <f t="array" ref="H9">_xlfn.IFS(G9&lt;30,"&lt;30",G9&lt;=40,"30-40",G9&lt;=50,"40-50",LoanData!G9&gt;50,"50+")</f>
        <v>40-50</v>
      </c>
      <c r="I9" s="7">
        <v>45363</v>
      </c>
      <c r="J9" s="8">
        <v>785000</v>
      </c>
      <c r="K9" s="6">
        <v>36</v>
      </c>
      <c r="L9" s="9">
        <v>11.5</v>
      </c>
      <c r="M9" s="8">
        <v>25886</v>
      </c>
      <c r="N9" s="6">
        <v>4</v>
      </c>
      <c r="O9" s="6">
        <v>4</v>
      </c>
      <c r="P9" s="8">
        <v>103544</v>
      </c>
      <c r="Q9" s="8">
        <v>710484</v>
      </c>
      <c r="R9" s="6">
        <v>0</v>
      </c>
      <c r="S9" s="6" t="s">
        <v>25</v>
      </c>
      <c r="T9" s="8">
        <v>29028</v>
      </c>
    </row>
    <row r="10" spans="1:20" x14ac:dyDescent="0.3">
      <c r="A10" s="2" t="s">
        <v>51</v>
      </c>
      <c r="B10" s="2" t="s">
        <v>52</v>
      </c>
      <c r="C10" s="2" t="s">
        <v>53</v>
      </c>
      <c r="D10" s="2" t="s">
        <v>35</v>
      </c>
      <c r="E10" s="2" t="s">
        <v>54</v>
      </c>
      <c r="F10" s="2" t="s">
        <v>24</v>
      </c>
      <c r="G10" s="2">
        <v>46</v>
      </c>
      <c r="H10" s="2" t="str" cm="1">
        <f t="array" ref="H10">_xlfn.IFS(G10&lt;30,"&lt;30",G10&lt;=40,"30-40",G10&lt;=50,"40-50",LoanData!G10&gt;50,"50+")</f>
        <v>40-50</v>
      </c>
      <c r="I10" s="3">
        <v>45344</v>
      </c>
      <c r="J10" s="4">
        <v>126000</v>
      </c>
      <c r="K10" s="2">
        <v>12</v>
      </c>
      <c r="L10" s="5">
        <v>17.7</v>
      </c>
      <c r="M10" s="4">
        <v>11534</v>
      </c>
      <c r="N10" s="2">
        <v>5</v>
      </c>
      <c r="O10" s="2">
        <v>0</v>
      </c>
      <c r="P10" s="4">
        <v>0</v>
      </c>
      <c r="Q10" s="4">
        <v>126000</v>
      </c>
      <c r="R10" s="2">
        <v>224</v>
      </c>
      <c r="S10" s="2" t="s">
        <v>55</v>
      </c>
      <c r="T10" s="4">
        <v>0</v>
      </c>
    </row>
    <row r="11" spans="1:20" x14ac:dyDescent="0.3">
      <c r="A11" s="6" t="s">
        <v>56</v>
      </c>
      <c r="B11" s="6" t="s">
        <v>20</v>
      </c>
      <c r="C11" s="6" t="s">
        <v>21</v>
      </c>
      <c r="D11" s="6" t="s">
        <v>57</v>
      </c>
      <c r="E11" s="6" t="s">
        <v>58</v>
      </c>
      <c r="F11" s="6" t="s">
        <v>24</v>
      </c>
      <c r="G11" s="6">
        <v>55</v>
      </c>
      <c r="H11" s="2" t="str" cm="1">
        <f t="array" ref="H11">_xlfn.IFS(G11&lt;30,"&lt;30",G11&lt;=40,"30-40",G11&lt;=50,"40-50",LoanData!G11&gt;50,"50+")</f>
        <v>50+</v>
      </c>
      <c r="I11" s="7">
        <v>45404</v>
      </c>
      <c r="J11" s="8">
        <v>1931000</v>
      </c>
      <c r="K11" s="6">
        <v>48</v>
      </c>
      <c r="L11" s="9">
        <v>14.4</v>
      </c>
      <c r="M11" s="8">
        <v>53156</v>
      </c>
      <c r="N11" s="6">
        <v>3</v>
      </c>
      <c r="O11" s="6">
        <v>2</v>
      </c>
      <c r="P11" s="8">
        <v>106312</v>
      </c>
      <c r="Q11" s="8">
        <v>1870673</v>
      </c>
      <c r="R11" s="6">
        <v>32</v>
      </c>
      <c r="S11" s="6" t="s">
        <v>47</v>
      </c>
      <c r="T11" s="8">
        <v>45985</v>
      </c>
    </row>
    <row r="12" spans="1:20" x14ac:dyDescent="0.3">
      <c r="A12" s="2" t="s">
        <v>59</v>
      </c>
      <c r="B12" s="2" t="s">
        <v>60</v>
      </c>
      <c r="C12" s="2" t="s">
        <v>21</v>
      </c>
      <c r="D12" s="2" t="s">
        <v>22</v>
      </c>
      <c r="E12" s="2" t="s">
        <v>61</v>
      </c>
      <c r="F12" s="2" t="s">
        <v>31</v>
      </c>
      <c r="G12" s="2">
        <v>41</v>
      </c>
      <c r="H12" s="2" t="str" cm="1">
        <f t="array" ref="H12">_xlfn.IFS(G12&lt;30,"&lt;30",G12&lt;=40,"30-40",G12&lt;=50,"40-50",LoanData!G12&gt;50,"50+")</f>
        <v>40-50</v>
      </c>
      <c r="I12" s="3">
        <v>45319</v>
      </c>
      <c r="J12" s="4">
        <v>1227000</v>
      </c>
      <c r="K12" s="2">
        <v>36</v>
      </c>
      <c r="L12" s="5">
        <v>13.1</v>
      </c>
      <c r="M12" s="4">
        <v>41402</v>
      </c>
      <c r="N12" s="2">
        <v>6</v>
      </c>
      <c r="O12" s="2">
        <v>6</v>
      </c>
      <c r="P12" s="4">
        <v>248412</v>
      </c>
      <c r="Q12" s="4">
        <v>1054305</v>
      </c>
      <c r="R12" s="2">
        <v>0</v>
      </c>
      <c r="S12" s="2" t="s">
        <v>25</v>
      </c>
      <c r="T12" s="4">
        <v>75717</v>
      </c>
    </row>
    <row r="13" spans="1:20" x14ac:dyDescent="0.3">
      <c r="A13" s="6" t="s">
        <v>62</v>
      </c>
      <c r="B13" s="6" t="s">
        <v>52</v>
      </c>
      <c r="C13" s="6" t="s">
        <v>53</v>
      </c>
      <c r="D13" s="6" t="s">
        <v>22</v>
      </c>
      <c r="E13" s="6" t="s">
        <v>63</v>
      </c>
      <c r="F13" s="6" t="s">
        <v>42</v>
      </c>
      <c r="G13" s="6">
        <v>32</v>
      </c>
      <c r="H13" s="2" t="str" cm="1">
        <f t="array" ref="H13">_xlfn.IFS(G13&lt;30,"&lt;30",G13&lt;=40,"30-40",G13&lt;=50,"40-50",LoanData!G13&gt;50,"50+")</f>
        <v>30-40</v>
      </c>
      <c r="I13" s="7">
        <v>45346</v>
      </c>
      <c r="J13" s="8">
        <v>448000</v>
      </c>
      <c r="K13" s="6">
        <v>36</v>
      </c>
      <c r="L13" s="9">
        <v>11.6</v>
      </c>
      <c r="M13" s="8">
        <v>14795</v>
      </c>
      <c r="N13" s="6">
        <v>5</v>
      </c>
      <c r="O13" s="6">
        <v>5</v>
      </c>
      <c r="P13" s="8">
        <v>73975</v>
      </c>
      <c r="Q13" s="8">
        <v>394659</v>
      </c>
      <c r="R13" s="6">
        <v>0</v>
      </c>
      <c r="S13" s="6" t="s">
        <v>25</v>
      </c>
      <c r="T13" s="8">
        <v>20634</v>
      </c>
    </row>
    <row r="14" spans="1:20" x14ac:dyDescent="0.3">
      <c r="A14" s="2" t="s">
        <v>64</v>
      </c>
      <c r="B14" s="2" t="s">
        <v>65</v>
      </c>
      <c r="C14" s="2" t="s">
        <v>28</v>
      </c>
      <c r="D14" s="2" t="s">
        <v>57</v>
      </c>
      <c r="E14" s="2" t="s">
        <v>66</v>
      </c>
      <c r="F14" s="2" t="s">
        <v>31</v>
      </c>
      <c r="G14" s="2">
        <v>36</v>
      </c>
      <c r="H14" s="2" t="str" cm="1">
        <f t="array" ref="H14">_xlfn.IFS(G14&lt;30,"&lt;30",G14&lt;=40,"30-40",G14&lt;=50,"40-50",LoanData!G14&gt;50,"50+")</f>
        <v>30-40</v>
      </c>
      <c r="I14" s="3">
        <v>45377</v>
      </c>
      <c r="J14" s="4">
        <v>1926000</v>
      </c>
      <c r="K14" s="2">
        <v>60</v>
      </c>
      <c r="L14" s="5">
        <v>14.1</v>
      </c>
      <c r="M14" s="4">
        <v>44915</v>
      </c>
      <c r="N14" s="2">
        <v>4</v>
      </c>
      <c r="O14" s="2">
        <v>2</v>
      </c>
      <c r="P14" s="4">
        <v>89830</v>
      </c>
      <c r="Q14" s="4">
        <v>1881170</v>
      </c>
      <c r="R14" s="2">
        <v>48</v>
      </c>
      <c r="S14" s="2" t="s">
        <v>47</v>
      </c>
      <c r="T14" s="4">
        <v>45000</v>
      </c>
    </row>
    <row r="15" spans="1:20" x14ac:dyDescent="0.3">
      <c r="A15" s="6" t="s">
        <v>67</v>
      </c>
      <c r="B15" s="6" t="s">
        <v>33</v>
      </c>
      <c r="C15" s="6" t="s">
        <v>34</v>
      </c>
      <c r="D15" s="6" t="s">
        <v>49</v>
      </c>
      <c r="E15" s="6" t="s">
        <v>68</v>
      </c>
      <c r="F15" s="6" t="s">
        <v>42</v>
      </c>
      <c r="G15" s="6">
        <v>40</v>
      </c>
      <c r="H15" s="2" t="str" cm="1">
        <f t="array" ref="H15">_xlfn.IFS(G15&lt;30,"&lt;30",G15&lt;=40,"30-40",G15&lt;=50,"40-50",LoanData!G15&gt;50,"50+")</f>
        <v>30-40</v>
      </c>
      <c r="I15" s="7">
        <v>45347</v>
      </c>
      <c r="J15" s="8">
        <v>727000</v>
      </c>
      <c r="K15" s="6">
        <v>36</v>
      </c>
      <c r="L15" s="9">
        <v>12.9</v>
      </c>
      <c r="M15" s="8">
        <v>24461</v>
      </c>
      <c r="N15" s="6">
        <v>5</v>
      </c>
      <c r="O15" s="6">
        <v>5</v>
      </c>
      <c r="P15" s="8">
        <v>122305</v>
      </c>
      <c r="Q15" s="8">
        <v>641965</v>
      </c>
      <c r="R15" s="6">
        <v>0</v>
      </c>
      <c r="S15" s="6" t="s">
        <v>25</v>
      </c>
      <c r="T15" s="8">
        <v>37270</v>
      </c>
    </row>
    <row r="16" spans="1:20" x14ac:dyDescent="0.3">
      <c r="A16" s="2" t="s">
        <v>69</v>
      </c>
      <c r="B16" s="2" t="s">
        <v>40</v>
      </c>
      <c r="C16" s="2" t="s">
        <v>34</v>
      </c>
      <c r="D16" s="2" t="s">
        <v>35</v>
      </c>
      <c r="E16" s="2" t="s">
        <v>70</v>
      </c>
      <c r="F16" s="2" t="s">
        <v>42</v>
      </c>
      <c r="G16" s="2">
        <v>49</v>
      </c>
      <c r="H16" s="2" t="str" cm="1">
        <f t="array" ref="H16">_xlfn.IFS(G16&lt;30,"&lt;30",G16&lt;=40,"30-40",G16&lt;=50,"40-50",LoanData!G16&gt;50,"50+")</f>
        <v>40-50</v>
      </c>
      <c r="I16" s="3">
        <v>45373</v>
      </c>
      <c r="J16" s="4">
        <v>169000</v>
      </c>
      <c r="K16" s="2">
        <v>12</v>
      </c>
      <c r="L16" s="5">
        <v>15.3</v>
      </c>
      <c r="M16" s="4">
        <v>15278</v>
      </c>
      <c r="N16" s="2">
        <v>4</v>
      </c>
      <c r="O16" s="2">
        <v>4</v>
      </c>
      <c r="P16" s="4">
        <v>61112</v>
      </c>
      <c r="Q16" s="4">
        <v>115496</v>
      </c>
      <c r="R16" s="2">
        <v>0</v>
      </c>
      <c r="S16" s="2" t="s">
        <v>25</v>
      </c>
      <c r="T16" s="4">
        <v>7608</v>
      </c>
    </row>
    <row r="17" spans="1:20" x14ac:dyDescent="0.3">
      <c r="A17" s="6" t="s">
        <v>71</v>
      </c>
      <c r="B17" s="6" t="s">
        <v>60</v>
      </c>
      <c r="C17" s="6" t="s">
        <v>21</v>
      </c>
      <c r="D17" s="6" t="s">
        <v>57</v>
      </c>
      <c r="E17" s="6" t="s">
        <v>72</v>
      </c>
      <c r="F17" s="6" t="s">
        <v>42</v>
      </c>
      <c r="G17" s="6">
        <v>51</v>
      </c>
      <c r="H17" s="2" t="str" cm="1">
        <f t="array" ref="H17">_xlfn.IFS(G17&lt;30,"&lt;30",G17&lt;=40,"30-40",G17&lt;=50,"40-50",LoanData!G17&gt;50,"50+")</f>
        <v>50+</v>
      </c>
      <c r="I17" s="7">
        <v>45325</v>
      </c>
      <c r="J17" s="8">
        <v>371000</v>
      </c>
      <c r="K17" s="6">
        <v>24</v>
      </c>
      <c r="L17" s="9">
        <v>12.4</v>
      </c>
      <c r="M17" s="8">
        <v>17534</v>
      </c>
      <c r="N17" s="6">
        <v>5</v>
      </c>
      <c r="O17" s="6">
        <v>5</v>
      </c>
      <c r="P17" s="8">
        <v>87670</v>
      </c>
      <c r="Q17" s="8">
        <v>301070</v>
      </c>
      <c r="R17" s="6">
        <v>0</v>
      </c>
      <c r="S17" s="6" t="s">
        <v>25</v>
      </c>
      <c r="T17" s="8">
        <v>17740</v>
      </c>
    </row>
    <row r="18" spans="1:20" x14ac:dyDescent="0.3">
      <c r="A18" s="2" t="s">
        <v>73</v>
      </c>
      <c r="B18" s="2" t="s">
        <v>52</v>
      </c>
      <c r="C18" s="2" t="s">
        <v>53</v>
      </c>
      <c r="D18" s="2" t="s">
        <v>29</v>
      </c>
      <c r="E18" s="2" t="s">
        <v>74</v>
      </c>
      <c r="F18" s="2" t="s">
        <v>31</v>
      </c>
      <c r="G18" s="2">
        <v>33</v>
      </c>
      <c r="H18" s="2" t="str" cm="1">
        <f t="array" ref="H18">_xlfn.IFS(G18&lt;30,"&lt;30",G18&lt;=40,"30-40",G18&lt;=50,"40-50",LoanData!G18&gt;50,"50+")</f>
        <v>30-40</v>
      </c>
      <c r="I18" s="3">
        <v>45328</v>
      </c>
      <c r="J18" s="4">
        <v>171000</v>
      </c>
      <c r="K18" s="2">
        <v>12</v>
      </c>
      <c r="L18" s="5">
        <v>10</v>
      </c>
      <c r="M18" s="4">
        <v>15034</v>
      </c>
      <c r="N18" s="2">
        <v>5</v>
      </c>
      <c r="O18" s="2">
        <v>5</v>
      </c>
      <c r="P18" s="4">
        <v>75170</v>
      </c>
      <c r="Q18" s="4">
        <v>101813</v>
      </c>
      <c r="R18" s="2">
        <v>0</v>
      </c>
      <c r="S18" s="2" t="s">
        <v>25</v>
      </c>
      <c r="T18" s="4">
        <v>5983</v>
      </c>
    </row>
    <row r="19" spans="1:20" x14ac:dyDescent="0.3">
      <c r="A19" s="6" t="s">
        <v>75</v>
      </c>
      <c r="B19" s="6" t="s">
        <v>60</v>
      </c>
      <c r="C19" s="6" t="s">
        <v>21</v>
      </c>
      <c r="D19" s="6" t="s">
        <v>49</v>
      </c>
      <c r="E19" s="6" t="s">
        <v>76</v>
      </c>
      <c r="F19" s="6" t="s">
        <v>31</v>
      </c>
      <c r="G19" s="6">
        <v>47</v>
      </c>
      <c r="H19" s="2" t="str" cm="1">
        <f t="array" ref="H19">_xlfn.IFS(G19&lt;30,"&lt;30",G19&lt;=40,"30-40",G19&lt;=50,"40-50",LoanData!G19&gt;50,"50+")</f>
        <v>40-50</v>
      </c>
      <c r="I19" s="7">
        <v>45410</v>
      </c>
      <c r="J19" s="8">
        <v>583000</v>
      </c>
      <c r="K19" s="6">
        <v>24</v>
      </c>
      <c r="L19" s="9">
        <v>14.5</v>
      </c>
      <c r="M19" s="8">
        <v>28129</v>
      </c>
      <c r="N19" s="6">
        <v>3</v>
      </c>
      <c r="O19" s="6">
        <v>0</v>
      </c>
      <c r="P19" s="8">
        <v>0</v>
      </c>
      <c r="Q19" s="8">
        <v>583000</v>
      </c>
      <c r="R19" s="6">
        <v>236</v>
      </c>
      <c r="S19" s="6" t="s">
        <v>55</v>
      </c>
      <c r="T19" s="8">
        <v>0</v>
      </c>
    </row>
    <row r="20" spans="1:20" x14ac:dyDescent="0.3">
      <c r="A20" s="2" t="s">
        <v>77</v>
      </c>
      <c r="B20" s="2" t="s">
        <v>60</v>
      </c>
      <c r="C20" s="2" t="s">
        <v>21</v>
      </c>
      <c r="D20" s="2" t="s">
        <v>29</v>
      </c>
      <c r="E20" s="2" t="s">
        <v>78</v>
      </c>
      <c r="F20" s="2" t="s">
        <v>31</v>
      </c>
      <c r="G20" s="2">
        <v>38</v>
      </c>
      <c r="H20" s="2" t="str" cm="1">
        <f t="array" ref="H20">_xlfn.IFS(G20&lt;30,"&lt;30",G20&lt;=40,"30-40",G20&lt;=50,"40-50",LoanData!G20&gt;50,"50+")</f>
        <v>30-40</v>
      </c>
      <c r="I20" s="3">
        <v>45387</v>
      </c>
      <c r="J20" s="4">
        <v>290000</v>
      </c>
      <c r="K20" s="2">
        <v>24</v>
      </c>
      <c r="L20" s="5">
        <v>10.8</v>
      </c>
      <c r="M20" s="4">
        <v>13489</v>
      </c>
      <c r="N20" s="2">
        <v>3</v>
      </c>
      <c r="O20" s="2">
        <v>3</v>
      </c>
      <c r="P20" s="4">
        <v>40467</v>
      </c>
      <c r="Q20" s="4">
        <v>257067</v>
      </c>
      <c r="R20" s="2">
        <v>0</v>
      </c>
      <c r="S20" s="2" t="s">
        <v>25</v>
      </c>
      <c r="T20" s="4">
        <v>7534</v>
      </c>
    </row>
    <row r="21" spans="1:20" x14ac:dyDescent="0.3">
      <c r="A21" s="6" t="s">
        <v>79</v>
      </c>
      <c r="B21" s="6" t="s">
        <v>80</v>
      </c>
      <c r="C21" s="6" t="s">
        <v>53</v>
      </c>
      <c r="D21" s="6" t="s">
        <v>49</v>
      </c>
      <c r="E21" s="6" t="s">
        <v>81</v>
      </c>
      <c r="F21" s="6" t="s">
        <v>42</v>
      </c>
      <c r="G21" s="6">
        <v>42</v>
      </c>
      <c r="H21" s="2" t="str" cm="1">
        <f t="array" ref="H21">_xlfn.IFS(G21&lt;30,"&lt;30",G21&lt;=40,"30-40",G21&lt;=50,"40-50",LoanData!G21&gt;50,"50+")</f>
        <v>40-50</v>
      </c>
      <c r="I21" s="7">
        <v>45374</v>
      </c>
      <c r="J21" s="8">
        <v>124000</v>
      </c>
      <c r="K21" s="6">
        <v>48</v>
      </c>
      <c r="L21" s="9">
        <v>13.4</v>
      </c>
      <c r="M21" s="8">
        <v>3351</v>
      </c>
      <c r="N21" s="6">
        <v>4</v>
      </c>
      <c r="O21" s="6">
        <v>4</v>
      </c>
      <c r="P21" s="8">
        <v>13404</v>
      </c>
      <c r="Q21" s="8">
        <v>116001</v>
      </c>
      <c r="R21" s="6">
        <v>0</v>
      </c>
      <c r="S21" s="6" t="s">
        <v>25</v>
      </c>
      <c r="T21" s="8">
        <v>5405</v>
      </c>
    </row>
    <row r="22" spans="1:20" x14ac:dyDescent="0.3">
      <c r="A22" s="2" t="s">
        <v>82</v>
      </c>
      <c r="B22" s="2" t="s">
        <v>60</v>
      </c>
      <c r="C22" s="2" t="s">
        <v>21</v>
      </c>
      <c r="D22" s="2" t="s">
        <v>49</v>
      </c>
      <c r="E22" s="2" t="s">
        <v>83</v>
      </c>
      <c r="F22" s="2" t="s">
        <v>31</v>
      </c>
      <c r="G22" s="2">
        <v>43</v>
      </c>
      <c r="H22" s="2" t="str" cm="1">
        <f t="array" ref="H22">_xlfn.IFS(G22&lt;30,"&lt;30",G22&lt;=40,"30-40",G22&lt;=50,"40-50",LoanData!G22&gt;50,"50+")</f>
        <v>40-50</v>
      </c>
      <c r="I22" s="3">
        <v>45457</v>
      </c>
      <c r="J22" s="4">
        <v>661000</v>
      </c>
      <c r="K22" s="2">
        <v>48</v>
      </c>
      <c r="L22" s="5">
        <v>14.9</v>
      </c>
      <c r="M22" s="4">
        <v>18363</v>
      </c>
      <c r="N22" s="2">
        <v>1</v>
      </c>
      <c r="O22" s="2">
        <v>0</v>
      </c>
      <c r="P22" s="4">
        <v>0</v>
      </c>
      <c r="Q22" s="4">
        <v>661000</v>
      </c>
      <c r="R22" s="2">
        <v>10</v>
      </c>
      <c r="S22" s="2" t="s">
        <v>47</v>
      </c>
      <c r="T22" s="4">
        <v>0</v>
      </c>
    </row>
    <row r="23" spans="1:20" x14ac:dyDescent="0.3">
      <c r="A23" s="6" t="s">
        <v>84</v>
      </c>
      <c r="B23" s="6" t="s">
        <v>65</v>
      </c>
      <c r="C23" s="6" t="s">
        <v>28</v>
      </c>
      <c r="D23" s="6" t="s">
        <v>49</v>
      </c>
      <c r="E23" s="6" t="s">
        <v>85</v>
      </c>
      <c r="F23" s="6" t="s">
        <v>24</v>
      </c>
      <c r="G23" s="6">
        <v>56</v>
      </c>
      <c r="H23" s="2" t="str" cm="1">
        <f t="array" ref="H23">_xlfn.IFS(G23&lt;30,"&lt;30",G23&lt;=40,"30-40",G23&lt;=50,"40-50",LoanData!G23&gt;50,"50+")</f>
        <v>50+</v>
      </c>
      <c r="I23" s="7">
        <v>45425</v>
      </c>
      <c r="J23" s="8">
        <v>516000</v>
      </c>
      <c r="K23" s="6">
        <v>60</v>
      </c>
      <c r="L23" s="9">
        <v>11.1</v>
      </c>
      <c r="M23" s="8">
        <v>11245</v>
      </c>
      <c r="N23" s="6">
        <v>2</v>
      </c>
      <c r="O23" s="6">
        <v>2</v>
      </c>
      <c r="P23" s="8">
        <v>22490</v>
      </c>
      <c r="Q23" s="8">
        <v>502996</v>
      </c>
      <c r="R23" s="6">
        <v>0</v>
      </c>
      <c r="S23" s="6" t="s">
        <v>25</v>
      </c>
      <c r="T23" s="8">
        <v>9486</v>
      </c>
    </row>
    <row r="24" spans="1:20" x14ac:dyDescent="0.3">
      <c r="A24" s="2" t="s">
        <v>86</v>
      </c>
      <c r="B24" s="2" t="s">
        <v>27</v>
      </c>
      <c r="C24" s="2" t="s">
        <v>28</v>
      </c>
      <c r="D24" s="2" t="s">
        <v>35</v>
      </c>
      <c r="E24" s="2" t="s">
        <v>87</v>
      </c>
      <c r="F24" s="2" t="s">
        <v>24</v>
      </c>
      <c r="G24" s="2">
        <v>48</v>
      </c>
      <c r="H24" s="2" t="str" cm="1">
        <f t="array" ref="H24">_xlfn.IFS(G24&lt;30,"&lt;30",G24&lt;=40,"30-40",G24&lt;=50,"40-50",LoanData!G24&gt;50,"50+")</f>
        <v>40-50</v>
      </c>
      <c r="I24" s="3">
        <v>45457</v>
      </c>
      <c r="J24" s="4">
        <v>72000</v>
      </c>
      <c r="K24" s="2">
        <v>12</v>
      </c>
      <c r="L24" s="5">
        <v>15.7</v>
      </c>
      <c r="M24" s="4">
        <v>6522</v>
      </c>
      <c r="N24" s="2">
        <v>1</v>
      </c>
      <c r="O24" s="2">
        <v>1</v>
      </c>
      <c r="P24" s="4">
        <v>6522</v>
      </c>
      <c r="Q24" s="4">
        <v>66420</v>
      </c>
      <c r="R24" s="2">
        <v>0</v>
      </c>
      <c r="S24" s="2" t="s">
        <v>25</v>
      </c>
      <c r="T24" s="4">
        <v>942</v>
      </c>
    </row>
    <row r="25" spans="1:20" x14ac:dyDescent="0.3">
      <c r="A25" s="6" t="s">
        <v>88</v>
      </c>
      <c r="B25" s="6" t="s">
        <v>20</v>
      </c>
      <c r="C25" s="6" t="s">
        <v>21</v>
      </c>
      <c r="D25" s="6" t="s">
        <v>22</v>
      </c>
      <c r="E25" s="6" t="s">
        <v>89</v>
      </c>
      <c r="F25" s="6" t="s">
        <v>31</v>
      </c>
      <c r="G25" s="6">
        <v>25</v>
      </c>
      <c r="H25" s="2" t="str" cm="1">
        <f t="array" ref="H25">_xlfn.IFS(G25&lt;30,"&lt;30",G25&lt;=40,"30-40",G25&lt;=50,"40-50",LoanData!G25&gt;50,"50+")</f>
        <v>&lt;30</v>
      </c>
      <c r="I25" s="7">
        <v>45388</v>
      </c>
      <c r="J25" s="8">
        <v>558000</v>
      </c>
      <c r="K25" s="6">
        <v>48</v>
      </c>
      <c r="L25" s="9">
        <v>10.9</v>
      </c>
      <c r="M25" s="8">
        <v>14395</v>
      </c>
      <c r="N25" s="6">
        <v>3</v>
      </c>
      <c r="O25" s="6">
        <v>3</v>
      </c>
      <c r="P25" s="8">
        <v>43185</v>
      </c>
      <c r="Q25" s="8">
        <v>529766</v>
      </c>
      <c r="R25" s="6">
        <v>0</v>
      </c>
      <c r="S25" s="6" t="s">
        <v>25</v>
      </c>
      <c r="T25" s="8">
        <v>14951</v>
      </c>
    </row>
    <row r="26" spans="1:20" x14ac:dyDescent="0.3">
      <c r="A26" s="2" t="s">
        <v>90</v>
      </c>
      <c r="B26" s="2" t="s">
        <v>20</v>
      </c>
      <c r="C26" s="2" t="s">
        <v>21</v>
      </c>
      <c r="D26" s="2" t="s">
        <v>49</v>
      </c>
      <c r="E26" s="2" t="s">
        <v>91</v>
      </c>
      <c r="F26" s="2" t="s">
        <v>31</v>
      </c>
      <c r="G26" s="2">
        <v>53</v>
      </c>
      <c r="H26" s="2" t="str" cm="1">
        <f t="array" ref="H26">_xlfn.IFS(G26&lt;30,"&lt;30",G26&lt;=40,"30-40",G26&lt;=50,"40-50",LoanData!G26&gt;50,"50+")</f>
        <v>50+</v>
      </c>
      <c r="I26" s="3">
        <v>45395</v>
      </c>
      <c r="J26" s="4">
        <v>551000</v>
      </c>
      <c r="K26" s="2">
        <v>48</v>
      </c>
      <c r="L26" s="5">
        <v>14.4</v>
      </c>
      <c r="M26" s="4">
        <v>15168</v>
      </c>
      <c r="N26" s="2">
        <v>3</v>
      </c>
      <c r="O26" s="2">
        <v>3</v>
      </c>
      <c r="P26" s="4">
        <v>45504</v>
      </c>
      <c r="Q26" s="4">
        <v>525024</v>
      </c>
      <c r="R26" s="2">
        <v>0</v>
      </c>
      <c r="S26" s="2" t="s">
        <v>25</v>
      </c>
      <c r="T26" s="4">
        <v>19528</v>
      </c>
    </row>
    <row r="27" spans="1:20" x14ac:dyDescent="0.3">
      <c r="A27" s="6" t="s">
        <v>92</v>
      </c>
      <c r="B27" s="6" t="s">
        <v>40</v>
      </c>
      <c r="C27" s="6" t="s">
        <v>34</v>
      </c>
      <c r="D27" s="6" t="s">
        <v>57</v>
      </c>
      <c r="E27" s="6" t="s">
        <v>93</v>
      </c>
      <c r="F27" s="6" t="s">
        <v>42</v>
      </c>
      <c r="G27" s="6">
        <v>32</v>
      </c>
      <c r="H27" s="2" t="str" cm="1">
        <f t="array" ref="H27">_xlfn.IFS(G27&lt;30,"&lt;30",G27&lt;=40,"30-40",G27&lt;=50,"40-50",LoanData!G27&gt;50,"50+")</f>
        <v>30-40</v>
      </c>
      <c r="I27" s="7">
        <v>45309</v>
      </c>
      <c r="J27" s="8">
        <v>763000</v>
      </c>
      <c r="K27" s="6">
        <v>60</v>
      </c>
      <c r="L27" s="9">
        <v>13.2</v>
      </c>
      <c r="M27" s="8">
        <v>17439</v>
      </c>
      <c r="N27" s="6">
        <v>6</v>
      </c>
      <c r="O27" s="6">
        <v>0</v>
      </c>
      <c r="P27" s="8">
        <v>0</v>
      </c>
      <c r="Q27" s="8">
        <v>763000</v>
      </c>
      <c r="R27" s="6">
        <v>224</v>
      </c>
      <c r="S27" s="6" t="s">
        <v>55</v>
      </c>
      <c r="T27" s="8">
        <v>0</v>
      </c>
    </row>
    <row r="28" spans="1:20" x14ac:dyDescent="0.3">
      <c r="A28" s="2" t="s">
        <v>94</v>
      </c>
      <c r="B28" s="2" t="s">
        <v>80</v>
      </c>
      <c r="C28" s="2" t="s">
        <v>53</v>
      </c>
      <c r="D28" s="2" t="s">
        <v>22</v>
      </c>
      <c r="E28" s="2" t="s">
        <v>95</v>
      </c>
      <c r="F28" s="2" t="s">
        <v>42</v>
      </c>
      <c r="G28" s="2">
        <v>50</v>
      </c>
      <c r="H28" s="2" t="str" cm="1">
        <f t="array" ref="H28">_xlfn.IFS(G28&lt;30,"&lt;30",G28&lt;=40,"30-40",G28&lt;=50,"40-50",LoanData!G28&gt;50,"50+")</f>
        <v>40-50</v>
      </c>
      <c r="I28" s="3">
        <v>45344</v>
      </c>
      <c r="J28" s="4">
        <v>1476000</v>
      </c>
      <c r="K28" s="2">
        <v>24</v>
      </c>
      <c r="L28" s="5">
        <v>14</v>
      </c>
      <c r="M28" s="4">
        <v>70867</v>
      </c>
      <c r="N28" s="2">
        <v>5</v>
      </c>
      <c r="O28" s="2">
        <v>5</v>
      </c>
      <c r="P28" s="4">
        <v>354335</v>
      </c>
      <c r="Q28" s="4">
        <v>1201433</v>
      </c>
      <c r="R28" s="2">
        <v>0</v>
      </c>
      <c r="S28" s="2" t="s">
        <v>25</v>
      </c>
      <c r="T28" s="4">
        <v>79768</v>
      </c>
    </row>
    <row r="29" spans="1:20" x14ac:dyDescent="0.3">
      <c r="A29" s="6" t="s">
        <v>96</v>
      </c>
      <c r="B29" s="6" t="s">
        <v>20</v>
      </c>
      <c r="C29" s="6" t="s">
        <v>21</v>
      </c>
      <c r="D29" s="6" t="s">
        <v>35</v>
      </c>
      <c r="E29" s="6" t="s">
        <v>97</v>
      </c>
      <c r="F29" s="6" t="s">
        <v>31</v>
      </c>
      <c r="G29" s="6">
        <v>55</v>
      </c>
      <c r="H29" s="2" t="str" cm="1">
        <f t="array" ref="H29">_xlfn.IFS(G29&lt;30,"&lt;30",G29&lt;=40,"30-40",G29&lt;=50,"40-50",LoanData!G29&gt;50,"50+")</f>
        <v>50+</v>
      </c>
      <c r="I29" s="7">
        <v>45330</v>
      </c>
      <c r="J29" s="8">
        <v>478000</v>
      </c>
      <c r="K29" s="6">
        <v>24</v>
      </c>
      <c r="L29" s="9">
        <v>15.3</v>
      </c>
      <c r="M29" s="8">
        <v>23245</v>
      </c>
      <c r="N29" s="6">
        <v>5</v>
      </c>
      <c r="O29" s="6">
        <v>5</v>
      </c>
      <c r="P29" s="8">
        <v>116225</v>
      </c>
      <c r="Q29" s="8">
        <v>390034</v>
      </c>
      <c r="R29" s="6">
        <v>0</v>
      </c>
      <c r="S29" s="6" t="s">
        <v>25</v>
      </c>
      <c r="T29" s="8">
        <v>28259</v>
      </c>
    </row>
    <row r="30" spans="1:20" x14ac:dyDescent="0.3">
      <c r="A30" s="2" t="s">
        <v>98</v>
      </c>
      <c r="B30" s="2" t="s">
        <v>80</v>
      </c>
      <c r="C30" s="2" t="s">
        <v>53</v>
      </c>
      <c r="D30" s="2" t="s">
        <v>57</v>
      </c>
      <c r="E30" s="2" t="s">
        <v>99</v>
      </c>
      <c r="F30" s="2" t="s">
        <v>24</v>
      </c>
      <c r="G30" s="2">
        <v>40</v>
      </c>
      <c r="H30" s="2" t="str" cm="1">
        <f t="array" ref="H30">_xlfn.IFS(G30&lt;30,"&lt;30",G30&lt;=40,"30-40",G30&lt;=50,"40-50",LoanData!G30&gt;50,"50+")</f>
        <v>30-40</v>
      </c>
      <c r="I30" s="3">
        <v>45449</v>
      </c>
      <c r="J30" s="4">
        <v>1893000</v>
      </c>
      <c r="K30" s="2">
        <v>60</v>
      </c>
      <c r="L30" s="5">
        <v>13.9</v>
      </c>
      <c r="M30" s="4">
        <v>43949</v>
      </c>
      <c r="N30" s="2">
        <v>1</v>
      </c>
      <c r="O30" s="2">
        <v>1</v>
      </c>
      <c r="P30" s="4">
        <v>43949</v>
      </c>
      <c r="Q30" s="4">
        <v>1870979</v>
      </c>
      <c r="R30" s="2">
        <v>0</v>
      </c>
      <c r="S30" s="2" t="s">
        <v>25</v>
      </c>
      <c r="T30" s="4">
        <v>21928</v>
      </c>
    </row>
    <row r="31" spans="1:20" x14ac:dyDescent="0.3">
      <c r="A31" s="6" t="s">
        <v>100</v>
      </c>
      <c r="B31" s="6" t="s">
        <v>52</v>
      </c>
      <c r="C31" s="6" t="s">
        <v>53</v>
      </c>
      <c r="D31" s="6" t="s">
        <v>57</v>
      </c>
      <c r="E31" s="6" t="s">
        <v>101</v>
      </c>
      <c r="F31" s="6" t="s">
        <v>42</v>
      </c>
      <c r="G31" s="6">
        <v>46</v>
      </c>
      <c r="H31" s="2" t="str" cm="1">
        <f t="array" ref="H31">_xlfn.IFS(G31&lt;30,"&lt;30",G31&lt;=40,"30-40",G31&lt;=50,"40-50",LoanData!G31&gt;50,"50+")</f>
        <v>40-50</v>
      </c>
      <c r="I31" s="7">
        <v>45294</v>
      </c>
      <c r="J31" s="8">
        <v>1955000</v>
      </c>
      <c r="K31" s="6">
        <v>48</v>
      </c>
      <c r="L31" s="9">
        <v>12.9</v>
      </c>
      <c r="M31" s="8">
        <v>52351</v>
      </c>
      <c r="N31" s="6">
        <v>6</v>
      </c>
      <c r="O31" s="6">
        <v>6</v>
      </c>
      <c r="P31" s="8">
        <v>314106</v>
      </c>
      <c r="Q31" s="8">
        <v>1761867</v>
      </c>
      <c r="R31" s="6">
        <v>0</v>
      </c>
      <c r="S31" s="6" t="s">
        <v>25</v>
      </c>
      <c r="T31" s="8">
        <v>120973</v>
      </c>
    </row>
    <row r="32" spans="1:20" x14ac:dyDescent="0.3">
      <c r="A32" s="2" t="s">
        <v>102</v>
      </c>
      <c r="B32" s="2" t="s">
        <v>65</v>
      </c>
      <c r="C32" s="2" t="s">
        <v>28</v>
      </c>
      <c r="D32" s="2" t="s">
        <v>49</v>
      </c>
      <c r="E32" s="2" t="s">
        <v>103</v>
      </c>
      <c r="F32" s="2" t="s">
        <v>42</v>
      </c>
      <c r="G32" s="2">
        <v>32</v>
      </c>
      <c r="H32" s="2" t="str" cm="1">
        <f t="array" ref="H32">_xlfn.IFS(G32&lt;30,"&lt;30",G32&lt;=40,"30-40",G32&lt;=50,"40-50",LoanData!G32&gt;50,"50+")</f>
        <v>30-40</v>
      </c>
      <c r="I32" s="3">
        <v>45301</v>
      </c>
      <c r="J32" s="4">
        <v>381000</v>
      </c>
      <c r="K32" s="2">
        <v>24</v>
      </c>
      <c r="L32" s="5">
        <v>12.8</v>
      </c>
      <c r="M32" s="4">
        <v>18078</v>
      </c>
      <c r="N32" s="2">
        <v>6</v>
      </c>
      <c r="O32" s="2">
        <v>4</v>
      </c>
      <c r="P32" s="4">
        <v>72312</v>
      </c>
      <c r="Q32" s="4">
        <v>324042</v>
      </c>
      <c r="R32" s="2">
        <v>48</v>
      </c>
      <c r="S32" s="2" t="s">
        <v>47</v>
      </c>
      <c r="T32" s="4">
        <v>15354</v>
      </c>
    </row>
    <row r="33" spans="1:20" x14ac:dyDescent="0.3">
      <c r="A33" s="6" t="s">
        <v>104</v>
      </c>
      <c r="B33" s="6" t="s">
        <v>65</v>
      </c>
      <c r="C33" s="6" t="s">
        <v>28</v>
      </c>
      <c r="D33" s="6" t="s">
        <v>57</v>
      </c>
      <c r="E33" s="6" t="s">
        <v>105</v>
      </c>
      <c r="F33" s="6" t="s">
        <v>42</v>
      </c>
      <c r="G33" s="6">
        <v>26</v>
      </c>
      <c r="H33" s="2" t="str" cm="1">
        <f t="array" ref="H33">_xlfn.IFS(G33&lt;30,"&lt;30",G33&lt;=40,"30-40",G33&lt;=50,"40-50",LoanData!G33&gt;50,"50+")</f>
        <v>&lt;30</v>
      </c>
      <c r="I33" s="7">
        <v>45358</v>
      </c>
      <c r="J33" s="8">
        <v>443000</v>
      </c>
      <c r="K33" s="6">
        <v>60</v>
      </c>
      <c r="L33" s="9">
        <v>15.2</v>
      </c>
      <c r="M33" s="8">
        <v>10586</v>
      </c>
      <c r="N33" s="6">
        <v>4</v>
      </c>
      <c r="O33" s="6">
        <v>2</v>
      </c>
      <c r="P33" s="8">
        <v>21172</v>
      </c>
      <c r="Q33" s="8">
        <v>432989</v>
      </c>
      <c r="R33" s="6">
        <v>71</v>
      </c>
      <c r="S33" s="6" t="s">
        <v>47</v>
      </c>
      <c r="T33" s="8">
        <v>11161</v>
      </c>
    </row>
    <row r="34" spans="1:20" x14ac:dyDescent="0.3">
      <c r="A34" s="2" t="s">
        <v>106</v>
      </c>
      <c r="B34" s="2" t="s">
        <v>60</v>
      </c>
      <c r="C34" s="2" t="s">
        <v>21</v>
      </c>
      <c r="D34" s="2" t="s">
        <v>49</v>
      </c>
      <c r="E34" s="2" t="s">
        <v>107</v>
      </c>
      <c r="F34" s="2" t="s">
        <v>31</v>
      </c>
      <c r="G34" s="2">
        <v>27</v>
      </c>
      <c r="H34" s="2" t="str" cm="1">
        <f t="array" ref="H34">_xlfn.IFS(G34&lt;30,"&lt;30",G34&lt;=40,"30-40",G34&lt;=50,"40-50",LoanData!G34&gt;50,"50+")</f>
        <v>&lt;30</v>
      </c>
      <c r="I34" s="3">
        <v>45305</v>
      </c>
      <c r="J34" s="4">
        <v>652000</v>
      </c>
      <c r="K34" s="2">
        <v>60</v>
      </c>
      <c r="L34" s="5">
        <v>14.4</v>
      </c>
      <c r="M34" s="4">
        <v>15306</v>
      </c>
      <c r="N34" s="2">
        <v>6</v>
      </c>
      <c r="O34" s="2">
        <v>6</v>
      </c>
      <c r="P34" s="4">
        <v>91836</v>
      </c>
      <c r="Q34" s="4">
        <v>605737</v>
      </c>
      <c r="R34" s="2">
        <v>0</v>
      </c>
      <c r="S34" s="2" t="s">
        <v>25</v>
      </c>
      <c r="T34" s="4">
        <v>45573</v>
      </c>
    </row>
    <row r="35" spans="1:20" x14ac:dyDescent="0.3">
      <c r="A35" s="6" t="s">
        <v>108</v>
      </c>
      <c r="B35" s="6" t="s">
        <v>60</v>
      </c>
      <c r="C35" s="6" t="s">
        <v>21</v>
      </c>
      <c r="D35" s="6" t="s">
        <v>35</v>
      </c>
      <c r="E35" s="6" t="s">
        <v>109</v>
      </c>
      <c r="F35" s="6" t="s">
        <v>42</v>
      </c>
      <c r="G35" s="6">
        <v>54</v>
      </c>
      <c r="H35" s="2" t="str" cm="1">
        <f t="array" ref="H35">_xlfn.IFS(G35&lt;30,"&lt;30",G35&lt;=40,"30-40",G35&lt;=50,"40-50",LoanData!G35&gt;50,"50+")</f>
        <v>50+</v>
      </c>
      <c r="I35" s="7">
        <v>45404</v>
      </c>
      <c r="J35" s="8">
        <v>274000</v>
      </c>
      <c r="K35" s="6">
        <v>36</v>
      </c>
      <c r="L35" s="9">
        <v>16.100000000000001</v>
      </c>
      <c r="M35" s="8">
        <v>9647</v>
      </c>
      <c r="N35" s="6">
        <v>3</v>
      </c>
      <c r="O35" s="6">
        <v>3</v>
      </c>
      <c r="P35" s="8">
        <v>28941</v>
      </c>
      <c r="Q35" s="8">
        <v>255847</v>
      </c>
      <c r="R35" s="6">
        <v>0</v>
      </c>
      <c r="S35" s="6" t="s">
        <v>25</v>
      </c>
      <c r="T35" s="8">
        <v>10788</v>
      </c>
    </row>
    <row r="36" spans="1:20" x14ac:dyDescent="0.3">
      <c r="A36" s="2" t="s">
        <v>110</v>
      </c>
      <c r="B36" s="2" t="s">
        <v>52</v>
      </c>
      <c r="C36" s="2" t="s">
        <v>53</v>
      </c>
      <c r="D36" s="2" t="s">
        <v>29</v>
      </c>
      <c r="E36" s="2" t="s">
        <v>111</v>
      </c>
      <c r="F36" s="2" t="s">
        <v>42</v>
      </c>
      <c r="G36" s="2">
        <v>23</v>
      </c>
      <c r="H36" s="2" t="str" cm="1">
        <f t="array" ref="H36">_xlfn.IFS(G36&lt;30,"&lt;30",G36&lt;=40,"30-40",G36&lt;=50,"40-50",LoanData!G36&gt;50,"50+")</f>
        <v>&lt;30</v>
      </c>
      <c r="I36" s="3">
        <v>45313</v>
      </c>
      <c r="J36" s="4">
        <v>63000</v>
      </c>
      <c r="K36" s="2">
        <v>24</v>
      </c>
      <c r="L36" s="5">
        <v>9.9</v>
      </c>
      <c r="M36" s="4">
        <v>2904</v>
      </c>
      <c r="N36" s="2">
        <v>6</v>
      </c>
      <c r="O36" s="2">
        <v>4</v>
      </c>
      <c r="P36" s="4">
        <v>11616</v>
      </c>
      <c r="Q36" s="4">
        <v>53343</v>
      </c>
      <c r="R36" s="2">
        <v>66</v>
      </c>
      <c r="S36" s="2" t="s">
        <v>47</v>
      </c>
      <c r="T36" s="4">
        <v>1959</v>
      </c>
    </row>
    <row r="37" spans="1:20" x14ac:dyDescent="0.3">
      <c r="A37" s="6" t="s">
        <v>112</v>
      </c>
      <c r="B37" s="6" t="s">
        <v>27</v>
      </c>
      <c r="C37" s="6" t="s">
        <v>28</v>
      </c>
      <c r="D37" s="6" t="s">
        <v>29</v>
      </c>
      <c r="E37" s="6" t="s">
        <v>113</v>
      </c>
      <c r="F37" s="6" t="s">
        <v>42</v>
      </c>
      <c r="G37" s="6">
        <v>54</v>
      </c>
      <c r="H37" s="2" t="str" cm="1">
        <f t="array" ref="H37">_xlfn.IFS(G37&lt;30,"&lt;30",G37&lt;=40,"30-40",G37&lt;=50,"40-50",LoanData!G37&gt;50,"50+")</f>
        <v>50+</v>
      </c>
      <c r="I37" s="7">
        <v>45373</v>
      </c>
      <c r="J37" s="8">
        <v>96000</v>
      </c>
      <c r="K37" s="6">
        <v>6</v>
      </c>
      <c r="L37" s="9">
        <v>9.1999999999999993</v>
      </c>
      <c r="M37" s="8">
        <v>16432</v>
      </c>
      <c r="N37" s="6">
        <v>4</v>
      </c>
      <c r="O37" s="6">
        <v>4</v>
      </c>
      <c r="P37" s="8">
        <v>65728</v>
      </c>
      <c r="Q37" s="8">
        <v>32490</v>
      </c>
      <c r="R37" s="6">
        <v>0</v>
      </c>
      <c r="S37" s="6" t="s">
        <v>25</v>
      </c>
      <c r="T37" s="8">
        <v>2218</v>
      </c>
    </row>
    <row r="38" spans="1:20" x14ac:dyDescent="0.3">
      <c r="A38" s="2" t="s">
        <v>114</v>
      </c>
      <c r="B38" s="2" t="s">
        <v>40</v>
      </c>
      <c r="C38" s="2" t="s">
        <v>34</v>
      </c>
      <c r="D38" s="2" t="s">
        <v>35</v>
      </c>
      <c r="E38" s="2" t="s">
        <v>115</v>
      </c>
      <c r="F38" s="2" t="s">
        <v>24</v>
      </c>
      <c r="G38" s="2">
        <v>49</v>
      </c>
      <c r="H38" s="2" t="str" cm="1">
        <f t="array" ref="H38">_xlfn.IFS(G38&lt;30,"&lt;30",G38&lt;=40,"30-40",G38&lt;=50,"40-50",LoanData!G38&gt;50,"50+")</f>
        <v>40-50</v>
      </c>
      <c r="I38" s="3">
        <v>45345</v>
      </c>
      <c r="J38" s="4">
        <v>97000</v>
      </c>
      <c r="K38" s="2">
        <v>36</v>
      </c>
      <c r="L38" s="5">
        <v>17.7</v>
      </c>
      <c r="M38" s="4">
        <v>3492</v>
      </c>
      <c r="N38" s="2">
        <v>5</v>
      </c>
      <c r="O38" s="2">
        <v>3</v>
      </c>
      <c r="P38" s="4">
        <v>10476</v>
      </c>
      <c r="Q38" s="4">
        <v>90724</v>
      </c>
      <c r="R38" s="2">
        <v>68</v>
      </c>
      <c r="S38" s="2" t="s">
        <v>47</v>
      </c>
      <c r="T38" s="4">
        <v>4200</v>
      </c>
    </row>
    <row r="39" spans="1:20" x14ac:dyDescent="0.3">
      <c r="A39" s="6" t="s">
        <v>116</v>
      </c>
      <c r="B39" s="6" t="s">
        <v>40</v>
      </c>
      <c r="C39" s="6" t="s">
        <v>34</v>
      </c>
      <c r="D39" s="6" t="s">
        <v>29</v>
      </c>
      <c r="E39" s="6" t="s">
        <v>117</v>
      </c>
      <c r="F39" s="6" t="s">
        <v>42</v>
      </c>
      <c r="G39" s="6">
        <v>45</v>
      </c>
      <c r="H39" s="2" t="str" cm="1">
        <f t="array" ref="H39">_xlfn.IFS(G39&lt;30,"&lt;30",G39&lt;=40,"30-40",G39&lt;=50,"40-50",LoanData!G39&gt;50,"50+")</f>
        <v>40-50</v>
      </c>
      <c r="I39" s="7">
        <v>45430</v>
      </c>
      <c r="J39" s="8">
        <v>252000</v>
      </c>
      <c r="K39" s="6">
        <v>6</v>
      </c>
      <c r="L39" s="9">
        <v>9.6</v>
      </c>
      <c r="M39" s="8">
        <v>43184</v>
      </c>
      <c r="N39" s="6">
        <v>2</v>
      </c>
      <c r="O39" s="6">
        <v>2</v>
      </c>
      <c r="P39" s="8">
        <v>86368</v>
      </c>
      <c r="Q39" s="8">
        <v>169335</v>
      </c>
      <c r="R39" s="6">
        <v>0</v>
      </c>
      <c r="S39" s="6" t="s">
        <v>25</v>
      </c>
      <c r="T39" s="8">
        <v>3703</v>
      </c>
    </row>
    <row r="40" spans="1:20" x14ac:dyDescent="0.3">
      <c r="A40" s="2" t="s">
        <v>118</v>
      </c>
      <c r="B40" s="2" t="s">
        <v>60</v>
      </c>
      <c r="C40" s="2" t="s">
        <v>21</v>
      </c>
      <c r="D40" s="2" t="s">
        <v>29</v>
      </c>
      <c r="E40" s="2" t="s">
        <v>119</v>
      </c>
      <c r="F40" s="2" t="s">
        <v>31</v>
      </c>
      <c r="G40" s="2">
        <v>40</v>
      </c>
      <c r="H40" s="2" t="str" cm="1">
        <f t="array" ref="H40">_xlfn.IFS(G40&lt;30,"&lt;30",G40&lt;=40,"30-40",G40&lt;=50,"40-50",LoanData!G40&gt;50,"50+")</f>
        <v>30-40</v>
      </c>
      <c r="I40" s="3">
        <v>45445</v>
      </c>
      <c r="J40" s="4">
        <v>158000</v>
      </c>
      <c r="K40" s="2">
        <v>12</v>
      </c>
      <c r="L40" s="5">
        <v>9.5</v>
      </c>
      <c r="M40" s="4">
        <v>13854</v>
      </c>
      <c r="N40" s="2">
        <v>1</v>
      </c>
      <c r="O40" s="2">
        <v>1</v>
      </c>
      <c r="P40" s="4">
        <v>13854</v>
      </c>
      <c r="Q40" s="4">
        <v>145397</v>
      </c>
      <c r="R40" s="2">
        <v>0</v>
      </c>
      <c r="S40" s="2" t="s">
        <v>25</v>
      </c>
      <c r="T40" s="4">
        <v>1251</v>
      </c>
    </row>
    <row r="41" spans="1:20" x14ac:dyDescent="0.3">
      <c r="A41" s="6" t="s">
        <v>120</v>
      </c>
      <c r="B41" s="6" t="s">
        <v>65</v>
      </c>
      <c r="C41" s="6" t="s">
        <v>28</v>
      </c>
      <c r="D41" s="6" t="s">
        <v>22</v>
      </c>
      <c r="E41" s="6" t="s">
        <v>121</v>
      </c>
      <c r="F41" s="6" t="s">
        <v>24</v>
      </c>
      <c r="G41" s="6">
        <v>23</v>
      </c>
      <c r="H41" s="2" t="str" cm="1">
        <f t="array" ref="H41">_xlfn.IFS(G41&lt;30,"&lt;30",G41&lt;=40,"30-40",G41&lt;=50,"40-50",LoanData!G41&gt;50,"50+")</f>
        <v>&lt;30</v>
      </c>
      <c r="I41" s="7">
        <v>45357</v>
      </c>
      <c r="J41" s="8">
        <v>394000</v>
      </c>
      <c r="K41" s="6">
        <v>48</v>
      </c>
      <c r="L41" s="9">
        <v>11.9</v>
      </c>
      <c r="M41" s="8">
        <v>10356</v>
      </c>
      <c r="N41" s="6">
        <v>4</v>
      </c>
      <c r="O41" s="6">
        <v>4</v>
      </c>
      <c r="P41" s="8">
        <v>41424</v>
      </c>
      <c r="Q41" s="8">
        <v>367818</v>
      </c>
      <c r="R41" s="6">
        <v>0</v>
      </c>
      <c r="S41" s="6" t="s">
        <v>25</v>
      </c>
      <c r="T41" s="8">
        <v>15242</v>
      </c>
    </row>
    <row r="42" spans="1:20" x14ac:dyDescent="0.3">
      <c r="A42" s="2" t="s">
        <v>122</v>
      </c>
      <c r="B42" s="2" t="s">
        <v>65</v>
      </c>
      <c r="C42" s="2" t="s">
        <v>28</v>
      </c>
      <c r="D42" s="2" t="s">
        <v>57</v>
      </c>
      <c r="E42" s="2" t="s">
        <v>123</v>
      </c>
      <c r="F42" s="2" t="s">
        <v>31</v>
      </c>
      <c r="G42" s="2">
        <v>37</v>
      </c>
      <c r="H42" s="2" t="str" cm="1">
        <f t="array" ref="H42">_xlfn.IFS(G42&lt;30,"&lt;30",G42&lt;=40,"30-40",G42&lt;=50,"40-50",LoanData!G42&gt;50,"50+")</f>
        <v>30-40</v>
      </c>
      <c r="I42" s="3">
        <v>45430</v>
      </c>
      <c r="J42" s="4">
        <v>528000</v>
      </c>
      <c r="K42" s="2">
        <v>60</v>
      </c>
      <c r="L42" s="5">
        <v>15.9</v>
      </c>
      <c r="M42" s="4">
        <v>12812</v>
      </c>
      <c r="N42" s="2">
        <v>2</v>
      </c>
      <c r="O42" s="2">
        <v>2</v>
      </c>
      <c r="P42" s="4">
        <v>25624</v>
      </c>
      <c r="Q42" s="4">
        <v>516291</v>
      </c>
      <c r="R42" s="2">
        <v>0</v>
      </c>
      <c r="S42" s="2" t="s">
        <v>25</v>
      </c>
      <c r="T42" s="4">
        <v>13915</v>
      </c>
    </row>
    <row r="43" spans="1:20" x14ac:dyDescent="0.3">
      <c r="A43" s="6" t="s">
        <v>124</v>
      </c>
      <c r="B43" s="6" t="s">
        <v>33</v>
      </c>
      <c r="C43" s="6" t="s">
        <v>34</v>
      </c>
      <c r="D43" s="6" t="s">
        <v>35</v>
      </c>
      <c r="E43" s="6" t="s">
        <v>125</v>
      </c>
      <c r="F43" s="6" t="s">
        <v>42</v>
      </c>
      <c r="G43" s="6">
        <v>46</v>
      </c>
      <c r="H43" s="2" t="str" cm="1">
        <f t="array" ref="H43">_xlfn.IFS(G43&lt;30,"&lt;30",G43&lt;=40,"30-40",G43&lt;=50,"40-50",LoanData!G43&gt;50,"50+")</f>
        <v>40-50</v>
      </c>
      <c r="I43" s="7">
        <v>45417</v>
      </c>
      <c r="J43" s="8">
        <v>158000</v>
      </c>
      <c r="K43" s="6">
        <v>24</v>
      </c>
      <c r="L43" s="9">
        <v>16.399999999999999</v>
      </c>
      <c r="M43" s="8">
        <v>7766</v>
      </c>
      <c r="N43" s="6">
        <v>2</v>
      </c>
      <c r="O43" s="6">
        <v>2</v>
      </c>
      <c r="P43" s="8">
        <v>15532</v>
      </c>
      <c r="Q43" s="8">
        <v>146709</v>
      </c>
      <c r="R43" s="6">
        <v>0</v>
      </c>
      <c r="S43" s="6" t="s">
        <v>25</v>
      </c>
      <c r="T43" s="8">
        <v>4241</v>
      </c>
    </row>
    <row r="44" spans="1:20" x14ac:dyDescent="0.3">
      <c r="A44" s="2" t="s">
        <v>126</v>
      </c>
      <c r="B44" s="2" t="s">
        <v>40</v>
      </c>
      <c r="C44" s="2" t="s">
        <v>34</v>
      </c>
      <c r="D44" s="2" t="s">
        <v>57</v>
      </c>
      <c r="E44" s="2" t="s">
        <v>127</v>
      </c>
      <c r="F44" s="2" t="s">
        <v>42</v>
      </c>
      <c r="G44" s="2">
        <v>41</v>
      </c>
      <c r="H44" s="2" t="str" cm="1">
        <f t="array" ref="H44">_xlfn.IFS(G44&lt;30,"&lt;30",G44&lt;=40,"30-40",G44&lt;=50,"40-50",LoanData!G44&gt;50,"50+")</f>
        <v>40-50</v>
      </c>
      <c r="I44" s="3">
        <v>45297</v>
      </c>
      <c r="J44" s="4">
        <v>1535000</v>
      </c>
      <c r="K44" s="2">
        <v>48</v>
      </c>
      <c r="L44" s="5">
        <v>12.9</v>
      </c>
      <c r="M44" s="4">
        <v>41104</v>
      </c>
      <c r="N44" s="2">
        <v>6</v>
      </c>
      <c r="O44" s="2">
        <v>4</v>
      </c>
      <c r="P44" s="4">
        <v>164416</v>
      </c>
      <c r="Q44" s="4">
        <v>1434990</v>
      </c>
      <c r="R44" s="2">
        <v>55</v>
      </c>
      <c r="S44" s="2" t="s">
        <v>47</v>
      </c>
      <c r="T44" s="4">
        <v>64406</v>
      </c>
    </row>
    <row r="45" spans="1:20" x14ac:dyDescent="0.3">
      <c r="A45" s="6" t="s">
        <v>128</v>
      </c>
      <c r="B45" s="6" t="s">
        <v>33</v>
      </c>
      <c r="C45" s="6" t="s">
        <v>34</v>
      </c>
      <c r="D45" s="6" t="s">
        <v>57</v>
      </c>
      <c r="E45" s="6" t="s">
        <v>129</v>
      </c>
      <c r="F45" s="6" t="s">
        <v>24</v>
      </c>
      <c r="G45" s="6">
        <v>37</v>
      </c>
      <c r="H45" s="2" t="str" cm="1">
        <f t="array" ref="H45">_xlfn.IFS(G45&lt;30,"&lt;30",G45&lt;=40,"30-40",G45&lt;=50,"40-50",LoanData!G45&gt;50,"50+")</f>
        <v>30-40</v>
      </c>
      <c r="I45" s="7">
        <v>45398</v>
      </c>
      <c r="J45" s="8">
        <v>1371000</v>
      </c>
      <c r="K45" s="6">
        <v>60</v>
      </c>
      <c r="L45" s="9">
        <v>13</v>
      </c>
      <c r="M45" s="8">
        <v>31194</v>
      </c>
      <c r="N45" s="6">
        <v>3</v>
      </c>
      <c r="O45" s="6">
        <v>1</v>
      </c>
      <c r="P45" s="8">
        <v>31194</v>
      </c>
      <c r="Q45" s="8">
        <v>1354658</v>
      </c>
      <c r="R45" s="6">
        <v>69</v>
      </c>
      <c r="S45" s="6" t="s">
        <v>47</v>
      </c>
      <c r="T45" s="8">
        <v>14852</v>
      </c>
    </row>
    <row r="46" spans="1:20" x14ac:dyDescent="0.3">
      <c r="A46" s="2" t="s">
        <v>130</v>
      </c>
      <c r="B46" s="2" t="s">
        <v>40</v>
      </c>
      <c r="C46" s="2" t="s">
        <v>34</v>
      </c>
      <c r="D46" s="2" t="s">
        <v>35</v>
      </c>
      <c r="E46" s="2" t="s">
        <v>131</v>
      </c>
      <c r="F46" s="2" t="s">
        <v>24</v>
      </c>
      <c r="G46" s="2">
        <v>31</v>
      </c>
      <c r="H46" s="2" t="str" cm="1">
        <f t="array" ref="H46">_xlfn.IFS(G46&lt;30,"&lt;30",G46&lt;=40,"30-40",G46&lt;=50,"40-50",LoanData!G46&gt;50,"50+")</f>
        <v>30-40</v>
      </c>
      <c r="I46" s="3">
        <v>45451</v>
      </c>
      <c r="J46" s="4">
        <v>405000</v>
      </c>
      <c r="K46" s="2">
        <v>24</v>
      </c>
      <c r="L46" s="5">
        <v>15.3</v>
      </c>
      <c r="M46" s="4">
        <v>19695</v>
      </c>
      <c r="N46" s="2">
        <v>1</v>
      </c>
      <c r="O46" s="2">
        <v>1</v>
      </c>
      <c r="P46" s="4">
        <v>19695</v>
      </c>
      <c r="Q46" s="4">
        <v>390469</v>
      </c>
      <c r="R46" s="2">
        <v>0</v>
      </c>
      <c r="S46" s="2" t="s">
        <v>25</v>
      </c>
      <c r="T46" s="4">
        <v>5164</v>
      </c>
    </row>
    <row r="47" spans="1:20" x14ac:dyDescent="0.3">
      <c r="A47" s="6" t="s">
        <v>132</v>
      </c>
      <c r="B47" s="6" t="s">
        <v>40</v>
      </c>
      <c r="C47" s="6" t="s">
        <v>34</v>
      </c>
      <c r="D47" s="6" t="s">
        <v>22</v>
      </c>
      <c r="E47" s="6" t="s">
        <v>133</v>
      </c>
      <c r="F47" s="6" t="s">
        <v>24</v>
      </c>
      <c r="G47" s="6">
        <v>52</v>
      </c>
      <c r="H47" s="2" t="str" cm="1">
        <f t="array" ref="H47">_xlfn.IFS(G47&lt;30,"&lt;30",G47&lt;=40,"30-40",G47&lt;=50,"40-50",LoanData!G47&gt;50,"50+")</f>
        <v>50+</v>
      </c>
      <c r="I47" s="7">
        <v>45338</v>
      </c>
      <c r="J47" s="8">
        <v>146000</v>
      </c>
      <c r="K47" s="6">
        <v>48</v>
      </c>
      <c r="L47" s="9">
        <v>13.1</v>
      </c>
      <c r="M47" s="8">
        <v>3924</v>
      </c>
      <c r="N47" s="6">
        <v>5</v>
      </c>
      <c r="O47" s="6">
        <v>3</v>
      </c>
      <c r="P47" s="8">
        <v>11772</v>
      </c>
      <c r="Q47" s="8">
        <v>138933</v>
      </c>
      <c r="R47" s="6">
        <v>71</v>
      </c>
      <c r="S47" s="6" t="s">
        <v>47</v>
      </c>
      <c r="T47" s="8">
        <v>4705</v>
      </c>
    </row>
    <row r="48" spans="1:20" x14ac:dyDescent="0.3">
      <c r="A48" s="2" t="s">
        <v>134</v>
      </c>
      <c r="B48" s="2" t="s">
        <v>40</v>
      </c>
      <c r="C48" s="2" t="s">
        <v>34</v>
      </c>
      <c r="D48" s="2" t="s">
        <v>35</v>
      </c>
      <c r="E48" s="2" t="s">
        <v>135</v>
      </c>
      <c r="F48" s="2" t="s">
        <v>24</v>
      </c>
      <c r="G48" s="2">
        <v>52</v>
      </c>
      <c r="H48" s="2" t="str" cm="1">
        <f t="array" ref="H48">_xlfn.IFS(G48&lt;30,"&lt;30",G48&lt;=40,"30-40",G48&lt;=50,"40-50",LoanData!G48&gt;50,"50+")</f>
        <v>50+</v>
      </c>
      <c r="I48" s="3">
        <v>45364</v>
      </c>
      <c r="J48" s="4">
        <v>217000</v>
      </c>
      <c r="K48" s="2">
        <v>24</v>
      </c>
      <c r="L48" s="5">
        <v>17.3</v>
      </c>
      <c r="M48" s="4">
        <v>10760</v>
      </c>
      <c r="N48" s="2">
        <v>4</v>
      </c>
      <c r="O48" s="2">
        <v>4</v>
      </c>
      <c r="P48" s="4">
        <v>43040</v>
      </c>
      <c r="Q48" s="4">
        <v>185806</v>
      </c>
      <c r="R48" s="2">
        <v>0</v>
      </c>
      <c r="S48" s="2" t="s">
        <v>25</v>
      </c>
      <c r="T48" s="4">
        <v>11846</v>
      </c>
    </row>
    <row r="49" spans="1:20" x14ac:dyDescent="0.3">
      <c r="A49" s="6" t="s">
        <v>136</v>
      </c>
      <c r="B49" s="6" t="s">
        <v>40</v>
      </c>
      <c r="C49" s="6" t="s">
        <v>34</v>
      </c>
      <c r="D49" s="6" t="s">
        <v>29</v>
      </c>
      <c r="E49" s="6" t="s">
        <v>137</v>
      </c>
      <c r="F49" s="6" t="s">
        <v>42</v>
      </c>
      <c r="G49" s="6">
        <v>52</v>
      </c>
      <c r="H49" s="2" t="str" cm="1">
        <f t="array" ref="H49">_xlfn.IFS(G49&lt;30,"&lt;30",G49&lt;=40,"30-40",G49&lt;=50,"40-50",LoanData!G49&gt;50,"50+")</f>
        <v>50+</v>
      </c>
      <c r="I49" s="7">
        <v>45298</v>
      </c>
      <c r="J49" s="8">
        <v>230000</v>
      </c>
      <c r="K49" s="6">
        <v>12</v>
      </c>
      <c r="L49" s="9">
        <v>10.1</v>
      </c>
      <c r="M49" s="8">
        <v>20231</v>
      </c>
      <c r="N49" s="6">
        <v>6</v>
      </c>
      <c r="O49" s="6">
        <v>6</v>
      </c>
      <c r="P49" s="8">
        <v>121386</v>
      </c>
      <c r="Q49" s="8">
        <v>117891</v>
      </c>
      <c r="R49" s="6">
        <v>0</v>
      </c>
      <c r="S49" s="6" t="s">
        <v>25</v>
      </c>
      <c r="T49" s="8">
        <v>9277</v>
      </c>
    </row>
    <row r="50" spans="1:20" x14ac:dyDescent="0.3">
      <c r="A50" s="2" t="s">
        <v>138</v>
      </c>
      <c r="B50" s="2" t="s">
        <v>52</v>
      </c>
      <c r="C50" s="2" t="s">
        <v>53</v>
      </c>
      <c r="D50" s="2" t="s">
        <v>29</v>
      </c>
      <c r="E50" s="2" t="s">
        <v>139</v>
      </c>
      <c r="F50" s="2" t="s">
        <v>31</v>
      </c>
      <c r="G50" s="2">
        <v>41</v>
      </c>
      <c r="H50" s="2" t="str" cm="1">
        <f t="array" ref="H50">_xlfn.IFS(G50&lt;30,"&lt;30",G50&lt;=40,"30-40",G50&lt;=50,"40-50",LoanData!G50&gt;50,"50+")</f>
        <v>40-50</v>
      </c>
      <c r="I50" s="3">
        <v>45450</v>
      </c>
      <c r="J50" s="4">
        <v>90000</v>
      </c>
      <c r="K50" s="2">
        <v>12</v>
      </c>
      <c r="L50" s="5">
        <v>9.4</v>
      </c>
      <c r="M50" s="4">
        <v>7887</v>
      </c>
      <c r="N50" s="2">
        <v>1</v>
      </c>
      <c r="O50" s="2">
        <v>1</v>
      </c>
      <c r="P50" s="4">
        <v>7887</v>
      </c>
      <c r="Q50" s="4">
        <v>82818</v>
      </c>
      <c r="R50" s="2">
        <v>0</v>
      </c>
      <c r="S50" s="2" t="s">
        <v>25</v>
      </c>
      <c r="T50" s="4">
        <v>705</v>
      </c>
    </row>
    <row r="51" spans="1:20" x14ac:dyDescent="0.3">
      <c r="A51" s="6" t="s">
        <v>140</v>
      </c>
      <c r="B51" s="6" t="s">
        <v>20</v>
      </c>
      <c r="C51" s="6" t="s">
        <v>21</v>
      </c>
      <c r="D51" s="6" t="s">
        <v>22</v>
      </c>
      <c r="E51" s="6" t="s">
        <v>141</v>
      </c>
      <c r="F51" s="6" t="s">
        <v>42</v>
      </c>
      <c r="G51" s="6">
        <v>56</v>
      </c>
      <c r="H51" s="2" t="str" cm="1">
        <f t="array" ref="H51">_xlfn.IFS(G51&lt;30,"&lt;30",G51&lt;=40,"30-40",G51&lt;=50,"40-50",LoanData!G51&gt;50,"50+")</f>
        <v>50+</v>
      </c>
      <c r="I51" s="7">
        <v>45352</v>
      </c>
      <c r="J51" s="8">
        <v>405000</v>
      </c>
      <c r="K51" s="6">
        <v>36</v>
      </c>
      <c r="L51" s="9">
        <v>12.7</v>
      </c>
      <c r="M51" s="8">
        <v>13588</v>
      </c>
      <c r="N51" s="6">
        <v>4</v>
      </c>
      <c r="O51" s="6">
        <v>3</v>
      </c>
      <c r="P51" s="8">
        <v>40764</v>
      </c>
      <c r="Q51" s="8">
        <v>376800</v>
      </c>
      <c r="R51" s="6">
        <v>19</v>
      </c>
      <c r="S51" s="6" t="s">
        <v>47</v>
      </c>
      <c r="T51" s="8">
        <v>12564</v>
      </c>
    </row>
    <row r="52" spans="1:20" x14ac:dyDescent="0.3">
      <c r="A52" s="2" t="s">
        <v>142</v>
      </c>
      <c r="B52" s="2" t="s">
        <v>52</v>
      </c>
      <c r="C52" s="2" t="s">
        <v>53</v>
      </c>
      <c r="D52" s="2" t="s">
        <v>29</v>
      </c>
      <c r="E52" s="2" t="s">
        <v>143</v>
      </c>
      <c r="F52" s="2" t="s">
        <v>42</v>
      </c>
      <c r="G52" s="2">
        <v>55</v>
      </c>
      <c r="H52" s="2" t="str" cm="1">
        <f t="array" ref="H52">_xlfn.IFS(G52&lt;30,"&lt;30",G52&lt;=40,"30-40",G52&lt;=50,"40-50",LoanData!G52&gt;50,"50+")</f>
        <v>50+</v>
      </c>
      <c r="I52" s="3">
        <v>45315</v>
      </c>
      <c r="J52" s="4">
        <v>215000</v>
      </c>
      <c r="K52" s="2">
        <v>6</v>
      </c>
      <c r="L52" s="5">
        <v>10.199999999999999</v>
      </c>
      <c r="M52" s="4">
        <v>36907</v>
      </c>
      <c r="N52" s="2">
        <v>6</v>
      </c>
      <c r="O52" s="2">
        <v>6</v>
      </c>
      <c r="P52" s="4">
        <v>221442</v>
      </c>
      <c r="Q52" s="4">
        <v>0</v>
      </c>
      <c r="R52" s="2">
        <v>0</v>
      </c>
      <c r="S52" s="2" t="s">
        <v>25</v>
      </c>
      <c r="T52" s="4">
        <v>6442</v>
      </c>
    </row>
    <row r="53" spans="1:20" x14ac:dyDescent="0.3">
      <c r="A53" s="6" t="s">
        <v>144</v>
      </c>
      <c r="B53" s="6" t="s">
        <v>33</v>
      </c>
      <c r="C53" s="6" t="s">
        <v>34</v>
      </c>
      <c r="D53" s="6" t="s">
        <v>49</v>
      </c>
      <c r="E53" s="6" t="s">
        <v>145</v>
      </c>
      <c r="F53" s="6" t="s">
        <v>42</v>
      </c>
      <c r="G53" s="6">
        <v>24</v>
      </c>
      <c r="H53" s="2" t="str" cm="1">
        <f t="array" ref="H53">_xlfn.IFS(G53&lt;30,"&lt;30",G53&lt;=40,"30-40",G53&lt;=50,"40-50",LoanData!G53&gt;50,"50+")</f>
        <v>&lt;30</v>
      </c>
      <c r="I53" s="7">
        <v>45455</v>
      </c>
      <c r="J53" s="8">
        <v>453000</v>
      </c>
      <c r="K53" s="6">
        <v>60</v>
      </c>
      <c r="L53" s="9">
        <v>13.2</v>
      </c>
      <c r="M53" s="8">
        <v>10354</v>
      </c>
      <c r="N53" s="6">
        <v>1</v>
      </c>
      <c r="O53" s="6">
        <v>0</v>
      </c>
      <c r="P53" s="8">
        <v>0</v>
      </c>
      <c r="Q53" s="8">
        <v>453000</v>
      </c>
      <c r="R53" s="6">
        <v>52</v>
      </c>
      <c r="S53" s="6" t="s">
        <v>47</v>
      </c>
      <c r="T53" s="8">
        <v>0</v>
      </c>
    </row>
    <row r="54" spans="1:20" x14ac:dyDescent="0.3">
      <c r="A54" s="2" t="s">
        <v>146</v>
      </c>
      <c r="B54" s="2" t="s">
        <v>33</v>
      </c>
      <c r="C54" s="2" t="s">
        <v>34</v>
      </c>
      <c r="D54" s="2" t="s">
        <v>49</v>
      </c>
      <c r="E54" s="2" t="s">
        <v>147</v>
      </c>
      <c r="F54" s="2" t="s">
        <v>31</v>
      </c>
      <c r="G54" s="2">
        <v>52</v>
      </c>
      <c r="H54" s="2" t="str" cm="1">
        <f t="array" ref="H54">_xlfn.IFS(G54&lt;30,"&lt;30",G54&lt;=40,"30-40",G54&lt;=50,"40-50",LoanData!G54&gt;50,"50+")</f>
        <v>50+</v>
      </c>
      <c r="I54" s="3">
        <v>45347</v>
      </c>
      <c r="J54" s="4">
        <v>490000</v>
      </c>
      <c r="K54" s="2">
        <v>36</v>
      </c>
      <c r="L54" s="5">
        <v>12.8</v>
      </c>
      <c r="M54" s="4">
        <v>16463</v>
      </c>
      <c r="N54" s="2">
        <v>5</v>
      </c>
      <c r="O54" s="2">
        <v>5</v>
      </c>
      <c r="P54" s="4">
        <v>82315</v>
      </c>
      <c r="Q54" s="4">
        <v>432608</v>
      </c>
      <c r="R54" s="2">
        <v>0</v>
      </c>
      <c r="S54" s="2" t="s">
        <v>25</v>
      </c>
      <c r="T54" s="4">
        <v>24923</v>
      </c>
    </row>
    <row r="55" spans="1:20" x14ac:dyDescent="0.3">
      <c r="A55" s="6" t="s">
        <v>148</v>
      </c>
      <c r="B55" s="6" t="s">
        <v>65</v>
      </c>
      <c r="C55" s="6" t="s">
        <v>28</v>
      </c>
      <c r="D55" s="6" t="s">
        <v>22</v>
      </c>
      <c r="E55" s="6" t="s">
        <v>149</v>
      </c>
      <c r="F55" s="6" t="s">
        <v>24</v>
      </c>
      <c r="G55" s="6">
        <v>44</v>
      </c>
      <c r="H55" s="2" t="str" cm="1">
        <f t="array" ref="H55">_xlfn.IFS(G55&lt;30,"&lt;30",G55&lt;=40,"30-40",G55&lt;=50,"40-50",LoanData!G55&gt;50,"50+")</f>
        <v>40-50</v>
      </c>
      <c r="I55" s="7">
        <v>45358</v>
      </c>
      <c r="J55" s="8">
        <v>316000</v>
      </c>
      <c r="K55" s="6">
        <v>36</v>
      </c>
      <c r="L55" s="9">
        <v>10.1</v>
      </c>
      <c r="M55" s="8">
        <v>10211</v>
      </c>
      <c r="N55" s="6">
        <v>4</v>
      </c>
      <c r="O55" s="6">
        <v>4</v>
      </c>
      <c r="P55" s="8">
        <v>40844</v>
      </c>
      <c r="Q55" s="8">
        <v>285410</v>
      </c>
      <c r="R55" s="6">
        <v>0</v>
      </c>
      <c r="S55" s="6" t="s">
        <v>25</v>
      </c>
      <c r="T55" s="8">
        <v>10254</v>
      </c>
    </row>
    <row r="56" spans="1:20" x14ac:dyDescent="0.3">
      <c r="A56" s="2" t="s">
        <v>150</v>
      </c>
      <c r="B56" s="2" t="s">
        <v>40</v>
      </c>
      <c r="C56" s="2" t="s">
        <v>34</v>
      </c>
      <c r="D56" s="2" t="s">
        <v>57</v>
      </c>
      <c r="E56" s="2" t="s">
        <v>151</v>
      </c>
      <c r="F56" s="2" t="s">
        <v>31</v>
      </c>
      <c r="G56" s="2">
        <v>58</v>
      </c>
      <c r="H56" s="2" t="str" cm="1">
        <f t="array" ref="H56">_xlfn.IFS(G56&lt;30,"&lt;30",G56&lt;=40,"30-40",G56&lt;=50,"40-50",LoanData!G56&gt;50,"50+")</f>
        <v>50+</v>
      </c>
      <c r="I56" s="3">
        <v>45297</v>
      </c>
      <c r="J56" s="4">
        <v>473000</v>
      </c>
      <c r="K56" s="2">
        <v>36</v>
      </c>
      <c r="L56" s="5">
        <v>14.5</v>
      </c>
      <c r="M56" s="4">
        <v>16281</v>
      </c>
      <c r="N56" s="2">
        <v>6</v>
      </c>
      <c r="O56" s="2">
        <v>6</v>
      </c>
      <c r="P56" s="4">
        <v>97686</v>
      </c>
      <c r="Q56" s="4">
        <v>407660</v>
      </c>
      <c r="R56" s="2">
        <v>0</v>
      </c>
      <c r="S56" s="2" t="s">
        <v>25</v>
      </c>
      <c r="T56" s="4">
        <v>32346</v>
      </c>
    </row>
    <row r="57" spans="1:20" x14ac:dyDescent="0.3">
      <c r="A57" s="6" t="s">
        <v>152</v>
      </c>
      <c r="B57" s="6" t="s">
        <v>65</v>
      </c>
      <c r="C57" s="6" t="s">
        <v>28</v>
      </c>
      <c r="D57" s="6" t="s">
        <v>35</v>
      </c>
      <c r="E57" s="6" t="s">
        <v>153</v>
      </c>
      <c r="F57" s="6" t="s">
        <v>31</v>
      </c>
      <c r="G57" s="6">
        <v>57</v>
      </c>
      <c r="H57" s="2" t="str" cm="1">
        <f t="array" ref="H57">_xlfn.IFS(G57&lt;30,"&lt;30",G57&lt;=40,"30-40",G57&lt;=50,"40-50",LoanData!G57&gt;50,"50+")</f>
        <v>50+</v>
      </c>
      <c r="I57" s="7">
        <v>45294</v>
      </c>
      <c r="J57" s="8">
        <v>392000</v>
      </c>
      <c r="K57" s="6">
        <v>36</v>
      </c>
      <c r="L57" s="9">
        <v>14.8</v>
      </c>
      <c r="M57" s="8">
        <v>13550</v>
      </c>
      <c r="N57" s="6">
        <v>6</v>
      </c>
      <c r="O57" s="6">
        <v>6</v>
      </c>
      <c r="P57" s="8">
        <v>81300</v>
      </c>
      <c r="Q57" s="8">
        <v>338066</v>
      </c>
      <c r="R57" s="6">
        <v>0</v>
      </c>
      <c r="S57" s="6" t="s">
        <v>25</v>
      </c>
      <c r="T57" s="8">
        <v>27366</v>
      </c>
    </row>
    <row r="58" spans="1:20" x14ac:dyDescent="0.3">
      <c r="A58" s="2" t="s">
        <v>154</v>
      </c>
      <c r="B58" s="2" t="s">
        <v>60</v>
      </c>
      <c r="C58" s="2" t="s">
        <v>21</v>
      </c>
      <c r="D58" s="2" t="s">
        <v>57</v>
      </c>
      <c r="E58" s="2" t="s">
        <v>155</v>
      </c>
      <c r="F58" s="2" t="s">
        <v>24</v>
      </c>
      <c r="G58" s="2">
        <v>42</v>
      </c>
      <c r="H58" s="2" t="str" cm="1">
        <f t="array" ref="H58">_xlfn.IFS(G58&lt;30,"&lt;30",G58&lt;=40,"30-40",G58&lt;=50,"40-50",LoanData!G58&gt;50,"50+")</f>
        <v>40-50</v>
      </c>
      <c r="I58" s="3">
        <v>45377</v>
      </c>
      <c r="J58" s="4">
        <v>567000</v>
      </c>
      <c r="K58" s="2">
        <v>24</v>
      </c>
      <c r="L58" s="5">
        <v>14.3</v>
      </c>
      <c r="M58" s="4">
        <v>27304</v>
      </c>
      <c r="N58" s="2">
        <v>4</v>
      </c>
      <c r="O58" s="2">
        <v>4</v>
      </c>
      <c r="P58" s="4">
        <v>109216</v>
      </c>
      <c r="Q58" s="4">
        <v>483331</v>
      </c>
      <c r="R58" s="2">
        <v>0</v>
      </c>
      <c r="S58" s="2" t="s">
        <v>25</v>
      </c>
      <c r="T58" s="4">
        <v>25547</v>
      </c>
    </row>
    <row r="59" spans="1:20" x14ac:dyDescent="0.3">
      <c r="A59" s="6" t="s">
        <v>156</v>
      </c>
      <c r="B59" s="6" t="s">
        <v>80</v>
      </c>
      <c r="C59" s="6" t="s">
        <v>53</v>
      </c>
      <c r="D59" s="6" t="s">
        <v>35</v>
      </c>
      <c r="E59" s="6" t="s">
        <v>157</v>
      </c>
      <c r="F59" s="6" t="s">
        <v>42</v>
      </c>
      <c r="G59" s="6">
        <v>53</v>
      </c>
      <c r="H59" s="2" t="str" cm="1">
        <f t="array" ref="H59">_xlfn.IFS(G59&lt;30,"&lt;30",G59&lt;=40,"30-40",G59&lt;=50,"40-50",LoanData!G59&gt;50,"50+")</f>
        <v>50+</v>
      </c>
      <c r="I59" s="7">
        <v>45324</v>
      </c>
      <c r="J59" s="8">
        <v>310000</v>
      </c>
      <c r="K59" s="6">
        <v>24</v>
      </c>
      <c r="L59" s="9">
        <v>14.2</v>
      </c>
      <c r="M59" s="8">
        <v>14913</v>
      </c>
      <c r="N59" s="6">
        <v>5</v>
      </c>
      <c r="O59" s="6">
        <v>5</v>
      </c>
      <c r="P59" s="8">
        <v>74565</v>
      </c>
      <c r="Q59" s="8">
        <v>252429</v>
      </c>
      <c r="R59" s="6">
        <v>0</v>
      </c>
      <c r="S59" s="6" t="s">
        <v>25</v>
      </c>
      <c r="T59" s="8">
        <v>16994</v>
      </c>
    </row>
    <row r="60" spans="1:20" x14ac:dyDescent="0.3">
      <c r="A60" s="2" t="s">
        <v>158</v>
      </c>
      <c r="B60" s="2" t="s">
        <v>65</v>
      </c>
      <c r="C60" s="2" t="s">
        <v>28</v>
      </c>
      <c r="D60" s="2" t="s">
        <v>22</v>
      </c>
      <c r="E60" s="2" t="s">
        <v>159</v>
      </c>
      <c r="F60" s="2" t="s">
        <v>24</v>
      </c>
      <c r="G60" s="2">
        <v>44</v>
      </c>
      <c r="H60" s="2" t="str" cm="1">
        <f t="array" ref="H60">_xlfn.IFS(G60&lt;30,"&lt;30",G60&lt;=40,"30-40",G60&lt;=50,"40-50",LoanData!G60&gt;50,"50+")</f>
        <v>40-50</v>
      </c>
      <c r="I60" s="3">
        <v>45373</v>
      </c>
      <c r="J60" s="4">
        <v>1108000</v>
      </c>
      <c r="K60" s="2">
        <v>24</v>
      </c>
      <c r="L60" s="5">
        <v>12.1</v>
      </c>
      <c r="M60" s="4">
        <v>52209</v>
      </c>
      <c r="N60" s="2">
        <v>4</v>
      </c>
      <c r="O60" s="2">
        <v>4</v>
      </c>
      <c r="P60" s="4">
        <v>208836</v>
      </c>
      <c r="Q60" s="4">
        <v>941353</v>
      </c>
      <c r="R60" s="2">
        <v>0</v>
      </c>
      <c r="S60" s="2" t="s">
        <v>25</v>
      </c>
      <c r="T60" s="4">
        <v>42189</v>
      </c>
    </row>
    <row r="61" spans="1:20" x14ac:dyDescent="0.3">
      <c r="A61" s="6" t="s">
        <v>160</v>
      </c>
      <c r="B61" s="6" t="s">
        <v>80</v>
      </c>
      <c r="C61" s="6" t="s">
        <v>53</v>
      </c>
      <c r="D61" s="6" t="s">
        <v>29</v>
      </c>
      <c r="E61" s="6" t="s">
        <v>161</v>
      </c>
      <c r="F61" s="6" t="s">
        <v>24</v>
      </c>
      <c r="G61" s="6">
        <v>43</v>
      </c>
      <c r="H61" s="2" t="str" cm="1">
        <f t="array" ref="H61">_xlfn.IFS(G61&lt;30,"&lt;30",G61&lt;=40,"30-40",G61&lt;=50,"40-50",LoanData!G61&gt;50,"50+")</f>
        <v>40-50</v>
      </c>
      <c r="I61" s="7">
        <v>45347</v>
      </c>
      <c r="J61" s="8">
        <v>35000</v>
      </c>
      <c r="K61" s="6">
        <v>6</v>
      </c>
      <c r="L61" s="9">
        <v>9.9</v>
      </c>
      <c r="M61" s="8">
        <v>6003</v>
      </c>
      <c r="N61" s="6">
        <v>5</v>
      </c>
      <c r="O61" s="6">
        <v>5</v>
      </c>
      <c r="P61" s="8">
        <v>30015</v>
      </c>
      <c r="Q61" s="8">
        <v>5954</v>
      </c>
      <c r="R61" s="6">
        <v>0</v>
      </c>
      <c r="S61" s="6" t="s">
        <v>25</v>
      </c>
      <c r="T61" s="8">
        <v>969</v>
      </c>
    </row>
    <row r="62" spans="1:20" x14ac:dyDescent="0.3">
      <c r="A62" s="2" t="s">
        <v>162</v>
      </c>
      <c r="B62" s="2" t="s">
        <v>80</v>
      </c>
      <c r="C62" s="2" t="s">
        <v>53</v>
      </c>
      <c r="D62" s="2" t="s">
        <v>22</v>
      </c>
      <c r="E62" s="2" t="s">
        <v>163</v>
      </c>
      <c r="F62" s="2" t="s">
        <v>31</v>
      </c>
      <c r="G62" s="2">
        <v>26</v>
      </c>
      <c r="H62" s="2" t="str" cm="1">
        <f t="array" ref="H62">_xlfn.IFS(G62&lt;30,"&lt;30",G62&lt;=40,"30-40",G62&lt;=50,"40-50",LoanData!G62&gt;50,"50+")</f>
        <v>&lt;30</v>
      </c>
      <c r="I62" s="3">
        <v>45375</v>
      </c>
      <c r="J62" s="4">
        <v>257000</v>
      </c>
      <c r="K62" s="2">
        <v>36</v>
      </c>
      <c r="L62" s="5">
        <v>12.6</v>
      </c>
      <c r="M62" s="4">
        <v>8610</v>
      </c>
      <c r="N62" s="2">
        <v>4</v>
      </c>
      <c r="O62" s="2">
        <v>4</v>
      </c>
      <c r="P62" s="4">
        <v>34440</v>
      </c>
      <c r="Q62" s="4">
        <v>232979</v>
      </c>
      <c r="R62" s="2">
        <v>0</v>
      </c>
      <c r="S62" s="2" t="s">
        <v>25</v>
      </c>
      <c r="T62" s="4">
        <v>10419</v>
      </c>
    </row>
    <row r="63" spans="1:20" x14ac:dyDescent="0.3">
      <c r="A63" s="6" t="s">
        <v>164</v>
      </c>
      <c r="B63" s="6" t="s">
        <v>40</v>
      </c>
      <c r="C63" s="6" t="s">
        <v>34</v>
      </c>
      <c r="D63" s="6" t="s">
        <v>22</v>
      </c>
      <c r="E63" s="6" t="s">
        <v>165</v>
      </c>
      <c r="F63" s="6" t="s">
        <v>31</v>
      </c>
      <c r="G63" s="6">
        <v>25</v>
      </c>
      <c r="H63" s="2" t="str" cm="1">
        <f t="array" ref="H63">_xlfn.IFS(G63&lt;30,"&lt;30",G63&lt;=40,"30-40",G63&lt;=50,"40-50",LoanData!G63&gt;50,"50+")</f>
        <v>&lt;30</v>
      </c>
      <c r="I63" s="7">
        <v>45403</v>
      </c>
      <c r="J63" s="8">
        <v>405000</v>
      </c>
      <c r="K63" s="6">
        <v>48</v>
      </c>
      <c r="L63" s="9">
        <v>13.5</v>
      </c>
      <c r="M63" s="8">
        <v>10966</v>
      </c>
      <c r="N63" s="6">
        <v>3</v>
      </c>
      <c r="O63" s="6">
        <v>3</v>
      </c>
      <c r="P63" s="8">
        <v>32898</v>
      </c>
      <c r="Q63" s="8">
        <v>385554</v>
      </c>
      <c r="R63" s="6">
        <v>0</v>
      </c>
      <c r="S63" s="6" t="s">
        <v>25</v>
      </c>
      <c r="T63" s="8">
        <v>13452</v>
      </c>
    </row>
    <row r="64" spans="1:20" x14ac:dyDescent="0.3">
      <c r="A64" s="2" t="s">
        <v>166</v>
      </c>
      <c r="B64" s="2" t="s">
        <v>80</v>
      </c>
      <c r="C64" s="2" t="s">
        <v>53</v>
      </c>
      <c r="D64" s="2" t="s">
        <v>57</v>
      </c>
      <c r="E64" s="2" t="s">
        <v>167</v>
      </c>
      <c r="F64" s="2" t="s">
        <v>31</v>
      </c>
      <c r="G64" s="2">
        <v>25</v>
      </c>
      <c r="H64" s="2" t="str" cm="1">
        <f t="array" ref="H64">_xlfn.IFS(G64&lt;30,"&lt;30",G64&lt;=40,"30-40",G64&lt;=50,"40-50",LoanData!G64&gt;50,"50+")</f>
        <v>&lt;30</v>
      </c>
      <c r="I64" s="3">
        <v>45329</v>
      </c>
      <c r="J64" s="4">
        <v>1587000</v>
      </c>
      <c r="K64" s="2">
        <v>36</v>
      </c>
      <c r="L64" s="5">
        <v>12.1</v>
      </c>
      <c r="M64" s="4">
        <v>52787</v>
      </c>
      <c r="N64" s="2">
        <v>5</v>
      </c>
      <c r="O64" s="2">
        <v>4</v>
      </c>
      <c r="P64" s="4">
        <v>211148</v>
      </c>
      <c r="Q64" s="4">
        <v>1437621</v>
      </c>
      <c r="R64" s="2">
        <v>44</v>
      </c>
      <c r="S64" s="2" t="s">
        <v>47</v>
      </c>
      <c r="T64" s="4">
        <v>61769</v>
      </c>
    </row>
    <row r="65" spans="1:20" x14ac:dyDescent="0.3">
      <c r="A65" s="6" t="s">
        <v>168</v>
      </c>
      <c r="B65" s="6" t="s">
        <v>27</v>
      </c>
      <c r="C65" s="6" t="s">
        <v>28</v>
      </c>
      <c r="D65" s="6" t="s">
        <v>22</v>
      </c>
      <c r="E65" s="6" t="s">
        <v>169</v>
      </c>
      <c r="F65" s="6" t="s">
        <v>31</v>
      </c>
      <c r="G65" s="6">
        <v>40</v>
      </c>
      <c r="H65" s="2" t="str" cm="1">
        <f t="array" ref="H65">_xlfn.IFS(G65&lt;30,"&lt;30",G65&lt;=40,"30-40",G65&lt;=50,"40-50",LoanData!G65&gt;50,"50+")</f>
        <v>30-40</v>
      </c>
      <c r="I65" s="7">
        <v>45463</v>
      </c>
      <c r="J65" s="8">
        <v>448000</v>
      </c>
      <c r="K65" s="6">
        <v>36</v>
      </c>
      <c r="L65" s="9">
        <v>11.4</v>
      </c>
      <c r="M65" s="8">
        <v>14752</v>
      </c>
      <c r="N65" s="6">
        <v>1</v>
      </c>
      <c r="O65" s="6">
        <v>1</v>
      </c>
      <c r="P65" s="8">
        <v>14752</v>
      </c>
      <c r="Q65" s="8">
        <v>437504</v>
      </c>
      <c r="R65" s="6">
        <v>0</v>
      </c>
      <c r="S65" s="6" t="s">
        <v>25</v>
      </c>
      <c r="T65" s="8">
        <v>4256</v>
      </c>
    </row>
    <row r="66" spans="1:20" x14ac:dyDescent="0.3">
      <c r="A66" s="2" t="s">
        <v>170</v>
      </c>
      <c r="B66" s="2" t="s">
        <v>20</v>
      </c>
      <c r="C66" s="2" t="s">
        <v>21</v>
      </c>
      <c r="D66" s="2" t="s">
        <v>22</v>
      </c>
      <c r="E66" s="2" t="s">
        <v>171</v>
      </c>
      <c r="F66" s="2" t="s">
        <v>31</v>
      </c>
      <c r="G66" s="2">
        <v>41</v>
      </c>
      <c r="H66" s="2" t="str" cm="1">
        <f t="array" ref="H66">_xlfn.IFS(G66&lt;30,"&lt;30",G66&lt;=40,"30-40",G66&lt;=50,"40-50",LoanData!G66&gt;50,"50+")</f>
        <v>40-50</v>
      </c>
      <c r="I66" s="3">
        <v>45468</v>
      </c>
      <c r="J66" s="4">
        <v>301000</v>
      </c>
      <c r="K66" s="2">
        <v>48</v>
      </c>
      <c r="L66" s="5">
        <v>11.5</v>
      </c>
      <c r="M66" s="4">
        <v>7853</v>
      </c>
      <c r="N66" s="2">
        <v>1</v>
      </c>
      <c r="O66" s="2">
        <v>1</v>
      </c>
      <c r="P66" s="4">
        <v>7853</v>
      </c>
      <c r="Q66" s="4">
        <v>296032</v>
      </c>
      <c r="R66" s="2">
        <v>0</v>
      </c>
      <c r="S66" s="2" t="s">
        <v>25</v>
      </c>
      <c r="T66" s="4">
        <v>2885</v>
      </c>
    </row>
    <row r="67" spans="1:20" x14ac:dyDescent="0.3">
      <c r="A67" s="6" t="s">
        <v>172</v>
      </c>
      <c r="B67" s="6" t="s">
        <v>27</v>
      </c>
      <c r="C67" s="6" t="s">
        <v>28</v>
      </c>
      <c r="D67" s="6" t="s">
        <v>57</v>
      </c>
      <c r="E67" s="6" t="s">
        <v>173</v>
      </c>
      <c r="F67" s="6" t="s">
        <v>31</v>
      </c>
      <c r="G67" s="6">
        <v>48</v>
      </c>
      <c r="H67" s="2" t="str" cm="1">
        <f t="array" ref="H67">_xlfn.IFS(G67&lt;30,"&lt;30",G67&lt;=40,"30-40",G67&lt;=50,"40-50",LoanData!G67&gt;50,"50+")</f>
        <v>40-50</v>
      </c>
      <c r="I67" s="7">
        <v>45312</v>
      </c>
      <c r="J67" s="8">
        <v>1494000</v>
      </c>
      <c r="K67" s="6">
        <v>60</v>
      </c>
      <c r="L67" s="9">
        <v>13.2</v>
      </c>
      <c r="M67" s="8">
        <v>34146</v>
      </c>
      <c r="N67" s="6">
        <v>6</v>
      </c>
      <c r="O67" s="6">
        <v>6</v>
      </c>
      <c r="P67" s="8">
        <v>204876</v>
      </c>
      <c r="Q67" s="8">
        <v>1384761</v>
      </c>
      <c r="R67" s="6">
        <v>0</v>
      </c>
      <c r="S67" s="6" t="s">
        <v>25</v>
      </c>
      <c r="T67" s="8">
        <v>95637</v>
      </c>
    </row>
    <row r="68" spans="1:20" x14ac:dyDescent="0.3">
      <c r="A68" s="2" t="s">
        <v>174</v>
      </c>
      <c r="B68" s="2" t="s">
        <v>52</v>
      </c>
      <c r="C68" s="2" t="s">
        <v>53</v>
      </c>
      <c r="D68" s="2" t="s">
        <v>49</v>
      </c>
      <c r="E68" s="2" t="s">
        <v>175</v>
      </c>
      <c r="F68" s="2" t="s">
        <v>31</v>
      </c>
      <c r="G68" s="2">
        <v>36</v>
      </c>
      <c r="H68" s="2" t="str" cm="1">
        <f t="array" ref="H68">_xlfn.IFS(G68&lt;30,"&lt;30",G68&lt;=40,"30-40",G68&lt;=50,"40-50",LoanData!G68&gt;50,"50+")</f>
        <v>30-40</v>
      </c>
      <c r="I68" s="3">
        <v>45389</v>
      </c>
      <c r="J68" s="4">
        <v>625000</v>
      </c>
      <c r="K68" s="2">
        <v>24</v>
      </c>
      <c r="L68" s="5">
        <v>11.9</v>
      </c>
      <c r="M68" s="4">
        <v>29392</v>
      </c>
      <c r="N68" s="2">
        <v>3</v>
      </c>
      <c r="O68" s="2">
        <v>3</v>
      </c>
      <c r="P68" s="4">
        <v>88176</v>
      </c>
      <c r="Q68" s="4">
        <v>554726</v>
      </c>
      <c r="R68" s="2">
        <v>0</v>
      </c>
      <c r="S68" s="2" t="s">
        <v>25</v>
      </c>
      <c r="T68" s="4">
        <v>17902</v>
      </c>
    </row>
    <row r="69" spans="1:20" x14ac:dyDescent="0.3">
      <c r="A69" s="6" t="s">
        <v>176</v>
      </c>
      <c r="B69" s="6" t="s">
        <v>60</v>
      </c>
      <c r="C69" s="6" t="s">
        <v>21</v>
      </c>
      <c r="D69" s="6" t="s">
        <v>22</v>
      </c>
      <c r="E69" s="6" t="s">
        <v>177</v>
      </c>
      <c r="F69" s="6" t="s">
        <v>42</v>
      </c>
      <c r="G69" s="6">
        <v>47</v>
      </c>
      <c r="H69" s="2" t="str" cm="1">
        <f t="array" ref="H69">_xlfn.IFS(G69&lt;30,"&lt;30",G69&lt;=40,"30-40",G69&lt;=50,"40-50",LoanData!G69&gt;50,"50+")</f>
        <v>40-50</v>
      </c>
      <c r="I69" s="7">
        <v>45296</v>
      </c>
      <c r="J69" s="8">
        <v>633000</v>
      </c>
      <c r="K69" s="6">
        <v>24</v>
      </c>
      <c r="L69" s="9">
        <v>13.7</v>
      </c>
      <c r="M69" s="8">
        <v>30303</v>
      </c>
      <c r="N69" s="6">
        <v>6</v>
      </c>
      <c r="O69" s="6">
        <v>6</v>
      </c>
      <c r="P69" s="8">
        <v>181818</v>
      </c>
      <c r="Q69" s="8">
        <v>490533</v>
      </c>
      <c r="R69" s="6">
        <v>0</v>
      </c>
      <c r="S69" s="6" t="s">
        <v>25</v>
      </c>
      <c r="T69" s="8">
        <v>39351</v>
      </c>
    </row>
    <row r="70" spans="1:20" x14ac:dyDescent="0.3">
      <c r="A70" s="2" t="s">
        <v>178</v>
      </c>
      <c r="B70" s="2" t="s">
        <v>27</v>
      </c>
      <c r="C70" s="2" t="s">
        <v>28</v>
      </c>
      <c r="D70" s="2" t="s">
        <v>22</v>
      </c>
      <c r="E70" s="2" t="s">
        <v>179</v>
      </c>
      <c r="F70" s="2" t="s">
        <v>42</v>
      </c>
      <c r="G70" s="2">
        <v>43</v>
      </c>
      <c r="H70" s="2" t="str" cm="1">
        <f t="array" ref="H70">_xlfn.IFS(G70&lt;30,"&lt;30",G70&lt;=40,"30-40",G70&lt;=50,"40-50",LoanData!G70&gt;50,"50+")</f>
        <v>40-50</v>
      </c>
      <c r="I70" s="3">
        <v>45297</v>
      </c>
      <c r="J70" s="4">
        <v>255000</v>
      </c>
      <c r="K70" s="2">
        <v>24</v>
      </c>
      <c r="L70" s="5">
        <v>11.9</v>
      </c>
      <c r="M70" s="4">
        <v>11992</v>
      </c>
      <c r="N70" s="2">
        <v>6</v>
      </c>
      <c r="O70" s="2">
        <v>6</v>
      </c>
      <c r="P70" s="4">
        <v>71952</v>
      </c>
      <c r="Q70" s="4">
        <v>196795</v>
      </c>
      <c r="R70" s="2">
        <v>0</v>
      </c>
      <c r="S70" s="2" t="s">
        <v>25</v>
      </c>
      <c r="T70" s="4">
        <v>13747</v>
      </c>
    </row>
    <row r="71" spans="1:20" x14ac:dyDescent="0.3">
      <c r="A71" s="6" t="s">
        <v>180</v>
      </c>
      <c r="B71" s="6" t="s">
        <v>80</v>
      </c>
      <c r="C71" s="6" t="s">
        <v>53</v>
      </c>
      <c r="D71" s="6" t="s">
        <v>29</v>
      </c>
      <c r="E71" s="6" t="s">
        <v>181</v>
      </c>
      <c r="F71" s="6" t="s">
        <v>42</v>
      </c>
      <c r="G71" s="6">
        <v>30</v>
      </c>
      <c r="H71" s="2" t="str" cm="1">
        <f t="array" ref="H71">_xlfn.IFS(G71&lt;30,"&lt;30",G71&lt;=40,"30-40",G71&lt;=50,"40-50",LoanData!G71&gt;50,"50+")</f>
        <v>30-40</v>
      </c>
      <c r="I71" s="7">
        <v>45363</v>
      </c>
      <c r="J71" s="8">
        <v>136000</v>
      </c>
      <c r="K71" s="6">
        <v>24</v>
      </c>
      <c r="L71" s="9">
        <v>10.199999999999999</v>
      </c>
      <c r="M71" s="8">
        <v>6288</v>
      </c>
      <c r="N71" s="6">
        <v>4</v>
      </c>
      <c r="O71" s="6">
        <v>0</v>
      </c>
      <c r="P71" s="8">
        <v>0</v>
      </c>
      <c r="Q71" s="8">
        <v>136000</v>
      </c>
      <c r="R71" s="6">
        <v>195</v>
      </c>
      <c r="S71" s="6" t="s">
        <v>55</v>
      </c>
      <c r="T71" s="8">
        <v>0</v>
      </c>
    </row>
    <row r="72" spans="1:20" x14ac:dyDescent="0.3">
      <c r="A72" s="2" t="s">
        <v>182</v>
      </c>
      <c r="B72" s="2" t="s">
        <v>80</v>
      </c>
      <c r="C72" s="2" t="s">
        <v>53</v>
      </c>
      <c r="D72" s="2" t="s">
        <v>29</v>
      </c>
      <c r="E72" s="2" t="s">
        <v>183</v>
      </c>
      <c r="F72" s="2" t="s">
        <v>31</v>
      </c>
      <c r="G72" s="2">
        <v>56</v>
      </c>
      <c r="H72" s="2" t="str" cm="1">
        <f t="array" ref="H72">_xlfn.IFS(G72&lt;30,"&lt;30",G72&lt;=40,"30-40",G72&lt;=50,"40-50",LoanData!G72&gt;50,"50+")</f>
        <v>50+</v>
      </c>
      <c r="I72" s="3">
        <v>45372</v>
      </c>
      <c r="J72" s="4">
        <v>267000</v>
      </c>
      <c r="K72" s="2">
        <v>12</v>
      </c>
      <c r="L72" s="5">
        <v>9.8000000000000007</v>
      </c>
      <c r="M72" s="4">
        <v>23449</v>
      </c>
      <c r="N72" s="2">
        <v>4</v>
      </c>
      <c r="O72" s="2">
        <v>4</v>
      </c>
      <c r="P72" s="4">
        <v>93796</v>
      </c>
      <c r="Q72" s="4">
        <v>180879</v>
      </c>
      <c r="R72" s="2">
        <v>0</v>
      </c>
      <c r="S72" s="2" t="s">
        <v>25</v>
      </c>
      <c r="T72" s="4">
        <v>7675</v>
      </c>
    </row>
    <row r="73" spans="1:20" x14ac:dyDescent="0.3">
      <c r="A73" s="6" t="s">
        <v>184</v>
      </c>
      <c r="B73" s="6" t="s">
        <v>52</v>
      </c>
      <c r="C73" s="6" t="s">
        <v>53</v>
      </c>
      <c r="D73" s="6" t="s">
        <v>57</v>
      </c>
      <c r="E73" s="6" t="s">
        <v>185</v>
      </c>
      <c r="F73" s="6" t="s">
        <v>31</v>
      </c>
      <c r="G73" s="6">
        <v>44</v>
      </c>
      <c r="H73" s="2" t="str" cm="1">
        <f t="array" ref="H73">_xlfn.IFS(G73&lt;30,"&lt;30",G73&lt;=40,"30-40",G73&lt;=50,"40-50",LoanData!G73&gt;50,"50+")</f>
        <v>40-50</v>
      </c>
      <c r="I73" s="7">
        <v>45297</v>
      </c>
      <c r="J73" s="8">
        <v>1673000</v>
      </c>
      <c r="K73" s="6">
        <v>36</v>
      </c>
      <c r="L73" s="9">
        <v>13.1</v>
      </c>
      <c r="M73" s="8">
        <v>56451</v>
      </c>
      <c r="N73" s="6">
        <v>6</v>
      </c>
      <c r="O73" s="6">
        <v>6</v>
      </c>
      <c r="P73" s="8">
        <v>338706</v>
      </c>
      <c r="Q73" s="8">
        <v>1437533</v>
      </c>
      <c r="R73" s="6">
        <v>0</v>
      </c>
      <c r="S73" s="6" t="s">
        <v>25</v>
      </c>
      <c r="T73" s="8">
        <v>103239</v>
      </c>
    </row>
    <row r="74" spans="1:20" x14ac:dyDescent="0.3">
      <c r="A74" s="2" t="s">
        <v>186</v>
      </c>
      <c r="B74" s="2" t="s">
        <v>60</v>
      </c>
      <c r="C74" s="2" t="s">
        <v>21</v>
      </c>
      <c r="D74" s="2" t="s">
        <v>35</v>
      </c>
      <c r="E74" s="2" t="s">
        <v>187</v>
      </c>
      <c r="F74" s="2" t="s">
        <v>42</v>
      </c>
      <c r="G74" s="2">
        <v>58</v>
      </c>
      <c r="H74" s="2" t="str" cm="1">
        <f t="array" ref="H74">_xlfn.IFS(G74&lt;30,"&lt;30",G74&lt;=40,"30-40",G74&lt;=50,"40-50",LoanData!G74&gt;50,"50+")</f>
        <v>50+</v>
      </c>
      <c r="I74" s="3">
        <v>45350</v>
      </c>
      <c r="J74" s="4">
        <v>411000</v>
      </c>
      <c r="K74" s="2">
        <v>36</v>
      </c>
      <c r="L74" s="5">
        <v>14.7</v>
      </c>
      <c r="M74" s="4">
        <v>14187</v>
      </c>
      <c r="N74" s="2">
        <v>5</v>
      </c>
      <c r="O74" s="2">
        <v>0</v>
      </c>
      <c r="P74" s="4">
        <v>0</v>
      </c>
      <c r="Q74" s="4">
        <v>411000</v>
      </c>
      <c r="R74" s="2">
        <v>173</v>
      </c>
      <c r="S74" s="2" t="s">
        <v>55</v>
      </c>
      <c r="T74" s="4">
        <v>0</v>
      </c>
    </row>
    <row r="75" spans="1:20" x14ac:dyDescent="0.3">
      <c r="A75" s="6" t="s">
        <v>188</v>
      </c>
      <c r="B75" s="6" t="s">
        <v>60</v>
      </c>
      <c r="C75" s="6" t="s">
        <v>21</v>
      </c>
      <c r="D75" s="6" t="s">
        <v>35</v>
      </c>
      <c r="E75" s="6" t="s">
        <v>189</v>
      </c>
      <c r="F75" s="6" t="s">
        <v>24</v>
      </c>
      <c r="G75" s="6">
        <v>43</v>
      </c>
      <c r="H75" s="2" t="str" cm="1">
        <f t="array" ref="H75">_xlfn.IFS(G75&lt;30,"&lt;30",G75&lt;=40,"30-40",G75&lt;=50,"40-50",LoanData!G75&gt;50,"50+")</f>
        <v>40-50</v>
      </c>
      <c r="I75" s="7">
        <v>45346</v>
      </c>
      <c r="J75" s="8">
        <v>128000</v>
      </c>
      <c r="K75" s="6">
        <v>24</v>
      </c>
      <c r="L75" s="9">
        <v>16.899999999999999</v>
      </c>
      <c r="M75" s="8">
        <v>6322</v>
      </c>
      <c r="N75" s="6">
        <v>5</v>
      </c>
      <c r="O75" s="6">
        <v>4</v>
      </c>
      <c r="P75" s="8">
        <v>25288</v>
      </c>
      <c r="Q75" s="8">
        <v>109535</v>
      </c>
      <c r="R75" s="6">
        <v>38</v>
      </c>
      <c r="S75" s="6" t="s">
        <v>47</v>
      </c>
      <c r="T75" s="8">
        <v>6823</v>
      </c>
    </row>
    <row r="76" spans="1:20" x14ac:dyDescent="0.3">
      <c r="A76" s="2" t="s">
        <v>190</v>
      </c>
      <c r="B76" s="2" t="s">
        <v>27</v>
      </c>
      <c r="C76" s="2" t="s">
        <v>28</v>
      </c>
      <c r="D76" s="2" t="s">
        <v>29</v>
      </c>
      <c r="E76" s="2" t="s">
        <v>191</v>
      </c>
      <c r="F76" s="2" t="s">
        <v>31</v>
      </c>
      <c r="G76" s="2">
        <v>28</v>
      </c>
      <c r="H76" s="2" t="str" cm="1">
        <f t="array" ref="H76">_xlfn.IFS(G76&lt;30,"&lt;30",G76&lt;=40,"30-40",G76&lt;=50,"40-50",LoanData!G76&gt;50,"50+")</f>
        <v>&lt;30</v>
      </c>
      <c r="I76" s="3">
        <v>45427</v>
      </c>
      <c r="J76" s="4">
        <v>110000</v>
      </c>
      <c r="K76" s="2">
        <v>12</v>
      </c>
      <c r="L76" s="5">
        <v>9.9</v>
      </c>
      <c r="M76" s="4">
        <v>9666</v>
      </c>
      <c r="N76" s="2">
        <v>2</v>
      </c>
      <c r="O76" s="2">
        <v>2</v>
      </c>
      <c r="P76" s="4">
        <v>19332</v>
      </c>
      <c r="Q76" s="4">
        <v>92411</v>
      </c>
      <c r="R76" s="2">
        <v>0</v>
      </c>
      <c r="S76" s="2" t="s">
        <v>25</v>
      </c>
      <c r="T76" s="4">
        <v>1743</v>
      </c>
    </row>
    <row r="77" spans="1:20" x14ac:dyDescent="0.3">
      <c r="A77" s="6" t="s">
        <v>192</v>
      </c>
      <c r="B77" s="6" t="s">
        <v>60</v>
      </c>
      <c r="C77" s="6" t="s">
        <v>21</v>
      </c>
      <c r="D77" s="6" t="s">
        <v>49</v>
      </c>
      <c r="E77" s="6" t="s">
        <v>193</v>
      </c>
      <c r="F77" s="6" t="s">
        <v>24</v>
      </c>
      <c r="G77" s="6">
        <v>28</v>
      </c>
      <c r="H77" s="2" t="str" cm="1">
        <f t="array" ref="H77">_xlfn.IFS(G77&lt;30,"&lt;30",G77&lt;=40,"30-40",G77&lt;=50,"40-50",LoanData!G77&gt;50,"50+")</f>
        <v>&lt;30</v>
      </c>
      <c r="I77" s="7">
        <v>45461</v>
      </c>
      <c r="J77" s="8">
        <v>379000</v>
      </c>
      <c r="K77" s="6">
        <v>60</v>
      </c>
      <c r="L77" s="9">
        <v>11.2</v>
      </c>
      <c r="M77" s="8">
        <v>8278</v>
      </c>
      <c r="N77" s="6">
        <v>1</v>
      </c>
      <c r="O77" s="6">
        <v>1</v>
      </c>
      <c r="P77" s="8">
        <v>8278</v>
      </c>
      <c r="Q77" s="8">
        <v>374259</v>
      </c>
      <c r="R77" s="6">
        <v>0</v>
      </c>
      <c r="S77" s="6" t="s">
        <v>25</v>
      </c>
      <c r="T77" s="8">
        <v>3537</v>
      </c>
    </row>
    <row r="78" spans="1:20" x14ac:dyDescent="0.3">
      <c r="A78" s="2" t="s">
        <v>194</v>
      </c>
      <c r="B78" s="2" t="s">
        <v>60</v>
      </c>
      <c r="C78" s="2" t="s">
        <v>21</v>
      </c>
      <c r="D78" s="2" t="s">
        <v>49</v>
      </c>
      <c r="E78" s="2" t="s">
        <v>195</v>
      </c>
      <c r="F78" s="2" t="s">
        <v>24</v>
      </c>
      <c r="G78" s="2">
        <v>56</v>
      </c>
      <c r="H78" s="2" t="str" cm="1">
        <f t="array" ref="H78">_xlfn.IFS(G78&lt;30,"&lt;30",G78&lt;=40,"30-40",G78&lt;=50,"40-50",LoanData!G78&gt;50,"50+")</f>
        <v>50+</v>
      </c>
      <c r="I78" s="3">
        <v>45346</v>
      </c>
      <c r="J78" s="4">
        <v>653000</v>
      </c>
      <c r="K78" s="2">
        <v>24</v>
      </c>
      <c r="L78" s="5">
        <v>13.9</v>
      </c>
      <c r="M78" s="4">
        <v>31322</v>
      </c>
      <c r="N78" s="2">
        <v>5</v>
      </c>
      <c r="O78" s="2">
        <v>5</v>
      </c>
      <c r="P78" s="4">
        <v>156610</v>
      </c>
      <c r="Q78" s="4">
        <v>531428</v>
      </c>
      <c r="R78" s="2">
        <v>0</v>
      </c>
      <c r="S78" s="2" t="s">
        <v>25</v>
      </c>
      <c r="T78" s="4">
        <v>35038</v>
      </c>
    </row>
    <row r="79" spans="1:20" x14ac:dyDescent="0.3">
      <c r="A79" s="6" t="s">
        <v>196</v>
      </c>
      <c r="B79" s="6" t="s">
        <v>65</v>
      </c>
      <c r="C79" s="6" t="s">
        <v>28</v>
      </c>
      <c r="D79" s="6" t="s">
        <v>35</v>
      </c>
      <c r="E79" s="6" t="s">
        <v>197</v>
      </c>
      <c r="F79" s="6" t="s">
        <v>24</v>
      </c>
      <c r="G79" s="6">
        <v>51</v>
      </c>
      <c r="H79" s="2" t="str" cm="1">
        <f t="array" ref="H79">_xlfn.IFS(G79&lt;30,"&lt;30",G79&lt;=40,"30-40",G79&lt;=50,"40-50",LoanData!G79&gt;50,"50+")</f>
        <v>50+</v>
      </c>
      <c r="I79" s="7">
        <v>45406</v>
      </c>
      <c r="J79" s="8">
        <v>308000</v>
      </c>
      <c r="K79" s="6">
        <v>36</v>
      </c>
      <c r="L79" s="9">
        <v>15.5</v>
      </c>
      <c r="M79" s="8">
        <v>10752</v>
      </c>
      <c r="N79" s="6">
        <v>3</v>
      </c>
      <c r="O79" s="6">
        <v>1</v>
      </c>
      <c r="P79" s="8">
        <v>10752</v>
      </c>
      <c r="Q79" s="8">
        <v>301226</v>
      </c>
      <c r="R79" s="6">
        <v>73</v>
      </c>
      <c r="S79" s="6" t="s">
        <v>47</v>
      </c>
      <c r="T79" s="8">
        <v>3978</v>
      </c>
    </row>
    <row r="80" spans="1:20" x14ac:dyDescent="0.3">
      <c r="A80" s="2" t="s">
        <v>198</v>
      </c>
      <c r="B80" s="2" t="s">
        <v>52</v>
      </c>
      <c r="C80" s="2" t="s">
        <v>53</v>
      </c>
      <c r="D80" s="2" t="s">
        <v>29</v>
      </c>
      <c r="E80" s="2" t="s">
        <v>199</v>
      </c>
      <c r="F80" s="2" t="s">
        <v>24</v>
      </c>
      <c r="G80" s="2">
        <v>43</v>
      </c>
      <c r="H80" s="2" t="str" cm="1">
        <f t="array" ref="H80">_xlfn.IFS(G80&lt;30,"&lt;30",G80&lt;=40,"30-40",G80&lt;=50,"40-50",LoanData!G80&gt;50,"50+")</f>
        <v>40-50</v>
      </c>
      <c r="I80" s="3">
        <v>45421</v>
      </c>
      <c r="J80" s="4">
        <v>39000</v>
      </c>
      <c r="K80" s="2">
        <v>6</v>
      </c>
      <c r="L80" s="5">
        <v>11.7</v>
      </c>
      <c r="M80" s="4">
        <v>6724</v>
      </c>
      <c r="N80" s="2">
        <v>2</v>
      </c>
      <c r="O80" s="2">
        <v>2</v>
      </c>
      <c r="P80" s="4">
        <v>13448</v>
      </c>
      <c r="Q80" s="4">
        <v>26251</v>
      </c>
      <c r="R80" s="2">
        <v>0</v>
      </c>
      <c r="S80" s="2" t="s">
        <v>25</v>
      </c>
      <c r="T80" s="4">
        <v>699</v>
      </c>
    </row>
    <row r="81" spans="1:20" x14ac:dyDescent="0.3">
      <c r="A81" s="6" t="s">
        <v>200</v>
      </c>
      <c r="B81" s="6" t="s">
        <v>40</v>
      </c>
      <c r="C81" s="6" t="s">
        <v>34</v>
      </c>
      <c r="D81" s="6" t="s">
        <v>29</v>
      </c>
      <c r="E81" s="6" t="s">
        <v>201</v>
      </c>
      <c r="F81" s="6" t="s">
        <v>42</v>
      </c>
      <c r="G81" s="6">
        <v>35</v>
      </c>
      <c r="H81" s="2" t="str" cm="1">
        <f t="array" ref="H81">_xlfn.IFS(G81&lt;30,"&lt;30",G81&lt;=40,"30-40",G81&lt;=50,"40-50",LoanData!G81&gt;50,"50+")</f>
        <v>30-40</v>
      </c>
      <c r="I81" s="7">
        <v>45337</v>
      </c>
      <c r="J81" s="8">
        <v>169000</v>
      </c>
      <c r="K81" s="6">
        <v>6</v>
      </c>
      <c r="L81" s="9">
        <v>9.1999999999999993</v>
      </c>
      <c r="M81" s="8">
        <v>28927</v>
      </c>
      <c r="N81" s="6">
        <v>5</v>
      </c>
      <c r="O81" s="6">
        <v>5</v>
      </c>
      <c r="P81" s="8">
        <v>144635</v>
      </c>
      <c r="Q81" s="8">
        <v>28707</v>
      </c>
      <c r="R81" s="6">
        <v>0</v>
      </c>
      <c r="S81" s="6" t="s">
        <v>25</v>
      </c>
      <c r="T81" s="8">
        <v>4342</v>
      </c>
    </row>
    <row r="82" spans="1:20" x14ac:dyDescent="0.3">
      <c r="A82" s="2" t="s">
        <v>202</v>
      </c>
      <c r="B82" s="2" t="s">
        <v>52</v>
      </c>
      <c r="C82" s="2" t="s">
        <v>53</v>
      </c>
      <c r="D82" s="2" t="s">
        <v>49</v>
      </c>
      <c r="E82" s="2" t="s">
        <v>203</v>
      </c>
      <c r="F82" s="2" t="s">
        <v>24</v>
      </c>
      <c r="G82" s="2">
        <v>53</v>
      </c>
      <c r="H82" s="2" t="str" cm="1">
        <f t="array" ref="H82">_xlfn.IFS(G82&lt;30,"&lt;30",G82&lt;=40,"30-40",G82&lt;=50,"40-50",LoanData!G82&gt;50,"50+")</f>
        <v>50+</v>
      </c>
      <c r="I82" s="3">
        <v>45426</v>
      </c>
      <c r="J82" s="4">
        <v>405000</v>
      </c>
      <c r="K82" s="2">
        <v>48</v>
      </c>
      <c r="L82" s="5">
        <v>14.1</v>
      </c>
      <c r="M82" s="4">
        <v>11088</v>
      </c>
      <c r="N82" s="2">
        <v>2</v>
      </c>
      <c r="O82" s="2">
        <v>2</v>
      </c>
      <c r="P82" s="4">
        <v>22176</v>
      </c>
      <c r="Q82" s="4">
        <v>392268</v>
      </c>
      <c r="R82" s="2">
        <v>0</v>
      </c>
      <c r="S82" s="2" t="s">
        <v>25</v>
      </c>
      <c r="T82" s="4">
        <v>9444</v>
      </c>
    </row>
    <row r="83" spans="1:20" x14ac:dyDescent="0.3">
      <c r="A83" s="6" t="s">
        <v>204</v>
      </c>
      <c r="B83" s="6" t="s">
        <v>52</v>
      </c>
      <c r="C83" s="6" t="s">
        <v>53</v>
      </c>
      <c r="D83" s="6" t="s">
        <v>57</v>
      </c>
      <c r="E83" s="6" t="s">
        <v>205</v>
      </c>
      <c r="F83" s="6" t="s">
        <v>31</v>
      </c>
      <c r="G83" s="6">
        <v>34</v>
      </c>
      <c r="H83" s="2" t="str" cm="1">
        <f t="array" ref="H83">_xlfn.IFS(G83&lt;30,"&lt;30",G83&lt;=40,"30-40",G83&lt;=50,"40-50",LoanData!G83&gt;50,"50+")</f>
        <v>30-40</v>
      </c>
      <c r="I83" s="7">
        <v>45378</v>
      </c>
      <c r="J83" s="8">
        <v>1958000</v>
      </c>
      <c r="K83" s="6">
        <v>36</v>
      </c>
      <c r="L83" s="9">
        <v>14.1</v>
      </c>
      <c r="M83" s="8">
        <v>67015</v>
      </c>
      <c r="N83" s="6">
        <v>4</v>
      </c>
      <c r="O83" s="6">
        <v>4</v>
      </c>
      <c r="P83" s="8">
        <v>268060</v>
      </c>
      <c r="Q83" s="8">
        <v>1778839</v>
      </c>
      <c r="R83" s="6">
        <v>0</v>
      </c>
      <c r="S83" s="6" t="s">
        <v>25</v>
      </c>
      <c r="T83" s="8">
        <v>88899</v>
      </c>
    </row>
    <row r="84" spans="1:20" x14ac:dyDescent="0.3">
      <c r="A84" s="2" t="s">
        <v>206</v>
      </c>
      <c r="B84" s="2" t="s">
        <v>33</v>
      </c>
      <c r="C84" s="2" t="s">
        <v>34</v>
      </c>
      <c r="D84" s="2" t="s">
        <v>57</v>
      </c>
      <c r="E84" s="2" t="s">
        <v>207</v>
      </c>
      <c r="F84" s="2" t="s">
        <v>24</v>
      </c>
      <c r="G84" s="2">
        <v>27</v>
      </c>
      <c r="H84" s="2" t="str" cm="1">
        <f t="array" ref="H84">_xlfn.IFS(G84&lt;30,"&lt;30",G84&lt;=40,"30-40",G84&lt;=50,"40-50",LoanData!G84&gt;50,"50+")</f>
        <v>&lt;30</v>
      </c>
      <c r="I84" s="3">
        <v>45340</v>
      </c>
      <c r="J84" s="4">
        <v>1104000</v>
      </c>
      <c r="K84" s="2">
        <v>24</v>
      </c>
      <c r="L84" s="5">
        <v>12.3</v>
      </c>
      <c r="M84" s="4">
        <v>52124</v>
      </c>
      <c r="N84" s="2">
        <v>5</v>
      </c>
      <c r="O84" s="2">
        <v>2</v>
      </c>
      <c r="P84" s="4">
        <v>104248</v>
      </c>
      <c r="Q84" s="4">
        <v>1021966</v>
      </c>
      <c r="R84" s="2">
        <v>93</v>
      </c>
      <c r="S84" s="2" t="s">
        <v>55</v>
      </c>
      <c r="T84" s="4">
        <v>22214</v>
      </c>
    </row>
    <row r="85" spans="1:20" x14ac:dyDescent="0.3">
      <c r="A85" s="6" t="s">
        <v>208</v>
      </c>
      <c r="B85" s="6" t="s">
        <v>20</v>
      </c>
      <c r="C85" s="6" t="s">
        <v>21</v>
      </c>
      <c r="D85" s="6" t="s">
        <v>22</v>
      </c>
      <c r="E85" s="6" t="s">
        <v>209</v>
      </c>
      <c r="F85" s="6" t="s">
        <v>24</v>
      </c>
      <c r="G85" s="6">
        <v>34</v>
      </c>
      <c r="H85" s="2" t="str" cm="1">
        <f t="array" ref="H85">_xlfn.IFS(G85&lt;30,"&lt;30",G85&lt;=40,"30-40",G85&lt;=50,"40-50",LoanData!G85&gt;50,"50+")</f>
        <v>30-40</v>
      </c>
      <c r="I85" s="7">
        <v>45389</v>
      </c>
      <c r="J85" s="8">
        <v>1495000</v>
      </c>
      <c r="K85" s="6">
        <v>36</v>
      </c>
      <c r="L85" s="9">
        <v>13.4</v>
      </c>
      <c r="M85" s="8">
        <v>50661</v>
      </c>
      <c r="N85" s="6">
        <v>3</v>
      </c>
      <c r="O85" s="6">
        <v>0</v>
      </c>
      <c r="P85" s="8">
        <v>0</v>
      </c>
      <c r="Q85" s="8">
        <v>1495000</v>
      </c>
      <c r="R85" s="6">
        <v>165</v>
      </c>
      <c r="S85" s="6" t="s">
        <v>55</v>
      </c>
      <c r="T85" s="8">
        <v>0</v>
      </c>
    </row>
    <row r="86" spans="1:20" x14ac:dyDescent="0.3">
      <c r="A86" s="2" t="s">
        <v>210</v>
      </c>
      <c r="B86" s="2" t="s">
        <v>33</v>
      </c>
      <c r="C86" s="2" t="s">
        <v>34</v>
      </c>
      <c r="D86" s="2" t="s">
        <v>57</v>
      </c>
      <c r="E86" s="2" t="s">
        <v>211</v>
      </c>
      <c r="F86" s="2" t="s">
        <v>42</v>
      </c>
      <c r="G86" s="2">
        <v>48</v>
      </c>
      <c r="H86" s="2" t="str" cm="1">
        <f t="array" ref="H86">_xlfn.IFS(G86&lt;30,"&lt;30",G86&lt;=40,"30-40",G86&lt;=50,"40-50",LoanData!G86&gt;50,"50+")</f>
        <v>40-50</v>
      </c>
      <c r="I86" s="3">
        <v>45392</v>
      </c>
      <c r="J86" s="4">
        <v>1805000</v>
      </c>
      <c r="K86" s="2">
        <v>48</v>
      </c>
      <c r="L86" s="5">
        <v>14.6</v>
      </c>
      <c r="M86" s="4">
        <v>49869</v>
      </c>
      <c r="N86" s="2">
        <v>3</v>
      </c>
      <c r="O86" s="2">
        <v>3</v>
      </c>
      <c r="P86" s="4">
        <v>149607</v>
      </c>
      <c r="Q86" s="4">
        <v>1720252</v>
      </c>
      <c r="R86" s="2">
        <v>0</v>
      </c>
      <c r="S86" s="2" t="s">
        <v>25</v>
      </c>
      <c r="T86" s="4">
        <v>64859</v>
      </c>
    </row>
    <row r="87" spans="1:20" x14ac:dyDescent="0.3">
      <c r="A87" s="6" t="s">
        <v>212</v>
      </c>
      <c r="B87" s="6" t="s">
        <v>60</v>
      </c>
      <c r="C87" s="6" t="s">
        <v>21</v>
      </c>
      <c r="D87" s="6" t="s">
        <v>29</v>
      </c>
      <c r="E87" s="6" t="s">
        <v>213</v>
      </c>
      <c r="F87" s="6" t="s">
        <v>24</v>
      </c>
      <c r="G87" s="6">
        <v>55</v>
      </c>
      <c r="H87" s="2" t="str" cm="1">
        <f t="array" ref="H87">_xlfn.IFS(G87&lt;30,"&lt;30",G87&lt;=40,"30-40",G87&lt;=50,"40-50",LoanData!G87&gt;50,"50+")</f>
        <v>50+</v>
      </c>
      <c r="I87" s="7">
        <v>45300</v>
      </c>
      <c r="J87" s="8">
        <v>91000</v>
      </c>
      <c r="K87" s="6">
        <v>24</v>
      </c>
      <c r="L87" s="9">
        <v>11.9</v>
      </c>
      <c r="M87" s="8">
        <v>4279</v>
      </c>
      <c r="N87" s="6">
        <v>6</v>
      </c>
      <c r="O87" s="6">
        <v>6</v>
      </c>
      <c r="P87" s="8">
        <v>25674</v>
      </c>
      <c r="Q87" s="8">
        <v>70229</v>
      </c>
      <c r="R87" s="6">
        <v>0</v>
      </c>
      <c r="S87" s="6" t="s">
        <v>25</v>
      </c>
      <c r="T87" s="8">
        <v>4903</v>
      </c>
    </row>
    <row r="88" spans="1:20" x14ac:dyDescent="0.3">
      <c r="A88" s="2" t="s">
        <v>214</v>
      </c>
      <c r="B88" s="2" t="s">
        <v>60</v>
      </c>
      <c r="C88" s="2" t="s">
        <v>21</v>
      </c>
      <c r="D88" s="2" t="s">
        <v>35</v>
      </c>
      <c r="E88" s="2" t="s">
        <v>215</v>
      </c>
      <c r="F88" s="2" t="s">
        <v>31</v>
      </c>
      <c r="G88" s="2">
        <v>34</v>
      </c>
      <c r="H88" s="2" t="str" cm="1">
        <f t="array" ref="H88">_xlfn.IFS(G88&lt;30,"&lt;30",G88&lt;=40,"30-40",G88&lt;=50,"40-50",LoanData!G88&gt;50,"50+")</f>
        <v>30-40</v>
      </c>
      <c r="I88" s="3">
        <v>45371</v>
      </c>
      <c r="J88" s="4">
        <v>201000</v>
      </c>
      <c r="K88" s="2">
        <v>12</v>
      </c>
      <c r="L88" s="5">
        <v>17.2</v>
      </c>
      <c r="M88" s="4">
        <v>18351</v>
      </c>
      <c r="N88" s="2">
        <v>4</v>
      </c>
      <c r="O88" s="2">
        <v>4</v>
      </c>
      <c r="P88" s="4">
        <v>73404</v>
      </c>
      <c r="Q88" s="4">
        <v>137776</v>
      </c>
      <c r="R88" s="2">
        <v>0</v>
      </c>
      <c r="S88" s="2" t="s">
        <v>25</v>
      </c>
      <c r="T88" s="4">
        <v>10180</v>
      </c>
    </row>
    <row r="89" spans="1:20" x14ac:dyDescent="0.3">
      <c r="A89" s="6" t="s">
        <v>216</v>
      </c>
      <c r="B89" s="6" t="s">
        <v>27</v>
      </c>
      <c r="C89" s="6" t="s">
        <v>28</v>
      </c>
      <c r="D89" s="6" t="s">
        <v>35</v>
      </c>
      <c r="E89" s="6" t="s">
        <v>217</v>
      </c>
      <c r="F89" s="6" t="s">
        <v>42</v>
      </c>
      <c r="G89" s="6">
        <v>34</v>
      </c>
      <c r="H89" s="2" t="str" cm="1">
        <f t="array" ref="H89">_xlfn.IFS(G89&lt;30,"&lt;30",G89&lt;=40,"30-40",G89&lt;=50,"40-50",LoanData!G89&gt;50,"50+")</f>
        <v>30-40</v>
      </c>
      <c r="I89" s="7">
        <v>45335</v>
      </c>
      <c r="J89" s="8">
        <v>432000</v>
      </c>
      <c r="K89" s="6">
        <v>36</v>
      </c>
      <c r="L89" s="9">
        <v>15.9</v>
      </c>
      <c r="M89" s="8">
        <v>15167</v>
      </c>
      <c r="N89" s="6">
        <v>5</v>
      </c>
      <c r="O89" s="6">
        <v>5</v>
      </c>
      <c r="P89" s="8">
        <v>75835</v>
      </c>
      <c r="Q89" s="8">
        <v>383520</v>
      </c>
      <c r="R89" s="6">
        <v>0</v>
      </c>
      <c r="S89" s="6" t="s">
        <v>25</v>
      </c>
      <c r="T89" s="8">
        <v>27355</v>
      </c>
    </row>
    <row r="90" spans="1:20" x14ac:dyDescent="0.3">
      <c r="A90" s="2" t="s">
        <v>218</v>
      </c>
      <c r="B90" s="2" t="s">
        <v>80</v>
      </c>
      <c r="C90" s="2" t="s">
        <v>53</v>
      </c>
      <c r="D90" s="2" t="s">
        <v>35</v>
      </c>
      <c r="E90" s="2" t="s">
        <v>219</v>
      </c>
      <c r="F90" s="2" t="s">
        <v>24</v>
      </c>
      <c r="G90" s="2">
        <v>51</v>
      </c>
      <c r="H90" s="2" t="str" cm="1">
        <f t="array" ref="H90">_xlfn.IFS(G90&lt;30,"&lt;30",G90&lt;=40,"30-40",G90&lt;=50,"40-50",LoanData!G90&gt;50,"50+")</f>
        <v>50+</v>
      </c>
      <c r="I90" s="3">
        <v>45335</v>
      </c>
      <c r="J90" s="4">
        <v>492000</v>
      </c>
      <c r="K90" s="2">
        <v>36</v>
      </c>
      <c r="L90" s="5">
        <v>14.6</v>
      </c>
      <c r="M90" s="4">
        <v>16959</v>
      </c>
      <c r="N90" s="2">
        <v>5</v>
      </c>
      <c r="O90" s="2">
        <v>5</v>
      </c>
      <c r="P90" s="4">
        <v>84795</v>
      </c>
      <c r="Q90" s="4">
        <v>435783</v>
      </c>
      <c r="R90" s="2">
        <v>0</v>
      </c>
      <c r="S90" s="2" t="s">
        <v>25</v>
      </c>
      <c r="T90" s="4">
        <v>28578</v>
      </c>
    </row>
    <row r="91" spans="1:20" x14ac:dyDescent="0.3">
      <c r="A91" s="6" t="s">
        <v>220</v>
      </c>
      <c r="B91" s="6" t="s">
        <v>33</v>
      </c>
      <c r="C91" s="6" t="s">
        <v>34</v>
      </c>
      <c r="D91" s="6" t="s">
        <v>35</v>
      </c>
      <c r="E91" s="6" t="s">
        <v>221</v>
      </c>
      <c r="F91" s="6" t="s">
        <v>31</v>
      </c>
      <c r="G91" s="6">
        <v>29</v>
      </c>
      <c r="H91" s="2" t="str" cm="1">
        <f t="array" ref="H91">_xlfn.IFS(G91&lt;30,"&lt;30",G91&lt;=40,"30-40",G91&lt;=50,"40-50",LoanData!G91&gt;50,"50+")</f>
        <v>&lt;30</v>
      </c>
      <c r="I91" s="7">
        <v>45302</v>
      </c>
      <c r="J91" s="8">
        <v>352000</v>
      </c>
      <c r="K91" s="6">
        <v>36</v>
      </c>
      <c r="L91" s="9">
        <v>14.8</v>
      </c>
      <c r="M91" s="8">
        <v>12168</v>
      </c>
      <c r="N91" s="6">
        <v>6</v>
      </c>
      <c r="O91" s="6">
        <v>0</v>
      </c>
      <c r="P91" s="8">
        <v>0</v>
      </c>
      <c r="Q91" s="8">
        <v>352000</v>
      </c>
      <c r="R91" s="6">
        <v>188</v>
      </c>
      <c r="S91" s="6" t="s">
        <v>55</v>
      </c>
      <c r="T91" s="8">
        <v>0</v>
      </c>
    </row>
    <row r="92" spans="1:20" x14ac:dyDescent="0.3">
      <c r="A92" s="2" t="s">
        <v>222</v>
      </c>
      <c r="B92" s="2" t="s">
        <v>80</v>
      </c>
      <c r="C92" s="2" t="s">
        <v>53</v>
      </c>
      <c r="D92" s="2" t="s">
        <v>22</v>
      </c>
      <c r="E92" s="2" t="s">
        <v>223</v>
      </c>
      <c r="F92" s="2" t="s">
        <v>31</v>
      </c>
      <c r="G92" s="2">
        <v>56</v>
      </c>
      <c r="H92" s="2" t="str" cm="1">
        <f t="array" ref="H92">_xlfn.IFS(G92&lt;30,"&lt;30",G92&lt;=40,"30-40",G92&lt;=50,"40-50",LoanData!G92&gt;50,"50+")</f>
        <v>50+</v>
      </c>
      <c r="I92" s="3">
        <v>45421</v>
      </c>
      <c r="J92" s="4">
        <v>482000</v>
      </c>
      <c r="K92" s="2">
        <v>36</v>
      </c>
      <c r="L92" s="5">
        <v>13.2</v>
      </c>
      <c r="M92" s="4">
        <v>16287</v>
      </c>
      <c r="N92" s="2">
        <v>2</v>
      </c>
      <c r="O92" s="2">
        <v>0</v>
      </c>
      <c r="P92" s="4">
        <v>0</v>
      </c>
      <c r="Q92" s="4">
        <v>482000</v>
      </c>
      <c r="R92" s="2">
        <v>67</v>
      </c>
      <c r="S92" s="2" t="s">
        <v>47</v>
      </c>
      <c r="T92" s="4">
        <v>0</v>
      </c>
    </row>
    <row r="93" spans="1:20" x14ac:dyDescent="0.3">
      <c r="A93" s="6" t="s">
        <v>224</v>
      </c>
      <c r="B93" s="6" t="s">
        <v>40</v>
      </c>
      <c r="C93" s="6" t="s">
        <v>34</v>
      </c>
      <c r="D93" s="6" t="s">
        <v>29</v>
      </c>
      <c r="E93" s="6" t="s">
        <v>225</v>
      </c>
      <c r="F93" s="6" t="s">
        <v>42</v>
      </c>
      <c r="G93" s="6">
        <v>51</v>
      </c>
      <c r="H93" s="2" t="str" cm="1">
        <f t="array" ref="H93">_xlfn.IFS(G93&lt;30,"&lt;30",G93&lt;=40,"30-40",G93&lt;=50,"40-50",LoanData!G93&gt;50,"50+")</f>
        <v>50+</v>
      </c>
      <c r="I93" s="7">
        <v>45407</v>
      </c>
      <c r="J93" s="8">
        <v>256000</v>
      </c>
      <c r="K93" s="6">
        <v>12</v>
      </c>
      <c r="L93" s="9">
        <v>10.4</v>
      </c>
      <c r="M93" s="8">
        <v>22554</v>
      </c>
      <c r="N93" s="6">
        <v>3</v>
      </c>
      <c r="O93" s="6">
        <v>3</v>
      </c>
      <c r="P93" s="8">
        <v>67662</v>
      </c>
      <c r="Q93" s="8">
        <v>194463</v>
      </c>
      <c r="R93" s="6">
        <v>0</v>
      </c>
      <c r="S93" s="6" t="s">
        <v>25</v>
      </c>
      <c r="T93" s="8">
        <v>6125</v>
      </c>
    </row>
    <row r="94" spans="1:20" x14ac:dyDescent="0.3">
      <c r="A94" s="2" t="s">
        <v>226</v>
      </c>
      <c r="B94" s="2" t="s">
        <v>65</v>
      </c>
      <c r="C94" s="2" t="s">
        <v>28</v>
      </c>
      <c r="D94" s="2" t="s">
        <v>57</v>
      </c>
      <c r="E94" s="2" t="s">
        <v>227</v>
      </c>
      <c r="F94" s="2" t="s">
        <v>31</v>
      </c>
      <c r="G94" s="2">
        <v>53</v>
      </c>
      <c r="H94" s="2" t="str" cm="1">
        <f t="array" ref="H94">_xlfn.IFS(G94&lt;30,"&lt;30",G94&lt;=40,"30-40",G94&lt;=50,"40-50",LoanData!G94&gt;50,"50+")</f>
        <v>50+</v>
      </c>
      <c r="I94" s="3">
        <v>45360</v>
      </c>
      <c r="J94" s="4">
        <v>1360000</v>
      </c>
      <c r="K94" s="2">
        <v>48</v>
      </c>
      <c r="L94" s="5">
        <v>12.2</v>
      </c>
      <c r="M94" s="4">
        <v>35948</v>
      </c>
      <c r="N94" s="2">
        <v>4</v>
      </c>
      <c r="O94" s="2">
        <v>4</v>
      </c>
      <c r="P94" s="4">
        <v>143792</v>
      </c>
      <c r="Q94" s="4">
        <v>1270157</v>
      </c>
      <c r="R94" s="2">
        <v>0</v>
      </c>
      <c r="S94" s="2" t="s">
        <v>25</v>
      </c>
      <c r="T94" s="4">
        <v>53949</v>
      </c>
    </row>
    <row r="95" spans="1:20" x14ac:dyDescent="0.3">
      <c r="A95" s="6" t="s">
        <v>228</v>
      </c>
      <c r="B95" s="6" t="s">
        <v>40</v>
      </c>
      <c r="C95" s="6" t="s">
        <v>34</v>
      </c>
      <c r="D95" s="6" t="s">
        <v>22</v>
      </c>
      <c r="E95" s="6" t="s">
        <v>229</v>
      </c>
      <c r="F95" s="6" t="s">
        <v>24</v>
      </c>
      <c r="G95" s="6">
        <v>46</v>
      </c>
      <c r="H95" s="2" t="str" cm="1">
        <f t="array" ref="H95">_xlfn.IFS(G95&lt;30,"&lt;30",G95&lt;=40,"30-40",G95&lt;=50,"40-50",LoanData!G95&gt;50,"50+")</f>
        <v>40-50</v>
      </c>
      <c r="I95" s="7">
        <v>45376</v>
      </c>
      <c r="J95" s="8">
        <v>632000</v>
      </c>
      <c r="K95" s="6">
        <v>24</v>
      </c>
      <c r="L95" s="9">
        <v>11.4</v>
      </c>
      <c r="M95" s="8">
        <v>29574</v>
      </c>
      <c r="N95" s="6">
        <v>4</v>
      </c>
      <c r="O95" s="6">
        <v>4</v>
      </c>
      <c r="P95" s="8">
        <v>118296</v>
      </c>
      <c r="Q95" s="8">
        <v>536369</v>
      </c>
      <c r="R95" s="6">
        <v>0</v>
      </c>
      <c r="S95" s="6" t="s">
        <v>25</v>
      </c>
      <c r="T95" s="8">
        <v>22665</v>
      </c>
    </row>
    <row r="96" spans="1:20" x14ac:dyDescent="0.3">
      <c r="A96" s="2" t="s">
        <v>230</v>
      </c>
      <c r="B96" s="2" t="s">
        <v>40</v>
      </c>
      <c r="C96" s="2" t="s">
        <v>34</v>
      </c>
      <c r="D96" s="2" t="s">
        <v>35</v>
      </c>
      <c r="E96" s="2" t="s">
        <v>231</v>
      </c>
      <c r="F96" s="2" t="s">
        <v>24</v>
      </c>
      <c r="G96" s="2">
        <v>53</v>
      </c>
      <c r="H96" s="2" t="str" cm="1">
        <f t="array" ref="H96">_xlfn.IFS(G96&lt;30,"&lt;30",G96&lt;=40,"30-40",G96&lt;=50,"40-50",LoanData!G96&gt;50,"50+")</f>
        <v>50+</v>
      </c>
      <c r="I96" s="3">
        <v>45377</v>
      </c>
      <c r="J96" s="4">
        <v>492000</v>
      </c>
      <c r="K96" s="2">
        <v>12</v>
      </c>
      <c r="L96" s="5">
        <v>14.3</v>
      </c>
      <c r="M96" s="4">
        <v>44245</v>
      </c>
      <c r="N96" s="2">
        <v>4</v>
      </c>
      <c r="O96" s="2">
        <v>4</v>
      </c>
      <c r="P96" s="4">
        <v>176980</v>
      </c>
      <c r="Q96" s="4">
        <v>335707</v>
      </c>
      <c r="R96" s="2">
        <v>0</v>
      </c>
      <c r="S96" s="2" t="s">
        <v>25</v>
      </c>
      <c r="T96" s="4">
        <v>20687</v>
      </c>
    </row>
    <row r="97" spans="1:20" x14ac:dyDescent="0.3">
      <c r="A97" s="6" t="s">
        <v>232</v>
      </c>
      <c r="B97" s="6" t="s">
        <v>33</v>
      </c>
      <c r="C97" s="6" t="s">
        <v>34</v>
      </c>
      <c r="D97" s="6" t="s">
        <v>22</v>
      </c>
      <c r="E97" s="6" t="s">
        <v>233</v>
      </c>
      <c r="F97" s="6" t="s">
        <v>31</v>
      </c>
      <c r="G97" s="6">
        <v>57</v>
      </c>
      <c r="H97" s="2" t="str" cm="1">
        <f t="array" ref="H97">_xlfn.IFS(G97&lt;30,"&lt;30",G97&lt;=40,"30-40",G97&lt;=50,"40-50",LoanData!G97&gt;50,"50+")</f>
        <v>50+</v>
      </c>
      <c r="I97" s="7">
        <v>45446</v>
      </c>
      <c r="J97" s="8">
        <v>418000</v>
      </c>
      <c r="K97" s="6">
        <v>24</v>
      </c>
      <c r="L97" s="9">
        <v>11</v>
      </c>
      <c r="M97" s="8">
        <v>19482</v>
      </c>
      <c r="N97" s="6">
        <v>1</v>
      </c>
      <c r="O97" s="6">
        <v>1</v>
      </c>
      <c r="P97" s="8">
        <v>19482</v>
      </c>
      <c r="Q97" s="8">
        <v>402350</v>
      </c>
      <c r="R97" s="6">
        <v>0</v>
      </c>
      <c r="S97" s="6" t="s">
        <v>25</v>
      </c>
      <c r="T97" s="8">
        <v>3832</v>
      </c>
    </row>
    <row r="98" spans="1:20" x14ac:dyDescent="0.3">
      <c r="A98" s="2" t="s">
        <v>234</v>
      </c>
      <c r="B98" s="2" t="s">
        <v>33</v>
      </c>
      <c r="C98" s="2" t="s">
        <v>34</v>
      </c>
      <c r="D98" s="2" t="s">
        <v>22</v>
      </c>
      <c r="E98" s="2" t="s">
        <v>235</v>
      </c>
      <c r="F98" s="2" t="s">
        <v>31</v>
      </c>
      <c r="G98" s="2">
        <v>48</v>
      </c>
      <c r="H98" s="2" t="str" cm="1">
        <f t="array" ref="H98">_xlfn.IFS(G98&lt;30,"&lt;30",G98&lt;=40,"30-40",G98&lt;=50,"40-50",LoanData!G98&gt;50,"50+")</f>
        <v>40-50</v>
      </c>
      <c r="I98" s="3">
        <v>45459</v>
      </c>
      <c r="J98" s="4">
        <v>249000</v>
      </c>
      <c r="K98" s="2">
        <v>24</v>
      </c>
      <c r="L98" s="5">
        <v>12.1</v>
      </c>
      <c r="M98" s="4">
        <v>11733</v>
      </c>
      <c r="N98" s="2">
        <v>1</v>
      </c>
      <c r="O98" s="2">
        <v>1</v>
      </c>
      <c r="P98" s="4">
        <v>11733</v>
      </c>
      <c r="Q98" s="4">
        <v>239778</v>
      </c>
      <c r="R98" s="2">
        <v>0</v>
      </c>
      <c r="S98" s="2" t="s">
        <v>25</v>
      </c>
      <c r="T98" s="4">
        <v>2511</v>
      </c>
    </row>
    <row r="99" spans="1:20" x14ac:dyDescent="0.3">
      <c r="A99" s="6" t="s">
        <v>236</v>
      </c>
      <c r="B99" s="6" t="s">
        <v>60</v>
      </c>
      <c r="C99" s="6" t="s">
        <v>21</v>
      </c>
      <c r="D99" s="6" t="s">
        <v>29</v>
      </c>
      <c r="E99" s="6" t="s">
        <v>237</v>
      </c>
      <c r="F99" s="6" t="s">
        <v>42</v>
      </c>
      <c r="G99" s="6">
        <v>35</v>
      </c>
      <c r="H99" s="2" t="str" cm="1">
        <f t="array" ref="H99">_xlfn.IFS(G99&lt;30,"&lt;30",G99&lt;=40,"30-40",G99&lt;=50,"40-50",LoanData!G99&gt;50,"50+")</f>
        <v>30-40</v>
      </c>
      <c r="I99" s="7">
        <v>45302</v>
      </c>
      <c r="J99" s="8">
        <v>249000</v>
      </c>
      <c r="K99" s="6">
        <v>24</v>
      </c>
      <c r="L99" s="9">
        <v>9.1</v>
      </c>
      <c r="M99" s="8">
        <v>11387</v>
      </c>
      <c r="N99" s="6">
        <v>6</v>
      </c>
      <c r="O99" s="6">
        <v>6</v>
      </c>
      <c r="P99" s="8">
        <v>68322</v>
      </c>
      <c r="Q99" s="8">
        <v>190916</v>
      </c>
      <c r="R99" s="6">
        <v>0</v>
      </c>
      <c r="S99" s="6" t="s">
        <v>25</v>
      </c>
      <c r="T99" s="8">
        <v>10238</v>
      </c>
    </row>
    <row r="100" spans="1:20" x14ac:dyDescent="0.3">
      <c r="A100" s="2" t="s">
        <v>238</v>
      </c>
      <c r="B100" s="2" t="s">
        <v>60</v>
      </c>
      <c r="C100" s="2" t="s">
        <v>21</v>
      </c>
      <c r="D100" s="2" t="s">
        <v>22</v>
      </c>
      <c r="E100" s="2" t="s">
        <v>239</v>
      </c>
      <c r="F100" s="2" t="s">
        <v>24</v>
      </c>
      <c r="G100" s="2">
        <v>25</v>
      </c>
      <c r="H100" s="2" t="str" cm="1">
        <f t="array" ref="H100">_xlfn.IFS(G100&lt;30,"&lt;30",G100&lt;=40,"30-40",G100&lt;=50,"40-50",LoanData!G100&gt;50,"50+")</f>
        <v>&lt;30</v>
      </c>
      <c r="I100" s="3">
        <v>45468</v>
      </c>
      <c r="J100" s="4">
        <v>494000</v>
      </c>
      <c r="K100" s="2">
        <v>48</v>
      </c>
      <c r="L100" s="5">
        <v>10.4</v>
      </c>
      <c r="M100" s="4">
        <v>12624</v>
      </c>
      <c r="N100" s="2">
        <v>1</v>
      </c>
      <c r="O100" s="2">
        <v>1</v>
      </c>
      <c r="P100" s="4">
        <v>12624</v>
      </c>
      <c r="Q100" s="4">
        <v>485657</v>
      </c>
      <c r="R100" s="2">
        <v>0</v>
      </c>
      <c r="S100" s="2" t="s">
        <v>25</v>
      </c>
      <c r="T100" s="4">
        <v>4281</v>
      </c>
    </row>
    <row r="101" spans="1:20" x14ac:dyDescent="0.3">
      <c r="A101" s="6" t="s">
        <v>240</v>
      </c>
      <c r="B101" s="6" t="s">
        <v>20</v>
      </c>
      <c r="C101" s="6" t="s">
        <v>21</v>
      </c>
      <c r="D101" s="6" t="s">
        <v>22</v>
      </c>
      <c r="E101" s="6" t="s">
        <v>241</v>
      </c>
      <c r="F101" s="6" t="s">
        <v>42</v>
      </c>
      <c r="G101" s="6">
        <v>40</v>
      </c>
      <c r="H101" s="2" t="str" cm="1">
        <f t="array" ref="H101">_xlfn.IFS(G101&lt;30,"&lt;30",G101&lt;=40,"30-40",G101&lt;=50,"40-50",LoanData!G101&gt;50,"50+")</f>
        <v>30-40</v>
      </c>
      <c r="I101" s="7">
        <v>45292</v>
      </c>
      <c r="J101" s="8">
        <v>692000</v>
      </c>
      <c r="K101" s="6">
        <v>36</v>
      </c>
      <c r="L101" s="9">
        <v>10.199999999999999</v>
      </c>
      <c r="M101" s="8">
        <v>22394</v>
      </c>
      <c r="N101" s="6">
        <v>6</v>
      </c>
      <c r="O101" s="6">
        <v>6</v>
      </c>
      <c r="P101" s="8">
        <v>134364</v>
      </c>
      <c r="Q101" s="8">
        <v>590799</v>
      </c>
      <c r="R101" s="6">
        <v>0</v>
      </c>
      <c r="S101" s="6" t="s">
        <v>25</v>
      </c>
      <c r="T101" s="8">
        <v>33163</v>
      </c>
    </row>
    <row r="102" spans="1:20" x14ac:dyDescent="0.3">
      <c r="A102" s="2" t="s">
        <v>242</v>
      </c>
      <c r="B102" s="2" t="s">
        <v>60</v>
      </c>
      <c r="C102" s="2" t="s">
        <v>21</v>
      </c>
      <c r="D102" s="2" t="s">
        <v>22</v>
      </c>
      <c r="E102" s="2" t="s">
        <v>243</v>
      </c>
      <c r="F102" s="2" t="s">
        <v>42</v>
      </c>
      <c r="G102" s="2">
        <v>52</v>
      </c>
      <c r="H102" s="2" t="str" cm="1">
        <f t="array" ref="H102">_xlfn.IFS(G102&lt;30,"&lt;30",G102&lt;=40,"30-40",G102&lt;=50,"40-50",LoanData!G102&gt;50,"50+")</f>
        <v>50+</v>
      </c>
      <c r="I102" s="3">
        <v>45468</v>
      </c>
      <c r="J102" s="4">
        <v>872000</v>
      </c>
      <c r="K102" s="2">
        <v>36</v>
      </c>
      <c r="L102" s="5">
        <v>12.4</v>
      </c>
      <c r="M102" s="4">
        <v>29130</v>
      </c>
      <c r="N102" s="2">
        <v>1</v>
      </c>
      <c r="O102" s="2">
        <v>1</v>
      </c>
      <c r="P102" s="4">
        <v>29130</v>
      </c>
      <c r="Q102" s="4">
        <v>851881</v>
      </c>
      <c r="R102" s="2">
        <v>0</v>
      </c>
      <c r="S102" s="2" t="s">
        <v>25</v>
      </c>
      <c r="T102" s="4">
        <v>9011</v>
      </c>
    </row>
    <row r="103" spans="1:20" x14ac:dyDescent="0.3">
      <c r="A103" s="6" t="s">
        <v>244</v>
      </c>
      <c r="B103" s="6" t="s">
        <v>52</v>
      </c>
      <c r="C103" s="6" t="s">
        <v>53</v>
      </c>
      <c r="D103" s="6" t="s">
        <v>29</v>
      </c>
      <c r="E103" s="6" t="s">
        <v>245</v>
      </c>
      <c r="F103" s="6" t="s">
        <v>31</v>
      </c>
      <c r="G103" s="6">
        <v>31</v>
      </c>
      <c r="H103" s="2" t="str" cm="1">
        <f t="array" ref="H103">_xlfn.IFS(G103&lt;30,"&lt;30",G103&lt;=40,"30-40",G103&lt;=50,"40-50",LoanData!G103&gt;50,"50+")</f>
        <v>30-40</v>
      </c>
      <c r="I103" s="7">
        <v>45418</v>
      </c>
      <c r="J103" s="8">
        <v>228000</v>
      </c>
      <c r="K103" s="6">
        <v>24</v>
      </c>
      <c r="L103" s="9">
        <v>9.9</v>
      </c>
      <c r="M103" s="8">
        <v>10511</v>
      </c>
      <c r="N103" s="6">
        <v>2</v>
      </c>
      <c r="O103" s="6">
        <v>2</v>
      </c>
      <c r="P103" s="8">
        <v>21022</v>
      </c>
      <c r="Q103" s="8">
        <v>210670</v>
      </c>
      <c r="R103" s="6">
        <v>0</v>
      </c>
      <c r="S103" s="6" t="s">
        <v>25</v>
      </c>
      <c r="T103" s="8">
        <v>3692</v>
      </c>
    </row>
    <row r="104" spans="1:20" x14ac:dyDescent="0.3">
      <c r="A104" s="2" t="s">
        <v>246</v>
      </c>
      <c r="B104" s="2" t="s">
        <v>52</v>
      </c>
      <c r="C104" s="2" t="s">
        <v>53</v>
      </c>
      <c r="D104" s="2" t="s">
        <v>22</v>
      </c>
      <c r="E104" s="2" t="s">
        <v>247</v>
      </c>
      <c r="F104" s="2" t="s">
        <v>31</v>
      </c>
      <c r="G104" s="2">
        <v>39</v>
      </c>
      <c r="H104" s="2" t="str" cm="1">
        <f t="array" ref="H104">_xlfn.IFS(G104&lt;30,"&lt;30",G104&lt;=40,"30-40",G104&lt;=50,"40-50",LoanData!G104&gt;50,"50+")</f>
        <v>30-40</v>
      </c>
      <c r="I104" s="3">
        <v>45405</v>
      </c>
      <c r="J104" s="4">
        <v>963000</v>
      </c>
      <c r="K104" s="2">
        <v>24</v>
      </c>
      <c r="L104" s="5">
        <v>10.9</v>
      </c>
      <c r="M104" s="4">
        <v>44839</v>
      </c>
      <c r="N104" s="2">
        <v>3</v>
      </c>
      <c r="O104" s="2">
        <v>3</v>
      </c>
      <c r="P104" s="4">
        <v>134517</v>
      </c>
      <c r="Q104" s="4">
        <v>853739</v>
      </c>
      <c r="R104" s="2">
        <v>0</v>
      </c>
      <c r="S104" s="2" t="s">
        <v>25</v>
      </c>
      <c r="T104" s="4">
        <v>25256</v>
      </c>
    </row>
    <row r="105" spans="1:20" x14ac:dyDescent="0.3">
      <c r="A105" s="6" t="s">
        <v>248</v>
      </c>
      <c r="B105" s="6" t="s">
        <v>65</v>
      </c>
      <c r="C105" s="6" t="s">
        <v>28</v>
      </c>
      <c r="D105" s="6" t="s">
        <v>22</v>
      </c>
      <c r="E105" s="6" t="s">
        <v>249</v>
      </c>
      <c r="F105" s="6" t="s">
        <v>31</v>
      </c>
      <c r="G105" s="6">
        <v>54</v>
      </c>
      <c r="H105" s="2" t="str" cm="1">
        <f t="array" ref="H105">_xlfn.IFS(G105&lt;30,"&lt;30",G105&lt;=40,"30-40",G105&lt;=50,"40-50",LoanData!G105&gt;50,"50+")</f>
        <v>50+</v>
      </c>
      <c r="I105" s="7">
        <v>45467</v>
      </c>
      <c r="J105" s="8">
        <v>764000</v>
      </c>
      <c r="K105" s="6">
        <v>36</v>
      </c>
      <c r="L105" s="9">
        <v>13.1</v>
      </c>
      <c r="M105" s="8">
        <v>25779</v>
      </c>
      <c r="N105" s="6">
        <v>1</v>
      </c>
      <c r="O105" s="6">
        <v>1</v>
      </c>
      <c r="P105" s="8">
        <v>25779</v>
      </c>
      <c r="Q105" s="8">
        <v>746561</v>
      </c>
      <c r="R105" s="6">
        <v>0</v>
      </c>
      <c r="S105" s="6" t="s">
        <v>25</v>
      </c>
      <c r="T105" s="8">
        <v>8340</v>
      </c>
    </row>
    <row r="106" spans="1:20" x14ac:dyDescent="0.3">
      <c r="A106" s="2" t="s">
        <v>250</v>
      </c>
      <c r="B106" s="2" t="s">
        <v>20</v>
      </c>
      <c r="C106" s="2" t="s">
        <v>21</v>
      </c>
      <c r="D106" s="2" t="s">
        <v>57</v>
      </c>
      <c r="E106" s="2" t="s">
        <v>251</v>
      </c>
      <c r="F106" s="2" t="s">
        <v>42</v>
      </c>
      <c r="G106" s="2">
        <v>33</v>
      </c>
      <c r="H106" s="2" t="str" cm="1">
        <f t="array" ref="H106">_xlfn.IFS(G106&lt;30,"&lt;30",G106&lt;=40,"30-40",G106&lt;=50,"40-50",LoanData!G106&gt;50,"50+")</f>
        <v>30-40</v>
      </c>
      <c r="I106" s="3">
        <v>45308</v>
      </c>
      <c r="J106" s="4">
        <v>201000</v>
      </c>
      <c r="K106" s="2">
        <v>60</v>
      </c>
      <c r="L106" s="5">
        <v>15.2</v>
      </c>
      <c r="M106" s="4">
        <v>4803</v>
      </c>
      <c r="N106" s="2">
        <v>6</v>
      </c>
      <c r="O106" s="2">
        <v>1</v>
      </c>
      <c r="P106" s="4">
        <v>4803</v>
      </c>
      <c r="Q106" s="4">
        <v>198743</v>
      </c>
      <c r="R106" s="2">
        <v>157</v>
      </c>
      <c r="S106" s="2" t="s">
        <v>55</v>
      </c>
      <c r="T106" s="4">
        <v>2546</v>
      </c>
    </row>
    <row r="107" spans="1:20" x14ac:dyDescent="0.3">
      <c r="A107" s="6" t="s">
        <v>252</v>
      </c>
      <c r="B107" s="6" t="s">
        <v>27</v>
      </c>
      <c r="C107" s="6" t="s">
        <v>28</v>
      </c>
      <c r="D107" s="6" t="s">
        <v>57</v>
      </c>
      <c r="E107" s="6" t="s">
        <v>253</v>
      </c>
      <c r="F107" s="6" t="s">
        <v>24</v>
      </c>
      <c r="G107" s="6">
        <v>35</v>
      </c>
      <c r="H107" s="2" t="str" cm="1">
        <f t="array" ref="H107">_xlfn.IFS(G107&lt;30,"&lt;30",G107&lt;=40,"30-40",G107&lt;=50,"40-50",LoanData!G107&gt;50,"50+")</f>
        <v>30-40</v>
      </c>
      <c r="I107" s="7">
        <v>45334</v>
      </c>
      <c r="J107" s="8">
        <v>669000</v>
      </c>
      <c r="K107" s="6">
        <v>36</v>
      </c>
      <c r="L107" s="9">
        <v>12.2</v>
      </c>
      <c r="M107" s="8">
        <v>22284</v>
      </c>
      <c r="N107" s="6">
        <v>5</v>
      </c>
      <c r="O107" s="6">
        <v>5</v>
      </c>
      <c r="P107" s="8">
        <v>111420</v>
      </c>
      <c r="Q107" s="8">
        <v>589996</v>
      </c>
      <c r="R107" s="6">
        <v>0</v>
      </c>
      <c r="S107" s="6" t="s">
        <v>25</v>
      </c>
      <c r="T107" s="8">
        <v>32416</v>
      </c>
    </row>
    <row r="108" spans="1:20" x14ac:dyDescent="0.3">
      <c r="A108" s="2" t="s">
        <v>254</v>
      </c>
      <c r="B108" s="2" t="s">
        <v>52</v>
      </c>
      <c r="C108" s="2" t="s">
        <v>53</v>
      </c>
      <c r="D108" s="2" t="s">
        <v>57</v>
      </c>
      <c r="E108" s="2" t="s">
        <v>255</v>
      </c>
      <c r="F108" s="2" t="s">
        <v>42</v>
      </c>
      <c r="G108" s="2">
        <v>40</v>
      </c>
      <c r="H108" s="2" t="str" cm="1">
        <f t="array" ref="H108">_xlfn.IFS(G108&lt;30,"&lt;30",G108&lt;=40,"30-40",G108&lt;=50,"40-50",LoanData!G108&gt;50,"50+")</f>
        <v>30-40</v>
      </c>
      <c r="I108" s="3">
        <v>45363</v>
      </c>
      <c r="J108" s="4">
        <v>435000</v>
      </c>
      <c r="K108" s="2">
        <v>60</v>
      </c>
      <c r="L108" s="5">
        <v>13.4</v>
      </c>
      <c r="M108" s="4">
        <v>9987</v>
      </c>
      <c r="N108" s="2">
        <v>4</v>
      </c>
      <c r="O108" s="2">
        <v>3</v>
      </c>
      <c r="P108" s="4">
        <v>29961</v>
      </c>
      <c r="Q108" s="4">
        <v>419439</v>
      </c>
      <c r="R108" s="2">
        <v>27</v>
      </c>
      <c r="S108" s="2" t="s">
        <v>47</v>
      </c>
      <c r="T108" s="4">
        <v>14400</v>
      </c>
    </row>
    <row r="109" spans="1:20" x14ac:dyDescent="0.3">
      <c r="A109" s="6" t="s">
        <v>256</v>
      </c>
      <c r="B109" s="6" t="s">
        <v>20</v>
      </c>
      <c r="C109" s="6" t="s">
        <v>21</v>
      </c>
      <c r="D109" s="6" t="s">
        <v>49</v>
      </c>
      <c r="E109" s="6" t="s">
        <v>257</v>
      </c>
      <c r="F109" s="6" t="s">
        <v>42</v>
      </c>
      <c r="G109" s="6">
        <v>39</v>
      </c>
      <c r="H109" s="2" t="str" cm="1">
        <f t="array" ref="H109">_xlfn.IFS(G109&lt;30,"&lt;30",G109&lt;=40,"30-40",G109&lt;=50,"40-50",LoanData!G109&gt;50,"50+")</f>
        <v>30-40</v>
      </c>
      <c r="I109" s="7">
        <v>45461</v>
      </c>
      <c r="J109" s="8">
        <v>75000</v>
      </c>
      <c r="K109" s="6">
        <v>36</v>
      </c>
      <c r="L109" s="9">
        <v>14.1</v>
      </c>
      <c r="M109" s="8">
        <v>2567</v>
      </c>
      <c r="N109" s="6">
        <v>1</v>
      </c>
      <c r="O109" s="6">
        <v>1</v>
      </c>
      <c r="P109" s="8">
        <v>2567</v>
      </c>
      <c r="Q109" s="8">
        <v>73314</v>
      </c>
      <c r="R109" s="6">
        <v>0</v>
      </c>
      <c r="S109" s="6" t="s">
        <v>25</v>
      </c>
      <c r="T109" s="8">
        <v>881</v>
      </c>
    </row>
    <row r="110" spans="1:20" x14ac:dyDescent="0.3">
      <c r="A110" s="2" t="s">
        <v>258</v>
      </c>
      <c r="B110" s="2" t="s">
        <v>40</v>
      </c>
      <c r="C110" s="2" t="s">
        <v>34</v>
      </c>
      <c r="D110" s="2" t="s">
        <v>49</v>
      </c>
      <c r="E110" s="2" t="s">
        <v>259</v>
      </c>
      <c r="F110" s="2" t="s">
        <v>42</v>
      </c>
      <c r="G110" s="2">
        <v>26</v>
      </c>
      <c r="H110" s="2" t="str" cm="1">
        <f t="array" ref="H110">_xlfn.IFS(G110&lt;30,"&lt;30",G110&lt;=40,"30-40",G110&lt;=50,"40-50",LoanData!G110&gt;50,"50+")</f>
        <v>&lt;30</v>
      </c>
      <c r="I110" s="3">
        <v>45414</v>
      </c>
      <c r="J110" s="4">
        <v>286000</v>
      </c>
      <c r="K110" s="2">
        <v>24</v>
      </c>
      <c r="L110" s="5">
        <v>11.6</v>
      </c>
      <c r="M110" s="4">
        <v>13410</v>
      </c>
      <c r="N110" s="2">
        <v>2</v>
      </c>
      <c r="O110" s="2">
        <v>2</v>
      </c>
      <c r="P110" s="4">
        <v>26820</v>
      </c>
      <c r="Q110" s="4">
        <v>264607</v>
      </c>
      <c r="R110" s="2">
        <v>0</v>
      </c>
      <c r="S110" s="2" t="s">
        <v>25</v>
      </c>
      <c r="T110" s="4">
        <v>5427</v>
      </c>
    </row>
    <row r="111" spans="1:20" x14ac:dyDescent="0.3">
      <c r="A111" s="6" t="s">
        <v>260</v>
      </c>
      <c r="B111" s="6" t="s">
        <v>20</v>
      </c>
      <c r="C111" s="6" t="s">
        <v>21</v>
      </c>
      <c r="D111" s="6" t="s">
        <v>22</v>
      </c>
      <c r="E111" s="6" t="s">
        <v>261</v>
      </c>
      <c r="F111" s="6" t="s">
        <v>24</v>
      </c>
      <c r="G111" s="6">
        <v>50</v>
      </c>
      <c r="H111" s="2" t="str" cm="1">
        <f t="array" ref="H111">_xlfn.IFS(G111&lt;30,"&lt;30",G111&lt;=40,"30-40",G111&lt;=50,"40-50",LoanData!G111&gt;50,"50+")</f>
        <v>40-50</v>
      </c>
      <c r="I111" s="7">
        <v>45464</v>
      </c>
      <c r="J111" s="8">
        <v>735000</v>
      </c>
      <c r="K111" s="6">
        <v>48</v>
      </c>
      <c r="L111" s="9">
        <v>12.1</v>
      </c>
      <c r="M111" s="8">
        <v>19391</v>
      </c>
      <c r="N111" s="6">
        <v>1</v>
      </c>
      <c r="O111" s="6">
        <v>0</v>
      </c>
      <c r="P111" s="8">
        <v>0</v>
      </c>
      <c r="Q111" s="8">
        <v>735000</v>
      </c>
      <c r="R111" s="6">
        <v>68</v>
      </c>
      <c r="S111" s="6" t="s">
        <v>47</v>
      </c>
      <c r="T111" s="8">
        <v>0</v>
      </c>
    </row>
    <row r="112" spans="1:20" x14ac:dyDescent="0.3">
      <c r="A112" s="2" t="s">
        <v>262</v>
      </c>
      <c r="B112" s="2" t="s">
        <v>65</v>
      </c>
      <c r="C112" s="2" t="s">
        <v>28</v>
      </c>
      <c r="D112" s="2" t="s">
        <v>22</v>
      </c>
      <c r="E112" s="2" t="s">
        <v>263</v>
      </c>
      <c r="F112" s="2" t="s">
        <v>24</v>
      </c>
      <c r="G112" s="2">
        <v>43</v>
      </c>
      <c r="H112" s="2" t="str" cm="1">
        <f t="array" ref="H112">_xlfn.IFS(G112&lt;30,"&lt;30",G112&lt;=40,"30-40",G112&lt;=50,"40-50",LoanData!G112&gt;50,"50+")</f>
        <v>40-50</v>
      </c>
      <c r="I112" s="3">
        <v>45365</v>
      </c>
      <c r="J112" s="4">
        <v>267000</v>
      </c>
      <c r="K112" s="2">
        <v>48</v>
      </c>
      <c r="L112" s="5">
        <v>12.2</v>
      </c>
      <c r="M112" s="4">
        <v>7057</v>
      </c>
      <c r="N112" s="2">
        <v>4</v>
      </c>
      <c r="O112" s="2">
        <v>4</v>
      </c>
      <c r="P112" s="4">
        <v>28228</v>
      </c>
      <c r="Q112" s="4">
        <v>249362</v>
      </c>
      <c r="R112" s="2">
        <v>0</v>
      </c>
      <c r="S112" s="2" t="s">
        <v>25</v>
      </c>
      <c r="T112" s="4">
        <v>10590</v>
      </c>
    </row>
    <row r="113" spans="1:20" x14ac:dyDescent="0.3">
      <c r="A113" s="6" t="s">
        <v>264</v>
      </c>
      <c r="B113" s="6" t="s">
        <v>52</v>
      </c>
      <c r="C113" s="6" t="s">
        <v>53</v>
      </c>
      <c r="D113" s="6" t="s">
        <v>29</v>
      </c>
      <c r="E113" s="6" t="s">
        <v>265</v>
      </c>
      <c r="F113" s="6" t="s">
        <v>31</v>
      </c>
      <c r="G113" s="6">
        <v>27</v>
      </c>
      <c r="H113" s="2" t="str" cm="1">
        <f t="array" ref="H113">_xlfn.IFS(G113&lt;30,"&lt;30",G113&lt;=40,"30-40",G113&lt;=50,"40-50",LoanData!G113&gt;50,"50+")</f>
        <v>&lt;30</v>
      </c>
      <c r="I113" s="7">
        <v>45362</v>
      </c>
      <c r="J113" s="8">
        <v>89000</v>
      </c>
      <c r="K113" s="6">
        <v>24</v>
      </c>
      <c r="L113" s="9">
        <v>10.4</v>
      </c>
      <c r="M113" s="8">
        <v>4123</v>
      </c>
      <c r="N113" s="6">
        <v>4</v>
      </c>
      <c r="O113" s="6">
        <v>4</v>
      </c>
      <c r="P113" s="8">
        <v>16492</v>
      </c>
      <c r="Q113" s="8">
        <v>75417</v>
      </c>
      <c r="R113" s="6">
        <v>0</v>
      </c>
      <c r="S113" s="6" t="s">
        <v>25</v>
      </c>
      <c r="T113" s="8">
        <v>2909</v>
      </c>
    </row>
    <row r="114" spans="1:20" x14ac:dyDescent="0.3">
      <c r="A114" s="2" t="s">
        <v>266</v>
      </c>
      <c r="B114" s="2" t="s">
        <v>80</v>
      </c>
      <c r="C114" s="2" t="s">
        <v>53</v>
      </c>
      <c r="D114" s="2" t="s">
        <v>57</v>
      </c>
      <c r="E114" s="2" t="s">
        <v>267</v>
      </c>
      <c r="F114" s="2" t="s">
        <v>42</v>
      </c>
      <c r="G114" s="2">
        <v>53</v>
      </c>
      <c r="H114" s="2" t="str" cm="1">
        <f t="array" ref="H114">_xlfn.IFS(G114&lt;30,"&lt;30",G114&lt;=40,"30-40",G114&lt;=50,"40-50",LoanData!G114&gt;50,"50+")</f>
        <v>50+</v>
      </c>
      <c r="I114" s="3">
        <v>45348</v>
      </c>
      <c r="J114" s="4">
        <v>1969000</v>
      </c>
      <c r="K114" s="2">
        <v>48</v>
      </c>
      <c r="L114" s="5">
        <v>15.4</v>
      </c>
      <c r="M114" s="4">
        <v>55199</v>
      </c>
      <c r="N114" s="2">
        <v>5</v>
      </c>
      <c r="O114" s="2">
        <v>5</v>
      </c>
      <c r="P114" s="4">
        <v>275995</v>
      </c>
      <c r="Q114" s="4">
        <v>1815459</v>
      </c>
      <c r="R114" s="2">
        <v>0</v>
      </c>
      <c r="S114" s="2" t="s">
        <v>25</v>
      </c>
      <c r="T114" s="4">
        <v>122454</v>
      </c>
    </row>
    <row r="115" spans="1:20" x14ac:dyDescent="0.3">
      <c r="A115" s="6" t="s">
        <v>268</v>
      </c>
      <c r="B115" s="6" t="s">
        <v>60</v>
      </c>
      <c r="C115" s="6" t="s">
        <v>21</v>
      </c>
      <c r="D115" s="6" t="s">
        <v>49</v>
      </c>
      <c r="E115" s="6" t="s">
        <v>269</v>
      </c>
      <c r="F115" s="6" t="s">
        <v>31</v>
      </c>
      <c r="G115" s="6">
        <v>27</v>
      </c>
      <c r="H115" s="2" t="str" cm="1">
        <f t="array" ref="H115">_xlfn.IFS(G115&lt;30,"&lt;30",G115&lt;=40,"30-40",G115&lt;=50,"40-50",LoanData!G115&gt;50,"50+")</f>
        <v>&lt;30</v>
      </c>
      <c r="I115" s="7">
        <v>45356</v>
      </c>
      <c r="J115" s="8">
        <v>418000</v>
      </c>
      <c r="K115" s="6">
        <v>60</v>
      </c>
      <c r="L115" s="9">
        <v>13.4</v>
      </c>
      <c r="M115" s="8">
        <v>9597</v>
      </c>
      <c r="N115" s="6">
        <v>4</v>
      </c>
      <c r="O115" s="6">
        <v>4</v>
      </c>
      <c r="P115" s="8">
        <v>38388</v>
      </c>
      <c r="Q115" s="8">
        <v>397952</v>
      </c>
      <c r="R115" s="6">
        <v>0</v>
      </c>
      <c r="S115" s="6" t="s">
        <v>25</v>
      </c>
      <c r="T115" s="8">
        <v>18340</v>
      </c>
    </row>
    <row r="116" spans="1:20" x14ac:dyDescent="0.3">
      <c r="A116" s="2" t="s">
        <v>270</v>
      </c>
      <c r="B116" s="2" t="s">
        <v>80</v>
      </c>
      <c r="C116" s="2" t="s">
        <v>53</v>
      </c>
      <c r="D116" s="2" t="s">
        <v>22</v>
      </c>
      <c r="E116" s="2" t="s">
        <v>271</v>
      </c>
      <c r="F116" s="2" t="s">
        <v>24</v>
      </c>
      <c r="G116" s="2">
        <v>37</v>
      </c>
      <c r="H116" s="2" t="str" cm="1">
        <f t="array" ref="H116">_xlfn.IFS(G116&lt;30,"&lt;30",G116&lt;=40,"30-40",G116&lt;=50,"40-50",LoanData!G116&gt;50,"50+")</f>
        <v>30-40</v>
      </c>
      <c r="I116" s="3">
        <v>45414</v>
      </c>
      <c r="J116" s="4">
        <v>1473000</v>
      </c>
      <c r="K116" s="2">
        <v>36</v>
      </c>
      <c r="L116" s="5">
        <v>10.3</v>
      </c>
      <c r="M116" s="4">
        <v>47737</v>
      </c>
      <c r="N116" s="2">
        <v>2</v>
      </c>
      <c r="O116" s="2">
        <v>2</v>
      </c>
      <c r="P116" s="4">
        <v>95474</v>
      </c>
      <c r="Q116" s="4">
        <v>1402511</v>
      </c>
      <c r="R116" s="2">
        <v>0</v>
      </c>
      <c r="S116" s="2" t="s">
        <v>25</v>
      </c>
      <c r="T116" s="4">
        <v>24985</v>
      </c>
    </row>
    <row r="117" spans="1:20" x14ac:dyDescent="0.3">
      <c r="A117" s="6" t="s">
        <v>272</v>
      </c>
      <c r="B117" s="6" t="s">
        <v>80</v>
      </c>
      <c r="C117" s="6" t="s">
        <v>53</v>
      </c>
      <c r="D117" s="6" t="s">
        <v>49</v>
      </c>
      <c r="E117" s="6" t="s">
        <v>273</v>
      </c>
      <c r="F117" s="6" t="s">
        <v>31</v>
      </c>
      <c r="G117" s="6">
        <v>23</v>
      </c>
      <c r="H117" s="2" t="str" cm="1">
        <f t="array" ref="H117">_xlfn.IFS(G117&lt;30,"&lt;30",G117&lt;=40,"30-40",G117&lt;=50,"40-50",LoanData!G117&gt;50,"50+")</f>
        <v>&lt;30</v>
      </c>
      <c r="I117" s="7">
        <v>45392</v>
      </c>
      <c r="J117" s="8">
        <v>647000</v>
      </c>
      <c r="K117" s="6">
        <v>24</v>
      </c>
      <c r="L117" s="9">
        <v>13.4</v>
      </c>
      <c r="M117" s="8">
        <v>30881</v>
      </c>
      <c r="N117" s="6">
        <v>3</v>
      </c>
      <c r="O117" s="6">
        <v>3</v>
      </c>
      <c r="P117" s="8">
        <v>92643</v>
      </c>
      <c r="Q117" s="8">
        <v>575235</v>
      </c>
      <c r="R117" s="6">
        <v>0</v>
      </c>
      <c r="S117" s="6" t="s">
        <v>25</v>
      </c>
      <c r="T117" s="8">
        <v>20878</v>
      </c>
    </row>
    <row r="118" spans="1:20" x14ac:dyDescent="0.3">
      <c r="A118" s="2" t="s">
        <v>274</v>
      </c>
      <c r="B118" s="2" t="s">
        <v>60</v>
      </c>
      <c r="C118" s="2" t="s">
        <v>21</v>
      </c>
      <c r="D118" s="2" t="s">
        <v>35</v>
      </c>
      <c r="E118" s="2" t="s">
        <v>275</v>
      </c>
      <c r="F118" s="2" t="s">
        <v>31</v>
      </c>
      <c r="G118" s="2">
        <v>48</v>
      </c>
      <c r="H118" s="2" t="str" cm="1">
        <f t="array" ref="H118">_xlfn.IFS(G118&lt;30,"&lt;30",G118&lt;=40,"30-40",G118&lt;=50,"40-50",LoanData!G118&gt;50,"50+")</f>
        <v>40-50</v>
      </c>
      <c r="I118" s="3">
        <v>45342</v>
      </c>
      <c r="J118" s="4">
        <v>143000</v>
      </c>
      <c r="K118" s="2">
        <v>24</v>
      </c>
      <c r="L118" s="5">
        <v>16.8</v>
      </c>
      <c r="M118" s="4">
        <v>7057</v>
      </c>
      <c r="N118" s="2">
        <v>5</v>
      </c>
      <c r="O118" s="2">
        <v>3</v>
      </c>
      <c r="P118" s="4">
        <v>21171</v>
      </c>
      <c r="Q118" s="4">
        <v>127623</v>
      </c>
      <c r="R118" s="2">
        <v>57</v>
      </c>
      <c r="S118" s="2" t="s">
        <v>47</v>
      </c>
      <c r="T118" s="4">
        <v>5794</v>
      </c>
    </row>
    <row r="119" spans="1:20" x14ac:dyDescent="0.3">
      <c r="A119" s="6" t="s">
        <v>276</v>
      </c>
      <c r="B119" s="6" t="s">
        <v>27</v>
      </c>
      <c r="C119" s="6" t="s">
        <v>28</v>
      </c>
      <c r="D119" s="6" t="s">
        <v>22</v>
      </c>
      <c r="E119" s="6" t="s">
        <v>277</v>
      </c>
      <c r="F119" s="6" t="s">
        <v>42</v>
      </c>
      <c r="G119" s="6">
        <v>50</v>
      </c>
      <c r="H119" s="2" t="str" cm="1">
        <f t="array" ref="H119">_xlfn.IFS(G119&lt;30,"&lt;30",G119&lt;=40,"30-40",G119&lt;=50,"40-50",LoanData!G119&gt;50,"50+")</f>
        <v>40-50</v>
      </c>
      <c r="I119" s="7">
        <v>45419</v>
      </c>
      <c r="J119" s="8">
        <v>669000</v>
      </c>
      <c r="K119" s="6">
        <v>36</v>
      </c>
      <c r="L119" s="9">
        <v>10.1</v>
      </c>
      <c r="M119" s="8">
        <v>21618</v>
      </c>
      <c r="N119" s="6">
        <v>2</v>
      </c>
      <c r="O119" s="6">
        <v>0</v>
      </c>
      <c r="P119" s="8">
        <v>0</v>
      </c>
      <c r="Q119" s="8">
        <v>669000</v>
      </c>
      <c r="R119" s="6">
        <v>84</v>
      </c>
      <c r="S119" s="6" t="s">
        <v>47</v>
      </c>
      <c r="T119" s="8">
        <v>0</v>
      </c>
    </row>
    <row r="120" spans="1:20" x14ac:dyDescent="0.3">
      <c r="A120" s="2" t="s">
        <v>278</v>
      </c>
      <c r="B120" s="2" t="s">
        <v>27</v>
      </c>
      <c r="C120" s="2" t="s">
        <v>28</v>
      </c>
      <c r="D120" s="2" t="s">
        <v>49</v>
      </c>
      <c r="E120" s="2" t="s">
        <v>279</v>
      </c>
      <c r="F120" s="2" t="s">
        <v>31</v>
      </c>
      <c r="G120" s="2">
        <v>42</v>
      </c>
      <c r="H120" s="2" t="str" cm="1">
        <f t="array" ref="H120">_xlfn.IFS(G120&lt;30,"&lt;30",G120&lt;=40,"30-40",G120&lt;=50,"40-50",LoanData!G120&gt;50,"50+")</f>
        <v>40-50</v>
      </c>
      <c r="I120" s="3">
        <v>45433</v>
      </c>
      <c r="J120" s="4">
        <v>601000</v>
      </c>
      <c r="K120" s="2">
        <v>36</v>
      </c>
      <c r="L120" s="5">
        <v>13.9</v>
      </c>
      <c r="M120" s="4">
        <v>20512</v>
      </c>
      <c r="N120" s="2">
        <v>2</v>
      </c>
      <c r="O120" s="2">
        <v>2</v>
      </c>
      <c r="P120" s="4">
        <v>41024</v>
      </c>
      <c r="Q120" s="4">
        <v>573743</v>
      </c>
      <c r="R120" s="2">
        <v>0</v>
      </c>
      <c r="S120" s="2" t="s">
        <v>25</v>
      </c>
      <c r="T120" s="4">
        <v>13767</v>
      </c>
    </row>
    <row r="121" spans="1:20" x14ac:dyDescent="0.3">
      <c r="A121" s="6" t="s">
        <v>280</v>
      </c>
      <c r="B121" s="6" t="s">
        <v>65</v>
      </c>
      <c r="C121" s="6" t="s">
        <v>28</v>
      </c>
      <c r="D121" s="6" t="s">
        <v>57</v>
      </c>
      <c r="E121" s="6" t="s">
        <v>281</v>
      </c>
      <c r="F121" s="6" t="s">
        <v>42</v>
      </c>
      <c r="G121" s="6">
        <v>39</v>
      </c>
      <c r="H121" s="2" t="str" cm="1">
        <f t="array" ref="H121">_xlfn.IFS(G121&lt;30,"&lt;30",G121&lt;=40,"30-40",G121&lt;=50,"40-50",LoanData!G121&gt;50,"50+")</f>
        <v>30-40</v>
      </c>
      <c r="I121" s="7">
        <v>45430</v>
      </c>
      <c r="J121" s="8">
        <v>940000</v>
      </c>
      <c r="K121" s="6">
        <v>24</v>
      </c>
      <c r="L121" s="9">
        <v>14.9</v>
      </c>
      <c r="M121" s="8">
        <v>45533</v>
      </c>
      <c r="N121" s="6">
        <v>2</v>
      </c>
      <c r="O121" s="6">
        <v>2</v>
      </c>
      <c r="P121" s="8">
        <v>91066</v>
      </c>
      <c r="Q121" s="8">
        <v>871857</v>
      </c>
      <c r="R121" s="6">
        <v>0</v>
      </c>
      <c r="S121" s="6" t="s">
        <v>25</v>
      </c>
      <c r="T121" s="8">
        <v>22923</v>
      </c>
    </row>
    <row r="122" spans="1:20" x14ac:dyDescent="0.3">
      <c r="A122" s="2" t="s">
        <v>282</v>
      </c>
      <c r="B122" s="2" t="s">
        <v>52</v>
      </c>
      <c r="C122" s="2" t="s">
        <v>53</v>
      </c>
      <c r="D122" s="2" t="s">
        <v>22</v>
      </c>
      <c r="E122" s="2" t="s">
        <v>283</v>
      </c>
      <c r="F122" s="2" t="s">
        <v>24</v>
      </c>
      <c r="G122" s="2">
        <v>52</v>
      </c>
      <c r="H122" s="2" t="str" cm="1">
        <f t="array" ref="H122">_xlfn.IFS(G122&lt;30,"&lt;30",G122&lt;=40,"30-40",G122&lt;=50,"40-50",LoanData!G122&gt;50,"50+")</f>
        <v>50+</v>
      </c>
      <c r="I122" s="3">
        <v>45301</v>
      </c>
      <c r="J122" s="4">
        <v>411000</v>
      </c>
      <c r="K122" s="2">
        <v>36</v>
      </c>
      <c r="L122" s="5">
        <v>10.199999999999999</v>
      </c>
      <c r="M122" s="4">
        <v>13300</v>
      </c>
      <c r="N122" s="2">
        <v>6</v>
      </c>
      <c r="O122" s="2">
        <v>6</v>
      </c>
      <c r="P122" s="4">
        <v>79800</v>
      </c>
      <c r="Q122" s="4">
        <v>350894</v>
      </c>
      <c r="R122" s="2">
        <v>0</v>
      </c>
      <c r="S122" s="2" t="s">
        <v>25</v>
      </c>
      <c r="T122" s="4">
        <v>19694</v>
      </c>
    </row>
    <row r="123" spans="1:20" x14ac:dyDescent="0.3">
      <c r="A123" s="6" t="s">
        <v>284</v>
      </c>
      <c r="B123" s="6" t="s">
        <v>80</v>
      </c>
      <c r="C123" s="6" t="s">
        <v>53</v>
      </c>
      <c r="D123" s="6" t="s">
        <v>49</v>
      </c>
      <c r="E123" s="6" t="s">
        <v>285</v>
      </c>
      <c r="F123" s="6" t="s">
        <v>24</v>
      </c>
      <c r="G123" s="6">
        <v>37</v>
      </c>
      <c r="H123" s="2" t="str" cm="1">
        <f t="array" ref="H123">_xlfn.IFS(G123&lt;30,"&lt;30",G123&lt;=40,"30-40",G123&lt;=50,"40-50",LoanData!G123&gt;50,"50+")</f>
        <v>30-40</v>
      </c>
      <c r="I123" s="7">
        <v>45391</v>
      </c>
      <c r="J123" s="8">
        <v>732000</v>
      </c>
      <c r="K123" s="6">
        <v>24</v>
      </c>
      <c r="L123" s="9">
        <v>13.4</v>
      </c>
      <c r="M123" s="8">
        <v>34938</v>
      </c>
      <c r="N123" s="6">
        <v>3</v>
      </c>
      <c r="O123" s="6">
        <v>3</v>
      </c>
      <c r="P123" s="8">
        <v>104814</v>
      </c>
      <c r="Q123" s="8">
        <v>650807</v>
      </c>
      <c r="R123" s="6">
        <v>0</v>
      </c>
      <c r="S123" s="6" t="s">
        <v>25</v>
      </c>
      <c r="T123" s="8">
        <v>23621</v>
      </c>
    </row>
    <row r="124" spans="1:20" x14ac:dyDescent="0.3">
      <c r="A124" s="2" t="s">
        <v>286</v>
      </c>
      <c r="B124" s="2" t="s">
        <v>65</v>
      </c>
      <c r="C124" s="2" t="s">
        <v>28</v>
      </c>
      <c r="D124" s="2" t="s">
        <v>35</v>
      </c>
      <c r="E124" s="2" t="s">
        <v>287</v>
      </c>
      <c r="F124" s="2" t="s">
        <v>24</v>
      </c>
      <c r="G124" s="2">
        <v>24</v>
      </c>
      <c r="H124" s="2" t="str" cm="1">
        <f t="array" ref="H124">_xlfn.IFS(G124&lt;30,"&lt;30",G124&lt;=40,"30-40",G124&lt;=50,"40-50",LoanData!G124&gt;50,"50+")</f>
        <v>&lt;30</v>
      </c>
      <c r="I124" s="3">
        <v>45466</v>
      </c>
      <c r="J124" s="4">
        <v>431000</v>
      </c>
      <c r="K124" s="2">
        <v>36</v>
      </c>
      <c r="L124" s="5">
        <v>14.6</v>
      </c>
      <c r="M124" s="4">
        <v>14856</v>
      </c>
      <c r="N124" s="2">
        <v>1</v>
      </c>
      <c r="O124" s="2">
        <v>1</v>
      </c>
      <c r="P124" s="4">
        <v>14856</v>
      </c>
      <c r="Q124" s="4">
        <v>421387</v>
      </c>
      <c r="R124" s="2">
        <v>0</v>
      </c>
      <c r="S124" s="2" t="s">
        <v>25</v>
      </c>
      <c r="T124" s="4">
        <v>5243</v>
      </c>
    </row>
    <row r="125" spans="1:20" x14ac:dyDescent="0.3">
      <c r="A125" s="6" t="s">
        <v>288</v>
      </c>
      <c r="B125" s="6" t="s">
        <v>80</v>
      </c>
      <c r="C125" s="6" t="s">
        <v>53</v>
      </c>
      <c r="D125" s="6" t="s">
        <v>35</v>
      </c>
      <c r="E125" s="6" t="s">
        <v>289</v>
      </c>
      <c r="F125" s="6" t="s">
        <v>31</v>
      </c>
      <c r="G125" s="6">
        <v>35</v>
      </c>
      <c r="H125" s="2" t="str" cm="1">
        <f t="array" ref="H125">_xlfn.IFS(G125&lt;30,"&lt;30",G125&lt;=40,"30-40",G125&lt;=50,"40-50",LoanData!G125&gt;50,"50+")</f>
        <v>30-40</v>
      </c>
      <c r="I125" s="7">
        <v>45346</v>
      </c>
      <c r="J125" s="8">
        <v>250000</v>
      </c>
      <c r="K125" s="6">
        <v>24</v>
      </c>
      <c r="L125" s="9">
        <v>14.4</v>
      </c>
      <c r="M125" s="8">
        <v>12051</v>
      </c>
      <c r="N125" s="6">
        <v>5</v>
      </c>
      <c r="O125" s="6">
        <v>3</v>
      </c>
      <c r="P125" s="8">
        <v>36153</v>
      </c>
      <c r="Q125" s="8">
        <v>222521</v>
      </c>
      <c r="R125" s="6">
        <v>59</v>
      </c>
      <c r="S125" s="6" t="s">
        <v>47</v>
      </c>
      <c r="T125" s="8">
        <v>8674</v>
      </c>
    </row>
    <row r="126" spans="1:20" x14ac:dyDescent="0.3">
      <c r="A126" s="2" t="s">
        <v>290</v>
      </c>
      <c r="B126" s="2" t="s">
        <v>40</v>
      </c>
      <c r="C126" s="2" t="s">
        <v>34</v>
      </c>
      <c r="D126" s="2" t="s">
        <v>29</v>
      </c>
      <c r="E126" s="2" t="s">
        <v>291</v>
      </c>
      <c r="F126" s="2" t="s">
        <v>31</v>
      </c>
      <c r="G126" s="2">
        <v>46</v>
      </c>
      <c r="H126" s="2" t="str" cm="1">
        <f t="array" ref="H126">_xlfn.IFS(G126&lt;30,"&lt;30",G126&lt;=40,"30-40",G126&lt;=50,"40-50",LoanData!G126&gt;50,"50+")</f>
        <v>40-50</v>
      </c>
      <c r="I126" s="3">
        <v>45305</v>
      </c>
      <c r="J126" s="4">
        <v>145000</v>
      </c>
      <c r="K126" s="2">
        <v>6</v>
      </c>
      <c r="L126" s="5">
        <v>10.7</v>
      </c>
      <c r="M126" s="4">
        <v>24926</v>
      </c>
      <c r="N126" s="2">
        <v>6</v>
      </c>
      <c r="O126" s="2">
        <v>6</v>
      </c>
      <c r="P126" s="4">
        <v>149556</v>
      </c>
      <c r="Q126" s="4">
        <v>0</v>
      </c>
      <c r="R126" s="2">
        <v>0</v>
      </c>
      <c r="S126" s="2" t="s">
        <v>25</v>
      </c>
      <c r="T126" s="4">
        <v>4556</v>
      </c>
    </row>
    <row r="127" spans="1:20" x14ac:dyDescent="0.3">
      <c r="A127" s="6" t="s">
        <v>292</v>
      </c>
      <c r="B127" s="6" t="s">
        <v>80</v>
      </c>
      <c r="C127" s="6" t="s">
        <v>53</v>
      </c>
      <c r="D127" s="6" t="s">
        <v>35</v>
      </c>
      <c r="E127" s="6" t="s">
        <v>293</v>
      </c>
      <c r="F127" s="6" t="s">
        <v>24</v>
      </c>
      <c r="G127" s="6">
        <v>43</v>
      </c>
      <c r="H127" s="2" t="str" cm="1">
        <f t="array" ref="H127">_xlfn.IFS(G127&lt;30,"&lt;30",G127&lt;=40,"30-40",G127&lt;=50,"40-50",LoanData!G127&gt;50,"50+")</f>
        <v>40-50</v>
      </c>
      <c r="I127" s="7">
        <v>45338</v>
      </c>
      <c r="J127" s="8">
        <v>147000</v>
      </c>
      <c r="K127" s="6">
        <v>36</v>
      </c>
      <c r="L127" s="9">
        <v>14.9</v>
      </c>
      <c r="M127" s="8">
        <v>5089</v>
      </c>
      <c r="N127" s="6">
        <v>5</v>
      </c>
      <c r="O127" s="6">
        <v>4</v>
      </c>
      <c r="P127" s="8">
        <v>20356</v>
      </c>
      <c r="Q127" s="8">
        <v>133701</v>
      </c>
      <c r="R127" s="6">
        <v>40</v>
      </c>
      <c r="S127" s="6" t="s">
        <v>47</v>
      </c>
      <c r="T127" s="8">
        <v>7057</v>
      </c>
    </row>
    <row r="128" spans="1:20" x14ac:dyDescent="0.3">
      <c r="A128" s="2" t="s">
        <v>294</v>
      </c>
      <c r="B128" s="2" t="s">
        <v>20</v>
      </c>
      <c r="C128" s="2" t="s">
        <v>21</v>
      </c>
      <c r="D128" s="2" t="s">
        <v>57</v>
      </c>
      <c r="E128" s="2" t="s">
        <v>295</v>
      </c>
      <c r="F128" s="2" t="s">
        <v>42</v>
      </c>
      <c r="G128" s="2">
        <v>40</v>
      </c>
      <c r="H128" s="2" t="str" cm="1">
        <f t="array" ref="H128">_xlfn.IFS(G128&lt;30,"&lt;30",G128&lt;=40,"30-40",G128&lt;=50,"40-50",LoanData!G128&gt;50,"50+")</f>
        <v>30-40</v>
      </c>
      <c r="I128" s="3">
        <v>45335</v>
      </c>
      <c r="J128" s="4">
        <v>974000</v>
      </c>
      <c r="K128" s="2">
        <v>48</v>
      </c>
      <c r="L128" s="5">
        <v>13.7</v>
      </c>
      <c r="M128" s="4">
        <v>26470</v>
      </c>
      <c r="N128" s="2">
        <v>5</v>
      </c>
      <c r="O128" s="2">
        <v>5</v>
      </c>
      <c r="P128" s="4">
        <v>132350</v>
      </c>
      <c r="Q128" s="4">
        <v>895478</v>
      </c>
      <c r="R128" s="2">
        <v>0</v>
      </c>
      <c r="S128" s="2" t="s">
        <v>25</v>
      </c>
      <c r="T128" s="4">
        <v>53828</v>
      </c>
    </row>
    <row r="129" spans="1:20" x14ac:dyDescent="0.3">
      <c r="A129" s="6" t="s">
        <v>296</v>
      </c>
      <c r="B129" s="6" t="s">
        <v>40</v>
      </c>
      <c r="C129" s="6" t="s">
        <v>34</v>
      </c>
      <c r="D129" s="6" t="s">
        <v>57</v>
      </c>
      <c r="E129" s="6" t="s">
        <v>297</v>
      </c>
      <c r="F129" s="6" t="s">
        <v>24</v>
      </c>
      <c r="G129" s="6">
        <v>52</v>
      </c>
      <c r="H129" s="2" t="str" cm="1">
        <f t="array" ref="H129">_xlfn.IFS(G129&lt;30,"&lt;30",G129&lt;=40,"30-40",G129&lt;=50,"40-50",LoanData!G129&gt;50,"50+")</f>
        <v>50+</v>
      </c>
      <c r="I129" s="7">
        <v>45310</v>
      </c>
      <c r="J129" s="8">
        <v>355000</v>
      </c>
      <c r="K129" s="6">
        <v>60</v>
      </c>
      <c r="L129" s="9">
        <v>15.2</v>
      </c>
      <c r="M129" s="8">
        <v>8483</v>
      </c>
      <c r="N129" s="6">
        <v>6</v>
      </c>
      <c r="O129" s="6">
        <v>6</v>
      </c>
      <c r="P129" s="8">
        <v>50898</v>
      </c>
      <c r="Q129" s="8">
        <v>330313</v>
      </c>
      <c r="R129" s="6">
        <v>0</v>
      </c>
      <c r="S129" s="6" t="s">
        <v>25</v>
      </c>
      <c r="T129" s="8">
        <v>26211</v>
      </c>
    </row>
    <row r="130" spans="1:20" x14ac:dyDescent="0.3">
      <c r="A130" s="2" t="s">
        <v>298</v>
      </c>
      <c r="B130" s="2" t="s">
        <v>52</v>
      </c>
      <c r="C130" s="2" t="s">
        <v>53</v>
      </c>
      <c r="D130" s="2" t="s">
        <v>29</v>
      </c>
      <c r="E130" s="2" t="s">
        <v>299</v>
      </c>
      <c r="F130" s="2" t="s">
        <v>31</v>
      </c>
      <c r="G130" s="2">
        <v>27</v>
      </c>
      <c r="H130" s="2" t="str" cm="1">
        <f t="array" ref="H130">_xlfn.IFS(G130&lt;30,"&lt;30",G130&lt;=40,"30-40",G130&lt;=50,"40-50",LoanData!G130&gt;50,"50+")</f>
        <v>&lt;30</v>
      </c>
      <c r="I130" s="3">
        <v>45323</v>
      </c>
      <c r="J130" s="4">
        <v>77000</v>
      </c>
      <c r="K130" s="2">
        <v>24</v>
      </c>
      <c r="L130" s="5">
        <v>11</v>
      </c>
      <c r="M130" s="4">
        <v>3589</v>
      </c>
      <c r="N130" s="2">
        <v>5</v>
      </c>
      <c r="O130" s="2">
        <v>5</v>
      </c>
      <c r="P130" s="4">
        <v>17945</v>
      </c>
      <c r="Q130" s="4">
        <v>62318</v>
      </c>
      <c r="R130" s="2">
        <v>0</v>
      </c>
      <c r="S130" s="2" t="s">
        <v>25</v>
      </c>
      <c r="T130" s="4">
        <v>3263</v>
      </c>
    </row>
    <row r="131" spans="1:20" x14ac:dyDescent="0.3">
      <c r="A131" s="6" t="s">
        <v>300</v>
      </c>
      <c r="B131" s="6" t="s">
        <v>52</v>
      </c>
      <c r="C131" s="6" t="s">
        <v>53</v>
      </c>
      <c r="D131" s="6" t="s">
        <v>22</v>
      </c>
      <c r="E131" s="6" t="s">
        <v>301</v>
      </c>
      <c r="F131" s="6" t="s">
        <v>42</v>
      </c>
      <c r="G131" s="6">
        <v>55</v>
      </c>
      <c r="H131" s="2" t="str" cm="1">
        <f t="array" ref="H131">_xlfn.IFS(G131&lt;30,"&lt;30",G131&lt;=40,"30-40",G131&lt;=50,"40-50",LoanData!G131&gt;50,"50+")</f>
        <v>50+</v>
      </c>
      <c r="I131" s="7">
        <v>45429</v>
      </c>
      <c r="J131" s="8">
        <v>1161000</v>
      </c>
      <c r="K131" s="6">
        <v>36</v>
      </c>
      <c r="L131" s="9">
        <v>12.2</v>
      </c>
      <c r="M131" s="8">
        <v>38673</v>
      </c>
      <c r="N131" s="6">
        <v>2</v>
      </c>
      <c r="O131" s="6">
        <v>2</v>
      </c>
      <c r="P131" s="8">
        <v>77346</v>
      </c>
      <c r="Q131" s="8">
        <v>1106988</v>
      </c>
      <c r="R131" s="6">
        <v>0</v>
      </c>
      <c r="S131" s="6" t="s">
        <v>25</v>
      </c>
      <c r="T131" s="8">
        <v>23334</v>
      </c>
    </row>
    <row r="132" spans="1:20" x14ac:dyDescent="0.3">
      <c r="A132" s="2" t="s">
        <v>302</v>
      </c>
      <c r="B132" s="2" t="s">
        <v>27</v>
      </c>
      <c r="C132" s="2" t="s">
        <v>28</v>
      </c>
      <c r="D132" s="2" t="s">
        <v>29</v>
      </c>
      <c r="E132" s="2" t="s">
        <v>303</v>
      </c>
      <c r="F132" s="2" t="s">
        <v>31</v>
      </c>
      <c r="G132" s="2">
        <v>45</v>
      </c>
      <c r="H132" s="2" t="str" cm="1">
        <f t="array" ref="H132">_xlfn.IFS(G132&lt;30,"&lt;30",G132&lt;=40,"30-40",G132&lt;=50,"40-50",LoanData!G132&gt;50,"50+")</f>
        <v>40-50</v>
      </c>
      <c r="I132" s="3">
        <v>45463</v>
      </c>
      <c r="J132" s="4">
        <v>240000</v>
      </c>
      <c r="K132" s="2">
        <v>12</v>
      </c>
      <c r="L132" s="5">
        <v>10.8</v>
      </c>
      <c r="M132" s="4">
        <v>21189</v>
      </c>
      <c r="N132" s="2">
        <v>1</v>
      </c>
      <c r="O132" s="2">
        <v>1</v>
      </c>
      <c r="P132" s="4">
        <v>21189</v>
      </c>
      <c r="Q132" s="4">
        <v>220971</v>
      </c>
      <c r="R132" s="2">
        <v>0</v>
      </c>
      <c r="S132" s="2" t="s">
        <v>25</v>
      </c>
      <c r="T132" s="4">
        <v>2160</v>
      </c>
    </row>
    <row r="133" spans="1:20" x14ac:dyDescent="0.3">
      <c r="A133" s="6" t="s">
        <v>304</v>
      </c>
      <c r="B133" s="6" t="s">
        <v>40</v>
      </c>
      <c r="C133" s="6" t="s">
        <v>34</v>
      </c>
      <c r="D133" s="6" t="s">
        <v>22</v>
      </c>
      <c r="E133" s="6" t="s">
        <v>305</v>
      </c>
      <c r="F133" s="6" t="s">
        <v>42</v>
      </c>
      <c r="G133" s="6">
        <v>56</v>
      </c>
      <c r="H133" s="2" t="str" cm="1">
        <f t="array" ref="H133">_xlfn.IFS(G133&lt;30,"&lt;30",G133&lt;=40,"30-40",G133&lt;=50,"40-50",LoanData!G133&gt;50,"50+")</f>
        <v>50+</v>
      </c>
      <c r="I133" s="7">
        <v>45408</v>
      </c>
      <c r="J133" s="8">
        <v>139000</v>
      </c>
      <c r="K133" s="6">
        <v>24</v>
      </c>
      <c r="L133" s="9">
        <v>13.3</v>
      </c>
      <c r="M133" s="8">
        <v>6628</v>
      </c>
      <c r="N133" s="6">
        <v>3</v>
      </c>
      <c r="O133" s="6">
        <v>3</v>
      </c>
      <c r="P133" s="8">
        <v>19884</v>
      </c>
      <c r="Q133" s="8">
        <v>123568</v>
      </c>
      <c r="R133" s="6">
        <v>0</v>
      </c>
      <c r="S133" s="6" t="s">
        <v>25</v>
      </c>
      <c r="T133" s="8">
        <v>4452</v>
      </c>
    </row>
    <row r="134" spans="1:20" x14ac:dyDescent="0.3">
      <c r="A134" s="2" t="s">
        <v>306</v>
      </c>
      <c r="B134" s="2" t="s">
        <v>40</v>
      </c>
      <c r="C134" s="2" t="s">
        <v>34</v>
      </c>
      <c r="D134" s="2" t="s">
        <v>29</v>
      </c>
      <c r="E134" s="2" t="s">
        <v>307</v>
      </c>
      <c r="F134" s="2" t="s">
        <v>31</v>
      </c>
      <c r="G134" s="2">
        <v>32</v>
      </c>
      <c r="H134" s="2" t="str" cm="1">
        <f t="array" ref="H134">_xlfn.IFS(G134&lt;30,"&lt;30",G134&lt;=40,"30-40",G134&lt;=50,"40-50",LoanData!G134&gt;50,"50+")</f>
        <v>30-40</v>
      </c>
      <c r="I134" s="3">
        <v>45363</v>
      </c>
      <c r="J134" s="4">
        <v>77000</v>
      </c>
      <c r="K134" s="2">
        <v>6</v>
      </c>
      <c r="L134" s="5">
        <v>11.7</v>
      </c>
      <c r="M134" s="4">
        <v>13275</v>
      </c>
      <c r="N134" s="2">
        <v>4</v>
      </c>
      <c r="O134" s="2">
        <v>4</v>
      </c>
      <c r="P134" s="4">
        <v>53100</v>
      </c>
      <c r="Q134" s="4">
        <v>26166</v>
      </c>
      <c r="R134" s="2">
        <v>0</v>
      </c>
      <c r="S134" s="2" t="s">
        <v>25</v>
      </c>
      <c r="T134" s="4">
        <v>2266</v>
      </c>
    </row>
    <row r="135" spans="1:20" x14ac:dyDescent="0.3">
      <c r="A135" s="6" t="s">
        <v>308</v>
      </c>
      <c r="B135" s="6" t="s">
        <v>20</v>
      </c>
      <c r="C135" s="6" t="s">
        <v>21</v>
      </c>
      <c r="D135" s="6" t="s">
        <v>49</v>
      </c>
      <c r="E135" s="6" t="s">
        <v>309</v>
      </c>
      <c r="F135" s="6" t="s">
        <v>31</v>
      </c>
      <c r="G135" s="6">
        <v>49</v>
      </c>
      <c r="H135" s="2" t="str" cm="1">
        <f t="array" ref="H135">_xlfn.IFS(G135&lt;30,"&lt;30",G135&lt;=40,"30-40",G135&lt;=50,"40-50",LoanData!G135&gt;50,"50+")</f>
        <v>40-50</v>
      </c>
      <c r="I135" s="7">
        <v>45439</v>
      </c>
      <c r="J135" s="8">
        <v>417000</v>
      </c>
      <c r="K135" s="6">
        <v>24</v>
      </c>
      <c r="L135" s="9">
        <v>11.1</v>
      </c>
      <c r="M135" s="8">
        <v>19455</v>
      </c>
      <c r="N135" s="6">
        <v>2</v>
      </c>
      <c r="O135" s="6">
        <v>1</v>
      </c>
      <c r="P135" s="8">
        <v>19455</v>
      </c>
      <c r="Q135" s="8">
        <v>401402</v>
      </c>
      <c r="R135" s="6">
        <v>14</v>
      </c>
      <c r="S135" s="6" t="s">
        <v>47</v>
      </c>
      <c r="T135" s="8">
        <v>3857</v>
      </c>
    </row>
    <row r="136" spans="1:20" x14ac:dyDescent="0.3">
      <c r="A136" s="2" t="s">
        <v>310</v>
      </c>
      <c r="B136" s="2" t="s">
        <v>52</v>
      </c>
      <c r="C136" s="2" t="s">
        <v>53</v>
      </c>
      <c r="D136" s="2" t="s">
        <v>29</v>
      </c>
      <c r="E136" s="2" t="s">
        <v>311</v>
      </c>
      <c r="F136" s="2" t="s">
        <v>42</v>
      </c>
      <c r="G136" s="2">
        <v>54</v>
      </c>
      <c r="H136" s="2" t="str" cm="1">
        <f t="array" ref="H136">_xlfn.IFS(G136&lt;30,"&lt;30",G136&lt;=40,"30-40",G136&lt;=50,"40-50",LoanData!G136&gt;50,"50+")</f>
        <v>50+</v>
      </c>
      <c r="I136" s="3">
        <v>45326</v>
      </c>
      <c r="J136" s="4">
        <v>148000</v>
      </c>
      <c r="K136" s="2">
        <v>24</v>
      </c>
      <c r="L136" s="5">
        <v>11.8</v>
      </c>
      <c r="M136" s="4">
        <v>6953</v>
      </c>
      <c r="N136" s="2">
        <v>5</v>
      </c>
      <c r="O136" s="2">
        <v>5</v>
      </c>
      <c r="P136" s="4">
        <v>34765</v>
      </c>
      <c r="Q136" s="4">
        <v>119965</v>
      </c>
      <c r="R136" s="2">
        <v>0</v>
      </c>
      <c r="S136" s="2" t="s">
        <v>25</v>
      </c>
      <c r="T136" s="4">
        <v>6730</v>
      </c>
    </row>
    <row r="137" spans="1:20" x14ac:dyDescent="0.3">
      <c r="A137" s="6" t="s">
        <v>312</v>
      </c>
      <c r="B137" s="6" t="s">
        <v>65</v>
      </c>
      <c r="C137" s="6" t="s">
        <v>28</v>
      </c>
      <c r="D137" s="6" t="s">
        <v>35</v>
      </c>
      <c r="E137" s="6" t="s">
        <v>313</v>
      </c>
      <c r="F137" s="6" t="s">
        <v>42</v>
      </c>
      <c r="G137" s="6">
        <v>34</v>
      </c>
      <c r="H137" s="2" t="str" cm="1">
        <f t="array" ref="H137">_xlfn.IFS(G137&lt;30,"&lt;30",G137&lt;=40,"30-40",G137&lt;=50,"40-50",LoanData!G137&gt;50,"50+")</f>
        <v>30-40</v>
      </c>
      <c r="I137" s="7">
        <v>45374</v>
      </c>
      <c r="J137" s="8">
        <v>288000</v>
      </c>
      <c r="K137" s="6">
        <v>12</v>
      </c>
      <c r="L137" s="9">
        <v>17.7</v>
      </c>
      <c r="M137" s="8">
        <v>26363</v>
      </c>
      <c r="N137" s="6">
        <v>4</v>
      </c>
      <c r="O137" s="6">
        <v>3</v>
      </c>
      <c r="P137" s="8">
        <v>79089</v>
      </c>
      <c r="Q137" s="8">
        <v>220672</v>
      </c>
      <c r="R137" s="6">
        <v>43</v>
      </c>
      <c r="S137" s="6" t="s">
        <v>47</v>
      </c>
      <c r="T137" s="8">
        <v>11761</v>
      </c>
    </row>
    <row r="138" spans="1:20" x14ac:dyDescent="0.3">
      <c r="A138" s="2" t="s">
        <v>314</v>
      </c>
      <c r="B138" s="2" t="s">
        <v>60</v>
      </c>
      <c r="C138" s="2" t="s">
        <v>21</v>
      </c>
      <c r="D138" s="2" t="s">
        <v>49</v>
      </c>
      <c r="E138" s="2" t="s">
        <v>315</v>
      </c>
      <c r="F138" s="2" t="s">
        <v>24</v>
      </c>
      <c r="G138" s="2">
        <v>24</v>
      </c>
      <c r="H138" s="2" t="str" cm="1">
        <f t="array" ref="H138">_xlfn.IFS(G138&lt;30,"&lt;30",G138&lt;=40,"30-40",G138&lt;=50,"40-50",LoanData!G138&gt;50,"50+")</f>
        <v>&lt;30</v>
      </c>
      <c r="I138" s="3">
        <v>45437</v>
      </c>
      <c r="J138" s="4">
        <v>258000</v>
      </c>
      <c r="K138" s="2">
        <v>24</v>
      </c>
      <c r="L138" s="5">
        <v>13.7</v>
      </c>
      <c r="M138" s="4">
        <v>12351</v>
      </c>
      <c r="N138" s="2">
        <v>2</v>
      </c>
      <c r="O138" s="2">
        <v>2</v>
      </c>
      <c r="P138" s="4">
        <v>24702</v>
      </c>
      <c r="Q138" s="4">
        <v>239082</v>
      </c>
      <c r="R138" s="2">
        <v>0</v>
      </c>
      <c r="S138" s="2" t="s">
        <v>25</v>
      </c>
      <c r="T138" s="4">
        <v>5784</v>
      </c>
    </row>
    <row r="139" spans="1:20" x14ac:dyDescent="0.3">
      <c r="A139" s="6" t="s">
        <v>316</v>
      </c>
      <c r="B139" s="6" t="s">
        <v>33</v>
      </c>
      <c r="C139" s="6" t="s">
        <v>34</v>
      </c>
      <c r="D139" s="6" t="s">
        <v>29</v>
      </c>
      <c r="E139" s="6" t="s">
        <v>317</v>
      </c>
      <c r="F139" s="6" t="s">
        <v>24</v>
      </c>
      <c r="G139" s="6">
        <v>43</v>
      </c>
      <c r="H139" s="2" t="str" cm="1">
        <f t="array" ref="H139">_xlfn.IFS(G139&lt;30,"&lt;30",G139&lt;=40,"30-40",G139&lt;=50,"40-50",LoanData!G139&gt;50,"50+")</f>
        <v>40-50</v>
      </c>
      <c r="I139" s="7">
        <v>45308</v>
      </c>
      <c r="J139" s="8">
        <v>48000</v>
      </c>
      <c r="K139" s="6">
        <v>6</v>
      </c>
      <c r="L139" s="9">
        <v>10.6</v>
      </c>
      <c r="M139" s="8">
        <v>8249</v>
      </c>
      <c r="N139" s="6">
        <v>6</v>
      </c>
      <c r="O139" s="6">
        <v>6</v>
      </c>
      <c r="P139" s="8">
        <v>49494</v>
      </c>
      <c r="Q139" s="8">
        <v>0</v>
      </c>
      <c r="R139" s="6">
        <v>0</v>
      </c>
      <c r="S139" s="6" t="s">
        <v>25</v>
      </c>
      <c r="T139" s="8">
        <v>1494</v>
      </c>
    </row>
    <row r="140" spans="1:20" x14ac:dyDescent="0.3">
      <c r="A140" s="2" t="s">
        <v>318</v>
      </c>
      <c r="B140" s="2" t="s">
        <v>80</v>
      </c>
      <c r="C140" s="2" t="s">
        <v>53</v>
      </c>
      <c r="D140" s="2" t="s">
        <v>57</v>
      </c>
      <c r="E140" s="2" t="s">
        <v>319</v>
      </c>
      <c r="F140" s="2" t="s">
        <v>31</v>
      </c>
      <c r="G140" s="2">
        <v>27</v>
      </c>
      <c r="H140" s="2" t="str" cm="1">
        <f t="array" ref="H140">_xlfn.IFS(G140&lt;30,"&lt;30",G140&lt;=40,"30-40",G140&lt;=50,"40-50",LoanData!G140&gt;50,"50+")</f>
        <v>&lt;30</v>
      </c>
      <c r="I140" s="3">
        <v>45307</v>
      </c>
      <c r="J140" s="4">
        <v>343000</v>
      </c>
      <c r="K140" s="2">
        <v>24</v>
      </c>
      <c r="L140" s="5">
        <v>12.9</v>
      </c>
      <c r="M140" s="4">
        <v>16291</v>
      </c>
      <c r="N140" s="2">
        <v>6</v>
      </c>
      <c r="O140" s="2">
        <v>6</v>
      </c>
      <c r="P140" s="4">
        <v>97746</v>
      </c>
      <c r="Q140" s="4">
        <v>265317</v>
      </c>
      <c r="R140" s="2">
        <v>0</v>
      </c>
      <c r="S140" s="2" t="s">
        <v>25</v>
      </c>
      <c r="T140" s="4">
        <v>20063</v>
      </c>
    </row>
    <row r="141" spans="1:20" x14ac:dyDescent="0.3">
      <c r="A141" s="6" t="s">
        <v>320</v>
      </c>
      <c r="B141" s="6" t="s">
        <v>33</v>
      </c>
      <c r="C141" s="6" t="s">
        <v>34</v>
      </c>
      <c r="D141" s="6" t="s">
        <v>22</v>
      </c>
      <c r="E141" s="6" t="s">
        <v>321</v>
      </c>
      <c r="F141" s="6" t="s">
        <v>42</v>
      </c>
      <c r="G141" s="6">
        <v>33</v>
      </c>
      <c r="H141" s="2" t="str" cm="1">
        <f t="array" ref="H141">_xlfn.IFS(G141&lt;30,"&lt;30",G141&lt;=40,"30-40",G141&lt;=50,"40-50",LoanData!G141&gt;50,"50+")</f>
        <v>30-40</v>
      </c>
      <c r="I141" s="7">
        <v>45350</v>
      </c>
      <c r="J141" s="8">
        <v>1231000</v>
      </c>
      <c r="K141" s="6">
        <v>36</v>
      </c>
      <c r="L141" s="9">
        <v>11.6</v>
      </c>
      <c r="M141" s="8">
        <v>40652</v>
      </c>
      <c r="N141" s="6">
        <v>5</v>
      </c>
      <c r="O141" s="6">
        <v>5</v>
      </c>
      <c r="P141" s="8">
        <v>203260</v>
      </c>
      <c r="Q141" s="8">
        <v>1084432</v>
      </c>
      <c r="R141" s="6">
        <v>0</v>
      </c>
      <c r="S141" s="6" t="s">
        <v>25</v>
      </c>
      <c r="T141" s="8">
        <v>56692</v>
      </c>
    </row>
    <row r="142" spans="1:20" x14ac:dyDescent="0.3">
      <c r="A142" s="2" t="s">
        <v>322</v>
      </c>
      <c r="B142" s="2" t="s">
        <v>27</v>
      </c>
      <c r="C142" s="2" t="s">
        <v>28</v>
      </c>
      <c r="D142" s="2" t="s">
        <v>49</v>
      </c>
      <c r="E142" s="2" t="s">
        <v>323</v>
      </c>
      <c r="F142" s="2" t="s">
        <v>24</v>
      </c>
      <c r="G142" s="2">
        <v>45</v>
      </c>
      <c r="H142" s="2" t="str" cm="1">
        <f t="array" ref="H142">_xlfn.IFS(G142&lt;30,"&lt;30",G142&lt;=40,"30-40",G142&lt;=50,"40-50",LoanData!G142&gt;50,"50+")</f>
        <v>40-50</v>
      </c>
      <c r="I142" s="3">
        <v>45330</v>
      </c>
      <c r="J142" s="4">
        <v>751000</v>
      </c>
      <c r="K142" s="2">
        <v>36</v>
      </c>
      <c r="L142" s="5">
        <v>14.4</v>
      </c>
      <c r="M142" s="4">
        <v>25814</v>
      </c>
      <c r="N142" s="2">
        <v>5</v>
      </c>
      <c r="O142" s="2">
        <v>5</v>
      </c>
      <c r="P142" s="4">
        <v>129070</v>
      </c>
      <c r="Q142" s="4">
        <v>664952</v>
      </c>
      <c r="R142" s="2">
        <v>0</v>
      </c>
      <c r="S142" s="2" t="s">
        <v>25</v>
      </c>
      <c r="T142" s="4">
        <v>43022</v>
      </c>
    </row>
    <row r="143" spans="1:20" x14ac:dyDescent="0.3">
      <c r="A143" s="6" t="s">
        <v>324</v>
      </c>
      <c r="B143" s="6" t="s">
        <v>27</v>
      </c>
      <c r="C143" s="6" t="s">
        <v>28</v>
      </c>
      <c r="D143" s="6" t="s">
        <v>22</v>
      </c>
      <c r="E143" s="6" t="s">
        <v>325</v>
      </c>
      <c r="F143" s="6" t="s">
        <v>31</v>
      </c>
      <c r="G143" s="6">
        <v>43</v>
      </c>
      <c r="H143" s="2" t="str" cm="1">
        <f t="array" ref="H143">_xlfn.IFS(G143&lt;30,"&lt;30",G143&lt;=40,"30-40",G143&lt;=50,"40-50",LoanData!G143&gt;50,"50+")</f>
        <v>40-50</v>
      </c>
      <c r="I143" s="7">
        <v>45434</v>
      </c>
      <c r="J143" s="8">
        <v>412000</v>
      </c>
      <c r="K143" s="6">
        <v>24</v>
      </c>
      <c r="L143" s="9">
        <v>11.5</v>
      </c>
      <c r="M143" s="8">
        <v>19298</v>
      </c>
      <c r="N143" s="6">
        <v>2</v>
      </c>
      <c r="O143" s="6">
        <v>2</v>
      </c>
      <c r="P143" s="8">
        <v>38596</v>
      </c>
      <c r="Q143" s="8">
        <v>381153</v>
      </c>
      <c r="R143" s="6">
        <v>0</v>
      </c>
      <c r="S143" s="6" t="s">
        <v>25</v>
      </c>
      <c r="T143" s="8">
        <v>7749</v>
      </c>
    </row>
    <row r="144" spans="1:20" x14ac:dyDescent="0.3">
      <c r="A144" s="2" t="s">
        <v>326</v>
      </c>
      <c r="B144" s="2" t="s">
        <v>60</v>
      </c>
      <c r="C144" s="2" t="s">
        <v>21</v>
      </c>
      <c r="D144" s="2" t="s">
        <v>49</v>
      </c>
      <c r="E144" s="2" t="s">
        <v>327</v>
      </c>
      <c r="F144" s="2" t="s">
        <v>31</v>
      </c>
      <c r="G144" s="2">
        <v>57</v>
      </c>
      <c r="H144" s="2" t="str" cm="1">
        <f t="array" ref="H144">_xlfn.IFS(G144&lt;30,"&lt;30",G144&lt;=40,"30-40",G144&lt;=50,"40-50",LoanData!G144&gt;50,"50+")</f>
        <v>50+</v>
      </c>
      <c r="I144" s="3">
        <v>45326</v>
      </c>
      <c r="J144" s="4">
        <v>102000</v>
      </c>
      <c r="K144" s="2">
        <v>36</v>
      </c>
      <c r="L144" s="5">
        <v>12.7</v>
      </c>
      <c r="M144" s="4">
        <v>3422</v>
      </c>
      <c r="N144" s="2">
        <v>5</v>
      </c>
      <c r="O144" s="2">
        <v>3</v>
      </c>
      <c r="P144" s="4">
        <v>10266</v>
      </c>
      <c r="Q144" s="4">
        <v>94898</v>
      </c>
      <c r="R144" s="2">
        <v>63</v>
      </c>
      <c r="S144" s="2" t="s">
        <v>47</v>
      </c>
      <c r="T144" s="4">
        <v>3164</v>
      </c>
    </row>
    <row r="145" spans="1:20" x14ac:dyDescent="0.3">
      <c r="A145" s="6" t="s">
        <v>328</v>
      </c>
      <c r="B145" s="6" t="s">
        <v>40</v>
      </c>
      <c r="C145" s="6" t="s">
        <v>34</v>
      </c>
      <c r="D145" s="6" t="s">
        <v>35</v>
      </c>
      <c r="E145" s="6" t="s">
        <v>329</v>
      </c>
      <c r="F145" s="6" t="s">
        <v>31</v>
      </c>
      <c r="G145" s="6">
        <v>40</v>
      </c>
      <c r="H145" s="2" t="str" cm="1">
        <f t="array" ref="H145">_xlfn.IFS(G145&lt;30,"&lt;30",G145&lt;=40,"30-40",G145&lt;=50,"40-50",LoanData!G145&gt;50,"50+")</f>
        <v>30-40</v>
      </c>
      <c r="I145" s="7">
        <v>45347</v>
      </c>
      <c r="J145" s="8">
        <v>320000</v>
      </c>
      <c r="K145" s="6">
        <v>24</v>
      </c>
      <c r="L145" s="9">
        <v>14.2</v>
      </c>
      <c r="M145" s="8">
        <v>15394</v>
      </c>
      <c r="N145" s="6">
        <v>5</v>
      </c>
      <c r="O145" s="6">
        <v>5</v>
      </c>
      <c r="P145" s="8">
        <v>76970</v>
      </c>
      <c r="Q145" s="8">
        <v>260572</v>
      </c>
      <c r="R145" s="6">
        <v>0</v>
      </c>
      <c r="S145" s="6" t="s">
        <v>25</v>
      </c>
      <c r="T145" s="8">
        <v>17542</v>
      </c>
    </row>
    <row r="146" spans="1:20" x14ac:dyDescent="0.3">
      <c r="A146" s="2" t="s">
        <v>330</v>
      </c>
      <c r="B146" s="2" t="s">
        <v>60</v>
      </c>
      <c r="C146" s="2" t="s">
        <v>21</v>
      </c>
      <c r="D146" s="2" t="s">
        <v>35</v>
      </c>
      <c r="E146" s="2" t="s">
        <v>331</v>
      </c>
      <c r="F146" s="2" t="s">
        <v>42</v>
      </c>
      <c r="G146" s="2">
        <v>56</v>
      </c>
      <c r="H146" s="2" t="str" cm="1">
        <f t="array" ref="H146">_xlfn.IFS(G146&lt;30,"&lt;30",G146&lt;=40,"30-40",G146&lt;=50,"40-50",LoanData!G146&gt;50,"50+")</f>
        <v>50+</v>
      </c>
      <c r="I146" s="3">
        <v>45390</v>
      </c>
      <c r="J146" s="4">
        <v>381000</v>
      </c>
      <c r="K146" s="2">
        <v>24</v>
      </c>
      <c r="L146" s="5">
        <v>17.399999999999999</v>
      </c>
      <c r="M146" s="4">
        <v>18911</v>
      </c>
      <c r="N146" s="2">
        <v>3</v>
      </c>
      <c r="O146" s="2">
        <v>2</v>
      </c>
      <c r="P146" s="4">
        <v>37822</v>
      </c>
      <c r="Q146" s="4">
        <v>354033</v>
      </c>
      <c r="R146" s="2">
        <v>9</v>
      </c>
      <c r="S146" s="2" t="s">
        <v>47</v>
      </c>
      <c r="T146" s="4">
        <v>10855</v>
      </c>
    </row>
    <row r="147" spans="1:20" x14ac:dyDescent="0.3">
      <c r="A147" s="6" t="s">
        <v>332</v>
      </c>
      <c r="B147" s="6" t="s">
        <v>65</v>
      </c>
      <c r="C147" s="6" t="s">
        <v>28</v>
      </c>
      <c r="D147" s="6" t="s">
        <v>29</v>
      </c>
      <c r="E147" s="6" t="s">
        <v>333</v>
      </c>
      <c r="F147" s="6" t="s">
        <v>24</v>
      </c>
      <c r="G147" s="6">
        <v>58</v>
      </c>
      <c r="H147" s="2" t="str" cm="1">
        <f t="array" ref="H147">_xlfn.IFS(G147&lt;30,"&lt;30",G147&lt;=40,"30-40",G147&lt;=50,"40-50",LoanData!G147&gt;50,"50+")</f>
        <v>50+</v>
      </c>
      <c r="I147" s="7">
        <v>45344</v>
      </c>
      <c r="J147" s="8">
        <v>157000</v>
      </c>
      <c r="K147" s="6">
        <v>12</v>
      </c>
      <c r="L147" s="9">
        <v>11.1</v>
      </c>
      <c r="M147" s="8">
        <v>13883</v>
      </c>
      <c r="N147" s="6">
        <v>5</v>
      </c>
      <c r="O147" s="6">
        <v>5</v>
      </c>
      <c r="P147" s="8">
        <v>69415</v>
      </c>
      <c r="Q147" s="8">
        <v>93684</v>
      </c>
      <c r="R147" s="6">
        <v>0</v>
      </c>
      <c r="S147" s="6" t="s">
        <v>25</v>
      </c>
      <c r="T147" s="8">
        <v>6099</v>
      </c>
    </row>
    <row r="148" spans="1:20" x14ac:dyDescent="0.3">
      <c r="A148" s="2" t="s">
        <v>334</v>
      </c>
      <c r="B148" s="2" t="s">
        <v>80</v>
      </c>
      <c r="C148" s="2" t="s">
        <v>53</v>
      </c>
      <c r="D148" s="2" t="s">
        <v>29</v>
      </c>
      <c r="E148" s="2" t="s">
        <v>335</v>
      </c>
      <c r="F148" s="2" t="s">
        <v>42</v>
      </c>
      <c r="G148" s="2">
        <v>54</v>
      </c>
      <c r="H148" s="2" t="str" cm="1">
        <f t="array" ref="H148">_xlfn.IFS(G148&lt;30,"&lt;30",G148&lt;=40,"30-40",G148&lt;=50,"40-50",LoanData!G148&gt;50,"50+")</f>
        <v>50+</v>
      </c>
      <c r="I148" s="3">
        <v>45316</v>
      </c>
      <c r="J148" s="4">
        <v>189000</v>
      </c>
      <c r="K148" s="2">
        <v>24</v>
      </c>
      <c r="L148" s="5">
        <v>10</v>
      </c>
      <c r="M148" s="4">
        <v>8721</v>
      </c>
      <c r="N148" s="2">
        <v>6</v>
      </c>
      <c r="O148" s="2">
        <v>6</v>
      </c>
      <c r="P148" s="4">
        <v>52326</v>
      </c>
      <c r="Q148" s="4">
        <v>145218</v>
      </c>
      <c r="R148" s="2">
        <v>0</v>
      </c>
      <c r="S148" s="2" t="s">
        <v>25</v>
      </c>
      <c r="T148" s="4">
        <v>8544</v>
      </c>
    </row>
    <row r="149" spans="1:20" x14ac:dyDescent="0.3">
      <c r="A149" s="6" t="s">
        <v>336</v>
      </c>
      <c r="B149" s="6" t="s">
        <v>52</v>
      </c>
      <c r="C149" s="6" t="s">
        <v>53</v>
      </c>
      <c r="D149" s="6" t="s">
        <v>29</v>
      </c>
      <c r="E149" s="6" t="s">
        <v>337</v>
      </c>
      <c r="F149" s="6" t="s">
        <v>42</v>
      </c>
      <c r="G149" s="6">
        <v>30</v>
      </c>
      <c r="H149" s="2" t="str" cm="1">
        <f t="array" ref="H149">_xlfn.IFS(G149&lt;30,"&lt;30",G149&lt;=40,"30-40",G149&lt;=50,"40-50",LoanData!G149&gt;50,"50+")</f>
        <v>30-40</v>
      </c>
      <c r="I149" s="7">
        <v>45309</v>
      </c>
      <c r="J149" s="8">
        <v>106000</v>
      </c>
      <c r="K149" s="6">
        <v>24</v>
      </c>
      <c r="L149" s="9">
        <v>10.199999999999999</v>
      </c>
      <c r="M149" s="8">
        <v>4901</v>
      </c>
      <c r="N149" s="6">
        <v>6</v>
      </c>
      <c r="O149" s="6">
        <v>6</v>
      </c>
      <c r="P149" s="8">
        <v>29406</v>
      </c>
      <c r="Q149" s="8">
        <v>81483</v>
      </c>
      <c r="R149" s="6">
        <v>0</v>
      </c>
      <c r="S149" s="6" t="s">
        <v>25</v>
      </c>
      <c r="T149" s="8">
        <v>4889</v>
      </c>
    </row>
    <row r="150" spans="1:20" x14ac:dyDescent="0.3">
      <c r="A150" s="2" t="s">
        <v>338</v>
      </c>
      <c r="B150" s="2" t="s">
        <v>20</v>
      </c>
      <c r="C150" s="2" t="s">
        <v>21</v>
      </c>
      <c r="D150" s="2" t="s">
        <v>22</v>
      </c>
      <c r="E150" s="2" t="s">
        <v>339</v>
      </c>
      <c r="F150" s="2" t="s">
        <v>31</v>
      </c>
      <c r="G150" s="2">
        <v>34</v>
      </c>
      <c r="H150" s="2" t="str" cm="1">
        <f t="array" ref="H150">_xlfn.IFS(G150&lt;30,"&lt;30",G150&lt;=40,"30-40",G150&lt;=50,"40-50",LoanData!G150&gt;50,"50+")</f>
        <v>30-40</v>
      </c>
      <c r="I150" s="3">
        <v>45297</v>
      </c>
      <c r="J150" s="4">
        <v>740000</v>
      </c>
      <c r="K150" s="2">
        <v>48</v>
      </c>
      <c r="L150" s="5">
        <v>12.5</v>
      </c>
      <c r="M150" s="4">
        <v>19669</v>
      </c>
      <c r="N150" s="2">
        <v>6</v>
      </c>
      <c r="O150" s="2">
        <v>6</v>
      </c>
      <c r="P150" s="4">
        <v>118014</v>
      </c>
      <c r="Q150" s="4">
        <v>666340</v>
      </c>
      <c r="R150" s="2">
        <v>0</v>
      </c>
      <c r="S150" s="2" t="s">
        <v>25</v>
      </c>
      <c r="T150" s="4">
        <v>44354</v>
      </c>
    </row>
    <row r="151" spans="1:20" x14ac:dyDescent="0.3">
      <c r="A151" s="6" t="s">
        <v>340</v>
      </c>
      <c r="B151" s="6" t="s">
        <v>65</v>
      </c>
      <c r="C151" s="6" t="s">
        <v>28</v>
      </c>
      <c r="D151" s="6" t="s">
        <v>57</v>
      </c>
      <c r="E151" s="6" t="s">
        <v>341</v>
      </c>
      <c r="F151" s="6" t="s">
        <v>42</v>
      </c>
      <c r="G151" s="6">
        <v>50</v>
      </c>
      <c r="H151" s="2" t="str" cm="1">
        <f t="array" ref="H151">_xlfn.IFS(G151&lt;30,"&lt;30",G151&lt;=40,"30-40",G151&lt;=50,"40-50",LoanData!G151&gt;50,"50+")</f>
        <v>40-50</v>
      </c>
      <c r="I151" s="7">
        <v>45439</v>
      </c>
      <c r="J151" s="8">
        <v>350000</v>
      </c>
      <c r="K151" s="6">
        <v>48</v>
      </c>
      <c r="L151" s="9">
        <v>14.5</v>
      </c>
      <c r="M151" s="8">
        <v>9652</v>
      </c>
      <c r="N151" s="6">
        <v>2</v>
      </c>
      <c r="O151" s="6">
        <v>2</v>
      </c>
      <c r="P151" s="8">
        <v>19304</v>
      </c>
      <c r="Q151" s="8">
        <v>339088</v>
      </c>
      <c r="R151" s="6">
        <v>0</v>
      </c>
      <c r="S151" s="6" t="s">
        <v>25</v>
      </c>
      <c r="T151" s="8">
        <v>8392</v>
      </c>
    </row>
    <row r="152" spans="1:20" x14ac:dyDescent="0.3">
      <c r="A152" s="2" t="s">
        <v>342</v>
      </c>
      <c r="B152" s="2" t="s">
        <v>20</v>
      </c>
      <c r="C152" s="2" t="s">
        <v>21</v>
      </c>
      <c r="D152" s="2" t="s">
        <v>35</v>
      </c>
      <c r="E152" s="2" t="s">
        <v>343</v>
      </c>
      <c r="F152" s="2" t="s">
        <v>31</v>
      </c>
      <c r="G152" s="2">
        <v>48</v>
      </c>
      <c r="H152" s="2" t="str" cm="1">
        <f t="array" ref="H152">_xlfn.IFS(G152&lt;30,"&lt;30",G152&lt;=40,"30-40",G152&lt;=50,"40-50",LoanData!G152&gt;50,"50+")</f>
        <v>40-50</v>
      </c>
      <c r="I152" s="3">
        <v>45334</v>
      </c>
      <c r="J152" s="4">
        <v>405000</v>
      </c>
      <c r="K152" s="2">
        <v>24</v>
      </c>
      <c r="L152" s="5">
        <v>15</v>
      </c>
      <c r="M152" s="4">
        <v>19637</v>
      </c>
      <c r="N152" s="2">
        <v>5</v>
      </c>
      <c r="O152" s="2">
        <v>5</v>
      </c>
      <c r="P152" s="4">
        <v>98185</v>
      </c>
      <c r="Q152" s="4">
        <v>330282</v>
      </c>
      <c r="R152" s="2">
        <v>0</v>
      </c>
      <c r="S152" s="2" t="s">
        <v>25</v>
      </c>
      <c r="T152" s="4">
        <v>23467</v>
      </c>
    </row>
    <row r="153" spans="1:20" x14ac:dyDescent="0.3">
      <c r="A153" s="6" t="s">
        <v>344</v>
      </c>
      <c r="B153" s="6" t="s">
        <v>27</v>
      </c>
      <c r="C153" s="6" t="s">
        <v>28</v>
      </c>
      <c r="D153" s="6" t="s">
        <v>35</v>
      </c>
      <c r="E153" s="6" t="s">
        <v>345</v>
      </c>
      <c r="F153" s="6" t="s">
        <v>24</v>
      </c>
      <c r="G153" s="6">
        <v>45</v>
      </c>
      <c r="H153" s="2" t="str" cm="1">
        <f t="array" ref="H153">_xlfn.IFS(G153&lt;30,"&lt;30",G153&lt;=40,"30-40",G153&lt;=50,"40-50",LoanData!G153&gt;50,"50+")</f>
        <v>40-50</v>
      </c>
      <c r="I153" s="7">
        <v>45295</v>
      </c>
      <c r="J153" s="8">
        <v>423000</v>
      </c>
      <c r="K153" s="6">
        <v>12</v>
      </c>
      <c r="L153" s="9">
        <v>14.2</v>
      </c>
      <c r="M153" s="8">
        <v>38020</v>
      </c>
      <c r="N153" s="6">
        <v>6</v>
      </c>
      <c r="O153" s="6">
        <v>5</v>
      </c>
      <c r="P153" s="8">
        <v>190100</v>
      </c>
      <c r="Q153" s="8">
        <v>253975</v>
      </c>
      <c r="R153" s="6">
        <v>35</v>
      </c>
      <c r="S153" s="6" t="s">
        <v>47</v>
      </c>
      <c r="T153" s="8">
        <v>21075</v>
      </c>
    </row>
    <row r="154" spans="1:20" x14ac:dyDescent="0.3">
      <c r="A154" s="2" t="s">
        <v>346</v>
      </c>
      <c r="B154" s="2" t="s">
        <v>52</v>
      </c>
      <c r="C154" s="2" t="s">
        <v>53</v>
      </c>
      <c r="D154" s="2" t="s">
        <v>57</v>
      </c>
      <c r="E154" s="2" t="s">
        <v>347</v>
      </c>
      <c r="F154" s="2" t="s">
        <v>42</v>
      </c>
      <c r="G154" s="2">
        <v>27</v>
      </c>
      <c r="H154" s="2" t="str" cm="1">
        <f t="array" ref="H154">_xlfn.IFS(G154&lt;30,"&lt;30",G154&lt;=40,"30-40",G154&lt;=50,"40-50",LoanData!G154&gt;50,"50+")</f>
        <v>&lt;30</v>
      </c>
      <c r="I154" s="3">
        <v>45365</v>
      </c>
      <c r="J154" s="4">
        <v>1040000</v>
      </c>
      <c r="K154" s="2">
        <v>36</v>
      </c>
      <c r="L154" s="5">
        <v>15.9</v>
      </c>
      <c r="M154" s="4">
        <v>36512</v>
      </c>
      <c r="N154" s="2">
        <v>4</v>
      </c>
      <c r="O154" s="2">
        <v>2</v>
      </c>
      <c r="P154" s="4">
        <v>73024</v>
      </c>
      <c r="Q154" s="4">
        <v>994235</v>
      </c>
      <c r="R154" s="2">
        <v>48</v>
      </c>
      <c r="S154" s="2" t="s">
        <v>47</v>
      </c>
      <c r="T154" s="4">
        <v>27259</v>
      </c>
    </row>
    <row r="155" spans="1:20" x14ac:dyDescent="0.3">
      <c r="A155" s="6" t="s">
        <v>348</v>
      </c>
      <c r="B155" s="6" t="s">
        <v>27</v>
      </c>
      <c r="C155" s="6" t="s">
        <v>28</v>
      </c>
      <c r="D155" s="6" t="s">
        <v>22</v>
      </c>
      <c r="E155" s="6" t="s">
        <v>349</v>
      </c>
      <c r="F155" s="6" t="s">
        <v>31</v>
      </c>
      <c r="G155" s="6">
        <v>31</v>
      </c>
      <c r="H155" s="2" t="str" cm="1">
        <f t="array" ref="H155">_xlfn.IFS(G155&lt;30,"&lt;30",G155&lt;=40,"30-40",G155&lt;=50,"40-50",LoanData!G155&gt;50,"50+")</f>
        <v>30-40</v>
      </c>
      <c r="I155" s="7">
        <v>45416</v>
      </c>
      <c r="J155" s="8">
        <v>1004000</v>
      </c>
      <c r="K155" s="6">
        <v>36</v>
      </c>
      <c r="L155" s="9">
        <v>13</v>
      </c>
      <c r="M155" s="8">
        <v>33829</v>
      </c>
      <c r="N155" s="6">
        <v>2</v>
      </c>
      <c r="O155" s="6">
        <v>2</v>
      </c>
      <c r="P155" s="8">
        <v>67658</v>
      </c>
      <c r="Q155" s="8">
        <v>957847</v>
      </c>
      <c r="R155" s="6">
        <v>0</v>
      </c>
      <c r="S155" s="6" t="s">
        <v>25</v>
      </c>
      <c r="T155" s="8">
        <v>21505</v>
      </c>
    </row>
    <row r="156" spans="1:20" x14ac:dyDescent="0.3">
      <c r="A156" s="2" t="s">
        <v>350</v>
      </c>
      <c r="B156" s="2" t="s">
        <v>65</v>
      </c>
      <c r="C156" s="2" t="s">
        <v>28</v>
      </c>
      <c r="D156" s="2" t="s">
        <v>57</v>
      </c>
      <c r="E156" s="2" t="s">
        <v>351</v>
      </c>
      <c r="F156" s="2" t="s">
        <v>31</v>
      </c>
      <c r="G156" s="2">
        <v>47</v>
      </c>
      <c r="H156" s="2" t="str" cm="1">
        <f t="array" ref="H156">_xlfn.IFS(G156&lt;30,"&lt;30",G156&lt;=40,"30-40",G156&lt;=50,"40-50",LoanData!G156&gt;50,"50+")</f>
        <v>40-50</v>
      </c>
      <c r="I156" s="3">
        <v>45438</v>
      </c>
      <c r="J156" s="4">
        <v>385000</v>
      </c>
      <c r="K156" s="2">
        <v>36</v>
      </c>
      <c r="L156" s="5">
        <v>13.9</v>
      </c>
      <c r="M156" s="4">
        <v>13140</v>
      </c>
      <c r="N156" s="2">
        <v>2</v>
      </c>
      <c r="O156" s="2">
        <v>2</v>
      </c>
      <c r="P156" s="4">
        <v>26280</v>
      </c>
      <c r="Q156" s="4">
        <v>367539</v>
      </c>
      <c r="R156" s="2">
        <v>0</v>
      </c>
      <c r="S156" s="2" t="s">
        <v>25</v>
      </c>
      <c r="T156" s="4">
        <v>8819</v>
      </c>
    </row>
    <row r="157" spans="1:20" x14ac:dyDescent="0.3">
      <c r="A157" s="6" t="s">
        <v>352</v>
      </c>
      <c r="B157" s="6" t="s">
        <v>20</v>
      </c>
      <c r="C157" s="6" t="s">
        <v>21</v>
      </c>
      <c r="D157" s="6" t="s">
        <v>49</v>
      </c>
      <c r="E157" s="6" t="s">
        <v>353</v>
      </c>
      <c r="F157" s="6" t="s">
        <v>31</v>
      </c>
      <c r="G157" s="6">
        <v>26</v>
      </c>
      <c r="H157" s="2" t="str" cm="1">
        <f t="array" ref="H157">_xlfn.IFS(G157&lt;30,"&lt;30",G157&lt;=40,"30-40",G157&lt;=50,"40-50",LoanData!G157&gt;50,"50+")</f>
        <v>&lt;30</v>
      </c>
      <c r="I157" s="7">
        <v>45308</v>
      </c>
      <c r="J157" s="8">
        <v>655000</v>
      </c>
      <c r="K157" s="6">
        <v>48</v>
      </c>
      <c r="L157" s="9">
        <v>12.5</v>
      </c>
      <c r="M157" s="8">
        <v>17410</v>
      </c>
      <c r="N157" s="6">
        <v>6</v>
      </c>
      <c r="O157" s="6">
        <v>6</v>
      </c>
      <c r="P157" s="8">
        <v>104460</v>
      </c>
      <c r="Q157" s="8">
        <v>589801</v>
      </c>
      <c r="R157" s="6">
        <v>0</v>
      </c>
      <c r="S157" s="6" t="s">
        <v>25</v>
      </c>
      <c r="T157" s="8">
        <v>39261</v>
      </c>
    </row>
    <row r="158" spans="1:20" x14ac:dyDescent="0.3">
      <c r="A158" s="2" t="s">
        <v>354</v>
      </c>
      <c r="B158" s="2" t="s">
        <v>65</v>
      </c>
      <c r="C158" s="2" t="s">
        <v>28</v>
      </c>
      <c r="D158" s="2" t="s">
        <v>29</v>
      </c>
      <c r="E158" s="2" t="s">
        <v>355</v>
      </c>
      <c r="F158" s="2" t="s">
        <v>24</v>
      </c>
      <c r="G158" s="2">
        <v>32</v>
      </c>
      <c r="H158" s="2" t="str" cm="1">
        <f t="array" ref="H158">_xlfn.IFS(G158&lt;30,"&lt;30",G158&lt;=40,"30-40",G158&lt;=50,"40-50",LoanData!G158&gt;50,"50+")</f>
        <v>30-40</v>
      </c>
      <c r="I158" s="3">
        <v>45306</v>
      </c>
      <c r="J158" s="4">
        <v>150000</v>
      </c>
      <c r="K158" s="2">
        <v>6</v>
      </c>
      <c r="L158" s="5">
        <v>11.9</v>
      </c>
      <c r="M158" s="4">
        <v>25875</v>
      </c>
      <c r="N158" s="2">
        <v>6</v>
      </c>
      <c r="O158" s="2">
        <v>6</v>
      </c>
      <c r="P158" s="4">
        <v>155250</v>
      </c>
      <c r="Q158" s="4">
        <v>0</v>
      </c>
      <c r="R158" s="2">
        <v>0</v>
      </c>
      <c r="S158" s="2" t="s">
        <v>25</v>
      </c>
      <c r="T158" s="4">
        <v>5250</v>
      </c>
    </row>
    <row r="159" spans="1:20" x14ac:dyDescent="0.3">
      <c r="A159" s="6" t="s">
        <v>356</v>
      </c>
      <c r="B159" s="6" t="s">
        <v>40</v>
      </c>
      <c r="C159" s="6" t="s">
        <v>34</v>
      </c>
      <c r="D159" s="6" t="s">
        <v>29</v>
      </c>
      <c r="E159" s="6" t="s">
        <v>357</v>
      </c>
      <c r="F159" s="6" t="s">
        <v>31</v>
      </c>
      <c r="G159" s="6">
        <v>32</v>
      </c>
      <c r="H159" s="2" t="str" cm="1">
        <f t="array" ref="H159">_xlfn.IFS(G159&lt;30,"&lt;30",G159&lt;=40,"30-40",G159&lt;=50,"40-50",LoanData!G159&gt;50,"50+")</f>
        <v>30-40</v>
      </c>
      <c r="I159" s="7">
        <v>45463</v>
      </c>
      <c r="J159" s="8">
        <v>161000</v>
      </c>
      <c r="K159" s="6">
        <v>24</v>
      </c>
      <c r="L159" s="9">
        <v>10.4</v>
      </c>
      <c r="M159" s="8">
        <v>7459</v>
      </c>
      <c r="N159" s="6">
        <v>1</v>
      </c>
      <c r="O159" s="6">
        <v>1</v>
      </c>
      <c r="P159" s="8">
        <v>7459</v>
      </c>
      <c r="Q159" s="8">
        <v>154936</v>
      </c>
      <c r="R159" s="6">
        <v>0</v>
      </c>
      <c r="S159" s="6" t="s">
        <v>25</v>
      </c>
      <c r="T159" s="8">
        <v>1395</v>
      </c>
    </row>
    <row r="160" spans="1:20" x14ac:dyDescent="0.3">
      <c r="A160" s="2" t="s">
        <v>358</v>
      </c>
      <c r="B160" s="2" t="s">
        <v>40</v>
      </c>
      <c r="C160" s="2" t="s">
        <v>34</v>
      </c>
      <c r="D160" s="2" t="s">
        <v>35</v>
      </c>
      <c r="E160" s="2" t="s">
        <v>359</v>
      </c>
      <c r="F160" s="2" t="s">
        <v>42</v>
      </c>
      <c r="G160" s="2">
        <v>45</v>
      </c>
      <c r="H160" s="2" t="str" cm="1">
        <f t="array" ref="H160">_xlfn.IFS(G160&lt;30,"&lt;30",G160&lt;=40,"30-40",G160&lt;=50,"40-50",LoanData!G160&gt;50,"50+")</f>
        <v>40-50</v>
      </c>
      <c r="I160" s="3">
        <v>45346</v>
      </c>
      <c r="J160" s="4">
        <v>420000</v>
      </c>
      <c r="K160" s="2">
        <v>12</v>
      </c>
      <c r="L160" s="5">
        <v>14.9</v>
      </c>
      <c r="M160" s="4">
        <v>37889</v>
      </c>
      <c r="N160" s="2">
        <v>5</v>
      </c>
      <c r="O160" s="2">
        <v>0</v>
      </c>
      <c r="P160" s="4">
        <v>0</v>
      </c>
      <c r="Q160" s="4">
        <v>420000</v>
      </c>
      <c r="R160" s="2">
        <v>233</v>
      </c>
      <c r="S160" s="2" t="s">
        <v>55</v>
      </c>
      <c r="T160" s="4">
        <v>0</v>
      </c>
    </row>
    <row r="161" spans="1:20" x14ac:dyDescent="0.3">
      <c r="A161" s="6" t="s">
        <v>360</v>
      </c>
      <c r="B161" s="6" t="s">
        <v>80</v>
      </c>
      <c r="C161" s="6" t="s">
        <v>53</v>
      </c>
      <c r="D161" s="6" t="s">
        <v>35</v>
      </c>
      <c r="E161" s="6" t="s">
        <v>361</v>
      </c>
      <c r="F161" s="6" t="s">
        <v>24</v>
      </c>
      <c r="G161" s="6">
        <v>33</v>
      </c>
      <c r="H161" s="2" t="str" cm="1">
        <f t="array" ref="H161">_xlfn.IFS(G161&lt;30,"&lt;30",G161&lt;=40,"30-40",G161&lt;=50,"40-50",LoanData!G161&gt;50,"50+")</f>
        <v>30-40</v>
      </c>
      <c r="I161" s="7">
        <v>45345</v>
      </c>
      <c r="J161" s="8">
        <v>474000</v>
      </c>
      <c r="K161" s="6">
        <v>12</v>
      </c>
      <c r="L161" s="9">
        <v>14.3</v>
      </c>
      <c r="M161" s="8">
        <v>42626</v>
      </c>
      <c r="N161" s="6">
        <v>5</v>
      </c>
      <c r="O161" s="6">
        <v>3</v>
      </c>
      <c r="P161" s="8">
        <v>127878</v>
      </c>
      <c r="Q161" s="8">
        <v>361740</v>
      </c>
      <c r="R161" s="6">
        <v>75</v>
      </c>
      <c r="S161" s="6" t="s">
        <v>47</v>
      </c>
      <c r="T161" s="8">
        <v>15618</v>
      </c>
    </row>
    <row r="162" spans="1:20" x14ac:dyDescent="0.3">
      <c r="A162" s="2" t="s">
        <v>362</v>
      </c>
      <c r="B162" s="2" t="s">
        <v>27</v>
      </c>
      <c r="C162" s="2" t="s">
        <v>28</v>
      </c>
      <c r="D162" s="2" t="s">
        <v>49</v>
      </c>
      <c r="E162" s="2" t="s">
        <v>363</v>
      </c>
      <c r="F162" s="2" t="s">
        <v>31</v>
      </c>
      <c r="G162" s="2">
        <v>30</v>
      </c>
      <c r="H162" s="2" t="str" cm="1">
        <f t="array" ref="H162">_xlfn.IFS(G162&lt;30,"&lt;30",G162&lt;=40,"30-40",G162&lt;=50,"40-50",LoanData!G162&gt;50,"50+")</f>
        <v>30-40</v>
      </c>
      <c r="I162" s="3">
        <v>45371</v>
      </c>
      <c r="J162" s="4">
        <v>661000</v>
      </c>
      <c r="K162" s="2">
        <v>36</v>
      </c>
      <c r="L162" s="5">
        <v>11.2</v>
      </c>
      <c r="M162" s="4">
        <v>21703</v>
      </c>
      <c r="N162" s="2">
        <v>4</v>
      </c>
      <c r="O162" s="2">
        <v>4</v>
      </c>
      <c r="P162" s="4">
        <v>86812</v>
      </c>
      <c r="Q162" s="4">
        <v>597990</v>
      </c>
      <c r="R162" s="2">
        <v>0</v>
      </c>
      <c r="S162" s="2" t="s">
        <v>25</v>
      </c>
      <c r="T162" s="4">
        <v>23802</v>
      </c>
    </row>
    <row r="163" spans="1:20" x14ac:dyDescent="0.3">
      <c r="A163" s="6" t="s">
        <v>364</v>
      </c>
      <c r="B163" s="6" t="s">
        <v>65</v>
      </c>
      <c r="C163" s="6" t="s">
        <v>28</v>
      </c>
      <c r="D163" s="6" t="s">
        <v>22</v>
      </c>
      <c r="E163" s="6" t="s">
        <v>365</v>
      </c>
      <c r="F163" s="6" t="s">
        <v>31</v>
      </c>
      <c r="G163" s="6">
        <v>35</v>
      </c>
      <c r="H163" s="2" t="str" cm="1">
        <f t="array" ref="H163">_xlfn.IFS(G163&lt;30,"&lt;30",G163&lt;=40,"30-40",G163&lt;=50,"40-50",LoanData!G163&gt;50,"50+")</f>
        <v>30-40</v>
      </c>
      <c r="I163" s="7">
        <v>45370</v>
      </c>
      <c r="J163" s="8">
        <v>1315000</v>
      </c>
      <c r="K163" s="6">
        <v>36</v>
      </c>
      <c r="L163" s="9">
        <v>13</v>
      </c>
      <c r="M163" s="8">
        <v>44308</v>
      </c>
      <c r="N163" s="6">
        <v>4</v>
      </c>
      <c r="O163" s="6">
        <v>0</v>
      </c>
      <c r="P163" s="8">
        <v>0</v>
      </c>
      <c r="Q163" s="8">
        <v>1315000</v>
      </c>
      <c r="R163" s="6">
        <v>146</v>
      </c>
      <c r="S163" s="6" t="s">
        <v>55</v>
      </c>
      <c r="T163" s="8">
        <v>0</v>
      </c>
    </row>
    <row r="164" spans="1:20" x14ac:dyDescent="0.3">
      <c r="A164" s="2" t="s">
        <v>366</v>
      </c>
      <c r="B164" s="2" t="s">
        <v>27</v>
      </c>
      <c r="C164" s="2" t="s">
        <v>28</v>
      </c>
      <c r="D164" s="2" t="s">
        <v>57</v>
      </c>
      <c r="E164" s="2" t="s">
        <v>367</v>
      </c>
      <c r="F164" s="2" t="s">
        <v>24</v>
      </c>
      <c r="G164" s="2">
        <v>34</v>
      </c>
      <c r="H164" s="2" t="str" cm="1">
        <f t="array" ref="H164">_xlfn.IFS(G164&lt;30,"&lt;30",G164&lt;=40,"30-40",G164&lt;=50,"40-50",LoanData!G164&gt;50,"50+")</f>
        <v>30-40</v>
      </c>
      <c r="I164" s="3">
        <v>45373</v>
      </c>
      <c r="J164" s="4">
        <v>791000</v>
      </c>
      <c r="K164" s="2">
        <v>36</v>
      </c>
      <c r="L164" s="5">
        <v>16</v>
      </c>
      <c r="M164" s="4">
        <v>27809</v>
      </c>
      <c r="N164" s="2">
        <v>4</v>
      </c>
      <c r="O164" s="2">
        <v>2</v>
      </c>
      <c r="P164" s="4">
        <v>55618</v>
      </c>
      <c r="Q164" s="4">
        <v>756245</v>
      </c>
      <c r="R164" s="2">
        <v>51</v>
      </c>
      <c r="S164" s="2" t="s">
        <v>47</v>
      </c>
      <c r="T164" s="4">
        <v>20863</v>
      </c>
    </row>
    <row r="165" spans="1:20" x14ac:dyDescent="0.3">
      <c r="A165" s="6" t="s">
        <v>368</v>
      </c>
      <c r="B165" s="6" t="s">
        <v>33</v>
      </c>
      <c r="C165" s="6" t="s">
        <v>34</v>
      </c>
      <c r="D165" s="6" t="s">
        <v>22</v>
      </c>
      <c r="E165" s="6" t="s">
        <v>369</v>
      </c>
      <c r="F165" s="6" t="s">
        <v>31</v>
      </c>
      <c r="G165" s="6">
        <v>45</v>
      </c>
      <c r="H165" s="2" t="str" cm="1">
        <f t="array" ref="H165">_xlfn.IFS(G165&lt;30,"&lt;30",G165&lt;=40,"30-40",G165&lt;=50,"40-50",LoanData!G165&gt;50,"50+")</f>
        <v>40-50</v>
      </c>
      <c r="I165" s="7">
        <v>45416</v>
      </c>
      <c r="J165" s="8">
        <v>623000</v>
      </c>
      <c r="K165" s="6">
        <v>48</v>
      </c>
      <c r="L165" s="9">
        <v>12.3</v>
      </c>
      <c r="M165" s="8">
        <v>16498</v>
      </c>
      <c r="N165" s="6">
        <v>2</v>
      </c>
      <c r="O165" s="6">
        <v>2</v>
      </c>
      <c r="P165" s="8">
        <v>32996</v>
      </c>
      <c r="Q165" s="8">
        <v>602672</v>
      </c>
      <c r="R165" s="6">
        <v>0</v>
      </c>
      <c r="S165" s="6" t="s">
        <v>25</v>
      </c>
      <c r="T165" s="8">
        <v>12668</v>
      </c>
    </row>
    <row r="166" spans="1:20" x14ac:dyDescent="0.3">
      <c r="A166" s="2" t="s">
        <v>370</v>
      </c>
      <c r="B166" s="2" t="s">
        <v>33</v>
      </c>
      <c r="C166" s="2" t="s">
        <v>34</v>
      </c>
      <c r="D166" s="2" t="s">
        <v>49</v>
      </c>
      <c r="E166" s="2" t="s">
        <v>371</v>
      </c>
      <c r="F166" s="2" t="s">
        <v>31</v>
      </c>
      <c r="G166" s="2">
        <v>43</v>
      </c>
      <c r="H166" s="2" t="str" cm="1">
        <f t="array" ref="H166">_xlfn.IFS(G166&lt;30,"&lt;30",G166&lt;=40,"30-40",G166&lt;=50,"40-50",LoanData!G166&gt;50,"50+")</f>
        <v>40-50</v>
      </c>
      <c r="I166" s="3">
        <v>45325</v>
      </c>
      <c r="J166" s="4">
        <v>389000</v>
      </c>
      <c r="K166" s="2">
        <v>36</v>
      </c>
      <c r="L166" s="5">
        <v>11.5</v>
      </c>
      <c r="M166" s="4">
        <v>12828</v>
      </c>
      <c r="N166" s="2">
        <v>5</v>
      </c>
      <c r="O166" s="2">
        <v>5</v>
      </c>
      <c r="P166" s="4">
        <v>64140</v>
      </c>
      <c r="Q166" s="4">
        <v>342621</v>
      </c>
      <c r="R166" s="2">
        <v>0</v>
      </c>
      <c r="S166" s="2" t="s">
        <v>25</v>
      </c>
      <c r="T166" s="4">
        <v>17761</v>
      </c>
    </row>
    <row r="167" spans="1:20" x14ac:dyDescent="0.3">
      <c r="A167" s="6" t="s">
        <v>372</v>
      </c>
      <c r="B167" s="6" t="s">
        <v>40</v>
      </c>
      <c r="C167" s="6" t="s">
        <v>34</v>
      </c>
      <c r="D167" s="6" t="s">
        <v>57</v>
      </c>
      <c r="E167" s="6" t="s">
        <v>373</v>
      </c>
      <c r="F167" s="6" t="s">
        <v>42</v>
      </c>
      <c r="G167" s="6">
        <v>27</v>
      </c>
      <c r="H167" s="2" t="str" cm="1">
        <f t="array" ref="H167">_xlfn.IFS(G167&lt;30,"&lt;30",G167&lt;=40,"30-40",G167&lt;=50,"40-50",LoanData!G167&gt;50,"50+")</f>
        <v>&lt;30</v>
      </c>
      <c r="I167" s="7">
        <v>45298</v>
      </c>
      <c r="J167" s="8">
        <v>616000</v>
      </c>
      <c r="K167" s="6">
        <v>24</v>
      </c>
      <c r="L167" s="9">
        <v>15</v>
      </c>
      <c r="M167" s="8">
        <v>29868</v>
      </c>
      <c r="N167" s="6">
        <v>6</v>
      </c>
      <c r="O167" s="6">
        <v>6</v>
      </c>
      <c r="P167" s="8">
        <v>179208</v>
      </c>
      <c r="Q167" s="8">
        <v>478767</v>
      </c>
      <c r="R167" s="6">
        <v>0</v>
      </c>
      <c r="S167" s="6" t="s">
        <v>25</v>
      </c>
      <c r="T167" s="8">
        <v>41975</v>
      </c>
    </row>
    <row r="168" spans="1:20" x14ac:dyDescent="0.3">
      <c r="A168" s="2" t="s">
        <v>374</v>
      </c>
      <c r="B168" s="2" t="s">
        <v>40</v>
      </c>
      <c r="C168" s="2" t="s">
        <v>34</v>
      </c>
      <c r="D168" s="2" t="s">
        <v>57</v>
      </c>
      <c r="E168" s="2" t="s">
        <v>375</v>
      </c>
      <c r="F168" s="2" t="s">
        <v>31</v>
      </c>
      <c r="G168" s="2">
        <v>44</v>
      </c>
      <c r="H168" s="2" t="str" cm="1">
        <f t="array" ref="H168">_xlfn.IFS(G168&lt;30,"&lt;30",G168&lt;=40,"30-40",G168&lt;=50,"40-50",LoanData!G168&gt;50,"50+")</f>
        <v>40-50</v>
      </c>
      <c r="I168" s="3">
        <v>45384</v>
      </c>
      <c r="J168" s="4">
        <v>1348000</v>
      </c>
      <c r="K168" s="2">
        <v>60</v>
      </c>
      <c r="L168" s="5">
        <v>13.7</v>
      </c>
      <c r="M168" s="4">
        <v>31156</v>
      </c>
      <c r="N168" s="2">
        <v>3</v>
      </c>
      <c r="O168" s="2">
        <v>3</v>
      </c>
      <c r="P168" s="4">
        <v>93468</v>
      </c>
      <c r="Q168" s="4">
        <v>1300158</v>
      </c>
      <c r="R168" s="2">
        <v>0</v>
      </c>
      <c r="S168" s="2" t="s">
        <v>25</v>
      </c>
      <c r="T168" s="4">
        <v>45626</v>
      </c>
    </row>
    <row r="169" spans="1:20" x14ac:dyDescent="0.3">
      <c r="A169" s="6" t="s">
        <v>376</v>
      </c>
      <c r="B169" s="6" t="s">
        <v>60</v>
      </c>
      <c r="C169" s="6" t="s">
        <v>21</v>
      </c>
      <c r="D169" s="6" t="s">
        <v>29</v>
      </c>
      <c r="E169" s="6" t="s">
        <v>377</v>
      </c>
      <c r="F169" s="6" t="s">
        <v>42</v>
      </c>
      <c r="G169" s="6">
        <v>35</v>
      </c>
      <c r="H169" s="2" t="str" cm="1">
        <f t="array" ref="H169">_xlfn.IFS(G169&lt;30,"&lt;30",G169&lt;=40,"30-40",G169&lt;=50,"40-50",LoanData!G169&gt;50,"50+")</f>
        <v>30-40</v>
      </c>
      <c r="I169" s="7">
        <v>45375</v>
      </c>
      <c r="J169" s="8">
        <v>205000</v>
      </c>
      <c r="K169" s="6">
        <v>12</v>
      </c>
      <c r="L169" s="9">
        <v>10.199999999999999</v>
      </c>
      <c r="M169" s="8">
        <v>18042</v>
      </c>
      <c r="N169" s="6">
        <v>4</v>
      </c>
      <c r="O169" s="6">
        <v>4</v>
      </c>
      <c r="P169" s="8">
        <v>72168</v>
      </c>
      <c r="Q169" s="8">
        <v>138967</v>
      </c>
      <c r="R169" s="6">
        <v>0</v>
      </c>
      <c r="S169" s="6" t="s">
        <v>25</v>
      </c>
      <c r="T169" s="8">
        <v>6135</v>
      </c>
    </row>
    <row r="170" spans="1:20" x14ac:dyDescent="0.3">
      <c r="A170" s="2" t="s">
        <v>378</v>
      </c>
      <c r="B170" s="2" t="s">
        <v>20</v>
      </c>
      <c r="C170" s="2" t="s">
        <v>21</v>
      </c>
      <c r="D170" s="2" t="s">
        <v>35</v>
      </c>
      <c r="E170" s="2" t="s">
        <v>379</v>
      </c>
      <c r="F170" s="2" t="s">
        <v>24</v>
      </c>
      <c r="G170" s="2">
        <v>34</v>
      </c>
      <c r="H170" s="2" t="str" cm="1">
        <f t="array" ref="H170">_xlfn.IFS(G170&lt;30,"&lt;30",G170&lt;=40,"30-40",G170&lt;=50,"40-50",LoanData!G170&gt;50,"50+")</f>
        <v>30-40</v>
      </c>
      <c r="I170" s="3">
        <v>45407</v>
      </c>
      <c r="J170" s="4">
        <v>459000</v>
      </c>
      <c r="K170" s="2">
        <v>36</v>
      </c>
      <c r="L170" s="5">
        <v>14.4</v>
      </c>
      <c r="M170" s="4">
        <v>15777</v>
      </c>
      <c r="N170" s="2">
        <v>3</v>
      </c>
      <c r="O170" s="2">
        <v>3</v>
      </c>
      <c r="P170" s="4">
        <v>47331</v>
      </c>
      <c r="Q170" s="4">
        <v>427822</v>
      </c>
      <c r="R170" s="2">
        <v>0</v>
      </c>
      <c r="S170" s="2" t="s">
        <v>25</v>
      </c>
      <c r="T170" s="4">
        <v>16153</v>
      </c>
    </row>
    <row r="171" spans="1:20" x14ac:dyDescent="0.3">
      <c r="A171" s="6" t="s">
        <v>380</v>
      </c>
      <c r="B171" s="6" t="s">
        <v>27</v>
      </c>
      <c r="C171" s="6" t="s">
        <v>28</v>
      </c>
      <c r="D171" s="6" t="s">
        <v>49</v>
      </c>
      <c r="E171" s="6" t="s">
        <v>381</v>
      </c>
      <c r="F171" s="6" t="s">
        <v>42</v>
      </c>
      <c r="G171" s="6">
        <v>33</v>
      </c>
      <c r="H171" s="2" t="str" cm="1">
        <f t="array" ref="H171">_xlfn.IFS(G171&lt;30,"&lt;30",G171&lt;=40,"30-40",G171&lt;=50,"40-50",LoanData!G171&gt;50,"50+")</f>
        <v>30-40</v>
      </c>
      <c r="I171" s="7">
        <v>45397</v>
      </c>
      <c r="J171" s="8">
        <v>475000</v>
      </c>
      <c r="K171" s="6">
        <v>48</v>
      </c>
      <c r="L171" s="9">
        <v>13.2</v>
      </c>
      <c r="M171" s="8">
        <v>12790</v>
      </c>
      <c r="N171" s="6">
        <v>3</v>
      </c>
      <c r="O171" s="6">
        <v>3</v>
      </c>
      <c r="P171" s="8">
        <v>38370</v>
      </c>
      <c r="Q171" s="8">
        <v>452054</v>
      </c>
      <c r="R171" s="6">
        <v>0</v>
      </c>
      <c r="S171" s="6" t="s">
        <v>25</v>
      </c>
      <c r="T171" s="8">
        <v>15424</v>
      </c>
    </row>
    <row r="172" spans="1:20" x14ac:dyDescent="0.3">
      <c r="A172" s="2" t="s">
        <v>382</v>
      </c>
      <c r="B172" s="2" t="s">
        <v>52</v>
      </c>
      <c r="C172" s="2" t="s">
        <v>53</v>
      </c>
      <c r="D172" s="2" t="s">
        <v>49</v>
      </c>
      <c r="E172" s="2" t="s">
        <v>383</v>
      </c>
      <c r="F172" s="2" t="s">
        <v>31</v>
      </c>
      <c r="G172" s="2">
        <v>41</v>
      </c>
      <c r="H172" s="2" t="str" cm="1">
        <f t="array" ref="H172">_xlfn.IFS(G172&lt;30,"&lt;30",G172&lt;=40,"30-40",G172&lt;=50,"40-50",LoanData!G172&gt;50,"50+")</f>
        <v>40-50</v>
      </c>
      <c r="I172" s="3">
        <v>45377</v>
      </c>
      <c r="J172" s="4">
        <v>598000</v>
      </c>
      <c r="K172" s="2">
        <v>24</v>
      </c>
      <c r="L172" s="5">
        <v>11.8</v>
      </c>
      <c r="M172" s="4">
        <v>28094</v>
      </c>
      <c r="N172" s="2">
        <v>4</v>
      </c>
      <c r="O172" s="2">
        <v>0</v>
      </c>
      <c r="P172" s="4">
        <v>0</v>
      </c>
      <c r="Q172" s="4">
        <v>598000</v>
      </c>
      <c r="R172" s="2">
        <v>218</v>
      </c>
      <c r="S172" s="2" t="s">
        <v>55</v>
      </c>
      <c r="T172" s="4">
        <v>0</v>
      </c>
    </row>
    <row r="173" spans="1:20" x14ac:dyDescent="0.3">
      <c r="A173" s="6" t="s">
        <v>384</v>
      </c>
      <c r="B173" s="6" t="s">
        <v>27</v>
      </c>
      <c r="C173" s="6" t="s">
        <v>28</v>
      </c>
      <c r="D173" s="6" t="s">
        <v>35</v>
      </c>
      <c r="E173" s="6" t="s">
        <v>385</v>
      </c>
      <c r="F173" s="6" t="s">
        <v>24</v>
      </c>
      <c r="G173" s="6">
        <v>57</v>
      </c>
      <c r="H173" s="2" t="str" cm="1">
        <f t="array" ref="H173">_xlfn.IFS(G173&lt;30,"&lt;30",G173&lt;=40,"30-40",G173&lt;=50,"40-50",LoanData!G173&gt;50,"50+")</f>
        <v>50+</v>
      </c>
      <c r="I173" s="7">
        <v>45305</v>
      </c>
      <c r="J173" s="8">
        <v>88000</v>
      </c>
      <c r="K173" s="6">
        <v>36</v>
      </c>
      <c r="L173" s="9">
        <v>16.899999999999999</v>
      </c>
      <c r="M173" s="8">
        <v>3133</v>
      </c>
      <c r="N173" s="6">
        <v>6</v>
      </c>
      <c r="O173" s="6">
        <v>0</v>
      </c>
      <c r="P173" s="8">
        <v>0</v>
      </c>
      <c r="Q173" s="8">
        <v>88000</v>
      </c>
      <c r="R173" s="6">
        <v>193</v>
      </c>
      <c r="S173" s="6" t="s">
        <v>55</v>
      </c>
      <c r="T173" s="8">
        <v>0</v>
      </c>
    </row>
    <row r="174" spans="1:20" x14ac:dyDescent="0.3">
      <c r="A174" s="2" t="s">
        <v>386</v>
      </c>
      <c r="B174" s="2" t="s">
        <v>52</v>
      </c>
      <c r="C174" s="2" t="s">
        <v>53</v>
      </c>
      <c r="D174" s="2" t="s">
        <v>29</v>
      </c>
      <c r="E174" s="2" t="s">
        <v>387</v>
      </c>
      <c r="F174" s="2" t="s">
        <v>31</v>
      </c>
      <c r="G174" s="2">
        <v>28</v>
      </c>
      <c r="H174" s="2" t="str" cm="1">
        <f t="array" ref="H174">_xlfn.IFS(G174&lt;30,"&lt;30",G174&lt;=40,"30-40",G174&lt;=50,"40-50",LoanData!G174&gt;50,"50+")</f>
        <v>&lt;30</v>
      </c>
      <c r="I174" s="3">
        <v>45458</v>
      </c>
      <c r="J174" s="4">
        <v>208000</v>
      </c>
      <c r="K174" s="2">
        <v>6</v>
      </c>
      <c r="L174" s="5">
        <v>10.6</v>
      </c>
      <c r="M174" s="4">
        <v>35746</v>
      </c>
      <c r="N174" s="2">
        <v>1</v>
      </c>
      <c r="O174" s="2">
        <v>1</v>
      </c>
      <c r="P174" s="4">
        <v>35746</v>
      </c>
      <c r="Q174" s="4">
        <v>174091</v>
      </c>
      <c r="R174" s="2">
        <v>0</v>
      </c>
      <c r="S174" s="2" t="s">
        <v>25</v>
      </c>
      <c r="T174" s="4">
        <v>1837</v>
      </c>
    </row>
    <row r="175" spans="1:20" x14ac:dyDescent="0.3">
      <c r="A175" s="6" t="s">
        <v>388</v>
      </c>
      <c r="B175" s="6" t="s">
        <v>33</v>
      </c>
      <c r="C175" s="6" t="s">
        <v>34</v>
      </c>
      <c r="D175" s="6" t="s">
        <v>49</v>
      </c>
      <c r="E175" s="6" t="s">
        <v>389</v>
      </c>
      <c r="F175" s="6" t="s">
        <v>31</v>
      </c>
      <c r="G175" s="6">
        <v>40</v>
      </c>
      <c r="H175" s="2" t="str" cm="1">
        <f t="array" ref="H175">_xlfn.IFS(G175&lt;30,"&lt;30",G175&lt;=40,"30-40",G175&lt;=50,"40-50",LoanData!G175&gt;50,"50+")</f>
        <v>30-40</v>
      </c>
      <c r="I175" s="7">
        <v>45333</v>
      </c>
      <c r="J175" s="8">
        <v>425000</v>
      </c>
      <c r="K175" s="6">
        <v>36</v>
      </c>
      <c r="L175" s="9">
        <v>11.2</v>
      </c>
      <c r="M175" s="8">
        <v>13954</v>
      </c>
      <c r="N175" s="6">
        <v>5</v>
      </c>
      <c r="O175" s="6">
        <v>5</v>
      </c>
      <c r="P175" s="8">
        <v>69770</v>
      </c>
      <c r="Q175" s="8">
        <v>374121</v>
      </c>
      <c r="R175" s="6">
        <v>0</v>
      </c>
      <c r="S175" s="6" t="s">
        <v>25</v>
      </c>
      <c r="T175" s="8">
        <v>18891</v>
      </c>
    </row>
    <row r="176" spans="1:20" x14ac:dyDescent="0.3">
      <c r="A176" s="2" t="s">
        <v>390</v>
      </c>
      <c r="B176" s="2" t="s">
        <v>80</v>
      </c>
      <c r="C176" s="2" t="s">
        <v>53</v>
      </c>
      <c r="D176" s="2" t="s">
        <v>29</v>
      </c>
      <c r="E176" s="2" t="s">
        <v>391</v>
      </c>
      <c r="F176" s="2" t="s">
        <v>42</v>
      </c>
      <c r="G176" s="2">
        <v>32</v>
      </c>
      <c r="H176" s="2" t="str" cm="1">
        <f t="array" ref="H176">_xlfn.IFS(G176&lt;30,"&lt;30",G176&lt;=40,"30-40",G176&lt;=50,"40-50",LoanData!G176&gt;50,"50+")</f>
        <v>30-40</v>
      </c>
      <c r="I176" s="3">
        <v>45453</v>
      </c>
      <c r="J176" s="4">
        <v>115000</v>
      </c>
      <c r="K176" s="2">
        <v>12</v>
      </c>
      <c r="L176" s="5">
        <v>11.4</v>
      </c>
      <c r="M176" s="4">
        <v>10185</v>
      </c>
      <c r="N176" s="2">
        <v>1</v>
      </c>
      <c r="O176" s="2">
        <v>1</v>
      </c>
      <c r="P176" s="4">
        <v>10185</v>
      </c>
      <c r="Q176" s="4">
        <v>105907</v>
      </c>
      <c r="R176" s="2">
        <v>0</v>
      </c>
      <c r="S176" s="2" t="s">
        <v>25</v>
      </c>
      <c r="T176" s="4">
        <v>1092</v>
      </c>
    </row>
    <row r="177" spans="1:20" x14ac:dyDescent="0.3">
      <c r="A177" s="6" t="s">
        <v>392</v>
      </c>
      <c r="B177" s="6" t="s">
        <v>40</v>
      </c>
      <c r="C177" s="6" t="s">
        <v>34</v>
      </c>
      <c r="D177" s="6" t="s">
        <v>57</v>
      </c>
      <c r="E177" s="6" t="s">
        <v>393</v>
      </c>
      <c r="F177" s="6" t="s">
        <v>24</v>
      </c>
      <c r="G177" s="6">
        <v>29</v>
      </c>
      <c r="H177" s="2" t="str" cm="1">
        <f t="array" ref="H177">_xlfn.IFS(G177&lt;30,"&lt;30",G177&lt;=40,"30-40",G177&lt;=50,"40-50",LoanData!G177&gt;50,"50+")</f>
        <v>&lt;30</v>
      </c>
      <c r="I177" s="7">
        <v>45393</v>
      </c>
      <c r="J177" s="8">
        <v>1705000</v>
      </c>
      <c r="K177" s="6">
        <v>36</v>
      </c>
      <c r="L177" s="9">
        <v>14.3</v>
      </c>
      <c r="M177" s="8">
        <v>58522</v>
      </c>
      <c r="N177" s="6">
        <v>3</v>
      </c>
      <c r="O177" s="6">
        <v>2</v>
      </c>
      <c r="P177" s="8">
        <v>117044</v>
      </c>
      <c r="Q177" s="8">
        <v>1628137</v>
      </c>
      <c r="R177" s="6">
        <v>8</v>
      </c>
      <c r="S177" s="6" t="s">
        <v>47</v>
      </c>
      <c r="T177" s="8">
        <v>40181</v>
      </c>
    </row>
    <row r="178" spans="1:20" x14ac:dyDescent="0.3">
      <c r="A178" s="2" t="s">
        <v>394</v>
      </c>
      <c r="B178" s="2" t="s">
        <v>80</v>
      </c>
      <c r="C178" s="2" t="s">
        <v>53</v>
      </c>
      <c r="D178" s="2" t="s">
        <v>22</v>
      </c>
      <c r="E178" s="2" t="s">
        <v>395</v>
      </c>
      <c r="F178" s="2" t="s">
        <v>24</v>
      </c>
      <c r="G178" s="2">
        <v>57</v>
      </c>
      <c r="H178" s="2" t="str" cm="1">
        <f t="array" ref="H178">_xlfn.IFS(G178&lt;30,"&lt;30",G178&lt;=40,"30-40",G178&lt;=50,"40-50",LoanData!G178&gt;50,"50+")</f>
        <v>50+</v>
      </c>
      <c r="I178" s="3">
        <v>45453</v>
      </c>
      <c r="J178" s="4">
        <v>780000</v>
      </c>
      <c r="K178" s="2">
        <v>24</v>
      </c>
      <c r="L178" s="5">
        <v>11.5</v>
      </c>
      <c r="M178" s="4">
        <v>36535</v>
      </c>
      <c r="N178" s="2">
        <v>1</v>
      </c>
      <c r="O178" s="2">
        <v>1</v>
      </c>
      <c r="P178" s="4">
        <v>36535</v>
      </c>
      <c r="Q178" s="4">
        <v>750940</v>
      </c>
      <c r="R178" s="2">
        <v>0</v>
      </c>
      <c r="S178" s="2" t="s">
        <v>25</v>
      </c>
      <c r="T178" s="4">
        <v>7475</v>
      </c>
    </row>
    <row r="179" spans="1:20" x14ac:dyDescent="0.3">
      <c r="A179" s="6" t="s">
        <v>396</v>
      </c>
      <c r="B179" s="6" t="s">
        <v>27</v>
      </c>
      <c r="C179" s="6" t="s">
        <v>28</v>
      </c>
      <c r="D179" s="6" t="s">
        <v>49</v>
      </c>
      <c r="E179" s="6" t="s">
        <v>397</v>
      </c>
      <c r="F179" s="6" t="s">
        <v>31</v>
      </c>
      <c r="G179" s="6">
        <v>24</v>
      </c>
      <c r="H179" s="2" t="str" cm="1">
        <f t="array" ref="H179">_xlfn.IFS(G179&lt;30,"&lt;30",G179&lt;=40,"30-40",G179&lt;=50,"40-50",LoanData!G179&gt;50,"50+")</f>
        <v>&lt;30</v>
      </c>
      <c r="I179" s="7">
        <v>45306</v>
      </c>
      <c r="J179" s="8">
        <v>454000</v>
      </c>
      <c r="K179" s="6">
        <v>48</v>
      </c>
      <c r="L179" s="9">
        <v>11.6</v>
      </c>
      <c r="M179" s="8">
        <v>11867</v>
      </c>
      <c r="N179" s="6">
        <v>6</v>
      </c>
      <c r="O179" s="6">
        <v>6</v>
      </c>
      <c r="P179" s="8">
        <v>71202</v>
      </c>
      <c r="Q179" s="8">
        <v>408034</v>
      </c>
      <c r="R179" s="6">
        <v>0</v>
      </c>
      <c r="S179" s="6" t="s">
        <v>25</v>
      </c>
      <c r="T179" s="8">
        <v>25236</v>
      </c>
    </row>
    <row r="180" spans="1:20" x14ac:dyDescent="0.3">
      <c r="A180" s="2" t="s">
        <v>398</v>
      </c>
      <c r="B180" s="2" t="s">
        <v>52</v>
      </c>
      <c r="C180" s="2" t="s">
        <v>53</v>
      </c>
      <c r="D180" s="2" t="s">
        <v>35</v>
      </c>
      <c r="E180" s="2" t="s">
        <v>399</v>
      </c>
      <c r="F180" s="2" t="s">
        <v>31</v>
      </c>
      <c r="G180" s="2">
        <v>56</v>
      </c>
      <c r="H180" s="2" t="str" cm="1">
        <f t="array" ref="H180">_xlfn.IFS(G180&lt;30,"&lt;30",G180&lt;=40,"30-40",G180&lt;=50,"40-50",LoanData!G180&gt;50,"50+")</f>
        <v>50+</v>
      </c>
      <c r="I180" s="3">
        <v>45359</v>
      </c>
      <c r="J180" s="4">
        <v>495000</v>
      </c>
      <c r="K180" s="2">
        <v>36</v>
      </c>
      <c r="L180" s="5">
        <v>17</v>
      </c>
      <c r="M180" s="4">
        <v>17648</v>
      </c>
      <c r="N180" s="2">
        <v>4</v>
      </c>
      <c r="O180" s="2">
        <v>4</v>
      </c>
      <c r="P180" s="4">
        <v>70592</v>
      </c>
      <c r="Q180" s="4">
        <v>451545</v>
      </c>
      <c r="R180" s="2">
        <v>0</v>
      </c>
      <c r="S180" s="2" t="s">
        <v>25</v>
      </c>
      <c r="T180" s="4">
        <v>27137</v>
      </c>
    </row>
    <row r="181" spans="1:20" x14ac:dyDescent="0.3">
      <c r="A181" s="6" t="s">
        <v>400</v>
      </c>
      <c r="B181" s="6" t="s">
        <v>60</v>
      </c>
      <c r="C181" s="6" t="s">
        <v>21</v>
      </c>
      <c r="D181" s="6" t="s">
        <v>35</v>
      </c>
      <c r="E181" s="6" t="s">
        <v>401</v>
      </c>
      <c r="F181" s="6" t="s">
        <v>42</v>
      </c>
      <c r="G181" s="6">
        <v>48</v>
      </c>
      <c r="H181" s="2" t="str" cm="1">
        <f t="array" ref="H181">_xlfn.IFS(G181&lt;30,"&lt;30",G181&lt;=40,"30-40",G181&lt;=50,"40-50",LoanData!G181&gt;50,"50+")</f>
        <v>40-50</v>
      </c>
      <c r="I181" s="7">
        <v>45410</v>
      </c>
      <c r="J181" s="8">
        <v>278000</v>
      </c>
      <c r="K181" s="6">
        <v>24</v>
      </c>
      <c r="L181" s="9">
        <v>14.7</v>
      </c>
      <c r="M181" s="8">
        <v>13440</v>
      </c>
      <c r="N181" s="6">
        <v>3</v>
      </c>
      <c r="O181" s="6">
        <v>0</v>
      </c>
      <c r="P181" s="8">
        <v>0</v>
      </c>
      <c r="Q181" s="8">
        <v>278000</v>
      </c>
      <c r="R181" s="6">
        <v>135</v>
      </c>
      <c r="S181" s="6" t="s">
        <v>55</v>
      </c>
      <c r="T181" s="8">
        <v>0</v>
      </c>
    </row>
    <row r="182" spans="1:20" x14ac:dyDescent="0.3">
      <c r="A182" s="2" t="s">
        <v>402</v>
      </c>
      <c r="B182" s="2" t="s">
        <v>65</v>
      </c>
      <c r="C182" s="2" t="s">
        <v>28</v>
      </c>
      <c r="D182" s="2" t="s">
        <v>57</v>
      </c>
      <c r="E182" s="2" t="s">
        <v>403</v>
      </c>
      <c r="F182" s="2" t="s">
        <v>31</v>
      </c>
      <c r="G182" s="2">
        <v>46</v>
      </c>
      <c r="H182" s="2" t="str" cm="1">
        <f t="array" ref="H182">_xlfn.IFS(G182&lt;30,"&lt;30",G182&lt;=40,"30-40",G182&lt;=50,"40-50",LoanData!G182&gt;50,"50+")</f>
        <v>40-50</v>
      </c>
      <c r="I182" s="3">
        <v>45416</v>
      </c>
      <c r="J182" s="4">
        <v>1177000</v>
      </c>
      <c r="K182" s="2">
        <v>60</v>
      </c>
      <c r="L182" s="5">
        <v>15</v>
      </c>
      <c r="M182" s="4">
        <v>28001</v>
      </c>
      <c r="N182" s="2">
        <v>2</v>
      </c>
      <c r="O182" s="2">
        <v>2</v>
      </c>
      <c r="P182" s="4">
        <v>56002</v>
      </c>
      <c r="Q182" s="4">
        <v>1150257</v>
      </c>
      <c r="R182" s="2">
        <v>0</v>
      </c>
      <c r="S182" s="2" t="s">
        <v>25</v>
      </c>
      <c r="T182" s="4">
        <v>29259</v>
      </c>
    </row>
    <row r="183" spans="1:20" x14ac:dyDescent="0.3">
      <c r="A183" s="6" t="s">
        <v>404</v>
      </c>
      <c r="B183" s="6" t="s">
        <v>60</v>
      </c>
      <c r="C183" s="6" t="s">
        <v>21</v>
      </c>
      <c r="D183" s="6" t="s">
        <v>22</v>
      </c>
      <c r="E183" s="6" t="s">
        <v>405</v>
      </c>
      <c r="F183" s="6" t="s">
        <v>24</v>
      </c>
      <c r="G183" s="6">
        <v>26</v>
      </c>
      <c r="H183" s="2" t="str" cm="1">
        <f t="array" ref="H183">_xlfn.IFS(G183&lt;30,"&lt;30",G183&lt;=40,"30-40",G183&lt;=50,"40-50",LoanData!G183&gt;50,"50+")</f>
        <v>&lt;30</v>
      </c>
      <c r="I183" s="7">
        <v>45444</v>
      </c>
      <c r="J183" s="8">
        <v>476000</v>
      </c>
      <c r="K183" s="6">
        <v>48</v>
      </c>
      <c r="L183" s="9">
        <v>11.2</v>
      </c>
      <c r="M183" s="8">
        <v>12349</v>
      </c>
      <c r="N183" s="6">
        <v>1</v>
      </c>
      <c r="O183" s="6">
        <v>1</v>
      </c>
      <c r="P183" s="8">
        <v>12349</v>
      </c>
      <c r="Q183" s="8">
        <v>468094</v>
      </c>
      <c r="R183" s="6">
        <v>0</v>
      </c>
      <c r="S183" s="6" t="s">
        <v>25</v>
      </c>
      <c r="T183" s="8">
        <v>4443</v>
      </c>
    </row>
    <row r="184" spans="1:20" x14ac:dyDescent="0.3">
      <c r="A184" s="2" t="s">
        <v>406</v>
      </c>
      <c r="B184" s="2" t="s">
        <v>20</v>
      </c>
      <c r="C184" s="2" t="s">
        <v>21</v>
      </c>
      <c r="D184" s="2" t="s">
        <v>49</v>
      </c>
      <c r="E184" s="2" t="s">
        <v>407</v>
      </c>
      <c r="F184" s="2" t="s">
        <v>24</v>
      </c>
      <c r="G184" s="2">
        <v>46</v>
      </c>
      <c r="H184" s="2" t="str" cm="1">
        <f t="array" ref="H184">_xlfn.IFS(G184&lt;30,"&lt;30",G184&lt;=40,"30-40",G184&lt;=50,"40-50",LoanData!G184&gt;50,"50+")</f>
        <v>40-50</v>
      </c>
      <c r="I184" s="3">
        <v>45333</v>
      </c>
      <c r="J184" s="4">
        <v>360000</v>
      </c>
      <c r="K184" s="2">
        <v>60</v>
      </c>
      <c r="L184" s="5">
        <v>11.5</v>
      </c>
      <c r="M184" s="4">
        <v>7917</v>
      </c>
      <c r="N184" s="2">
        <v>5</v>
      </c>
      <c r="O184" s="2">
        <v>4</v>
      </c>
      <c r="P184" s="4">
        <v>31668</v>
      </c>
      <c r="Q184" s="4">
        <v>341872</v>
      </c>
      <c r="R184" s="2">
        <v>18</v>
      </c>
      <c r="S184" s="2" t="s">
        <v>47</v>
      </c>
      <c r="T184" s="4">
        <v>13540</v>
      </c>
    </row>
    <row r="185" spans="1:20" x14ac:dyDescent="0.3">
      <c r="A185" s="6" t="s">
        <v>408</v>
      </c>
      <c r="B185" s="6" t="s">
        <v>40</v>
      </c>
      <c r="C185" s="6" t="s">
        <v>34</v>
      </c>
      <c r="D185" s="6" t="s">
        <v>22</v>
      </c>
      <c r="E185" s="6" t="s">
        <v>409</v>
      </c>
      <c r="F185" s="6" t="s">
        <v>42</v>
      </c>
      <c r="G185" s="6">
        <v>30</v>
      </c>
      <c r="H185" s="2" t="str" cm="1">
        <f t="array" ref="H185">_xlfn.IFS(G185&lt;30,"&lt;30",G185&lt;=40,"30-40",G185&lt;=50,"40-50",LoanData!G185&gt;50,"50+")</f>
        <v>30-40</v>
      </c>
      <c r="I185" s="7">
        <v>45404</v>
      </c>
      <c r="J185" s="8">
        <v>1480000</v>
      </c>
      <c r="K185" s="6">
        <v>48</v>
      </c>
      <c r="L185" s="9">
        <v>10.3</v>
      </c>
      <c r="M185" s="8">
        <v>37750</v>
      </c>
      <c r="N185" s="6">
        <v>3</v>
      </c>
      <c r="O185" s="6">
        <v>3</v>
      </c>
      <c r="P185" s="8">
        <v>113250</v>
      </c>
      <c r="Q185" s="8">
        <v>1404213</v>
      </c>
      <c r="R185" s="6">
        <v>0</v>
      </c>
      <c r="S185" s="6" t="s">
        <v>25</v>
      </c>
      <c r="T185" s="8">
        <v>37463</v>
      </c>
    </row>
    <row r="186" spans="1:20" x14ac:dyDescent="0.3">
      <c r="A186" s="2" t="s">
        <v>410</v>
      </c>
      <c r="B186" s="2" t="s">
        <v>40</v>
      </c>
      <c r="C186" s="2" t="s">
        <v>34</v>
      </c>
      <c r="D186" s="2" t="s">
        <v>35</v>
      </c>
      <c r="E186" s="2" t="s">
        <v>411</v>
      </c>
      <c r="F186" s="2" t="s">
        <v>42</v>
      </c>
      <c r="G186" s="2">
        <v>42</v>
      </c>
      <c r="H186" s="2" t="str" cm="1">
        <f t="array" ref="H186">_xlfn.IFS(G186&lt;30,"&lt;30",G186&lt;=40,"30-40",G186&lt;=50,"40-50",LoanData!G186&gt;50,"50+")</f>
        <v>40-50</v>
      </c>
      <c r="I186" s="3">
        <v>45303</v>
      </c>
      <c r="J186" s="4">
        <v>174000</v>
      </c>
      <c r="K186" s="2">
        <v>12</v>
      </c>
      <c r="L186" s="5">
        <v>16.399999999999999</v>
      </c>
      <c r="M186" s="4">
        <v>15820</v>
      </c>
      <c r="N186" s="2">
        <v>6</v>
      </c>
      <c r="O186" s="2">
        <v>3</v>
      </c>
      <c r="P186" s="4">
        <v>47460</v>
      </c>
      <c r="Q186" s="4">
        <v>133120</v>
      </c>
      <c r="R186" s="2">
        <v>76</v>
      </c>
      <c r="S186" s="2" t="s">
        <v>47</v>
      </c>
      <c r="T186" s="4">
        <v>6580</v>
      </c>
    </row>
    <row r="187" spans="1:20" x14ac:dyDescent="0.3">
      <c r="A187" s="6" t="s">
        <v>412</v>
      </c>
      <c r="B187" s="6" t="s">
        <v>80</v>
      </c>
      <c r="C187" s="6" t="s">
        <v>53</v>
      </c>
      <c r="D187" s="6" t="s">
        <v>35</v>
      </c>
      <c r="E187" s="6" t="s">
        <v>413</v>
      </c>
      <c r="F187" s="6" t="s">
        <v>24</v>
      </c>
      <c r="G187" s="6">
        <v>27</v>
      </c>
      <c r="H187" s="2" t="str" cm="1">
        <f t="array" ref="H187">_xlfn.IFS(G187&lt;30,"&lt;30",G187&lt;=40,"30-40",G187&lt;=50,"40-50",LoanData!G187&gt;50,"50+")</f>
        <v>&lt;30</v>
      </c>
      <c r="I187" s="7">
        <v>45307</v>
      </c>
      <c r="J187" s="8">
        <v>450000</v>
      </c>
      <c r="K187" s="6">
        <v>24</v>
      </c>
      <c r="L187" s="9">
        <v>14.4</v>
      </c>
      <c r="M187" s="8">
        <v>21691</v>
      </c>
      <c r="N187" s="6">
        <v>6</v>
      </c>
      <c r="O187" s="6">
        <v>5</v>
      </c>
      <c r="P187" s="8">
        <v>108455</v>
      </c>
      <c r="Q187" s="8">
        <v>366567</v>
      </c>
      <c r="R187" s="6">
        <v>28</v>
      </c>
      <c r="S187" s="6" t="s">
        <v>47</v>
      </c>
      <c r="T187" s="8">
        <v>25022</v>
      </c>
    </row>
    <row r="188" spans="1:20" x14ac:dyDescent="0.3">
      <c r="A188" s="2" t="s">
        <v>414</v>
      </c>
      <c r="B188" s="2" t="s">
        <v>27</v>
      </c>
      <c r="C188" s="2" t="s">
        <v>28</v>
      </c>
      <c r="D188" s="2" t="s">
        <v>49</v>
      </c>
      <c r="E188" s="2" t="s">
        <v>415</v>
      </c>
      <c r="F188" s="2" t="s">
        <v>24</v>
      </c>
      <c r="G188" s="2">
        <v>41</v>
      </c>
      <c r="H188" s="2" t="str" cm="1">
        <f t="array" ref="H188">_xlfn.IFS(G188&lt;30,"&lt;30",G188&lt;=40,"30-40",G188&lt;=50,"40-50",LoanData!G188&gt;50,"50+")</f>
        <v>40-50</v>
      </c>
      <c r="I188" s="3">
        <v>45378</v>
      </c>
      <c r="J188" s="4">
        <v>671000</v>
      </c>
      <c r="K188" s="2">
        <v>36</v>
      </c>
      <c r="L188" s="5">
        <v>13.4</v>
      </c>
      <c r="M188" s="4">
        <v>22738</v>
      </c>
      <c r="N188" s="2">
        <v>4</v>
      </c>
      <c r="O188" s="2">
        <v>0</v>
      </c>
      <c r="P188" s="4">
        <v>0</v>
      </c>
      <c r="Q188" s="4">
        <v>671000</v>
      </c>
      <c r="R188" s="2">
        <v>213</v>
      </c>
      <c r="S188" s="2" t="s">
        <v>55</v>
      </c>
      <c r="T188" s="4">
        <v>0</v>
      </c>
    </row>
    <row r="189" spans="1:20" x14ac:dyDescent="0.3">
      <c r="A189" s="6" t="s">
        <v>416</v>
      </c>
      <c r="B189" s="6" t="s">
        <v>52</v>
      </c>
      <c r="C189" s="6" t="s">
        <v>53</v>
      </c>
      <c r="D189" s="6" t="s">
        <v>57</v>
      </c>
      <c r="E189" s="6" t="s">
        <v>417</v>
      </c>
      <c r="F189" s="6" t="s">
        <v>31</v>
      </c>
      <c r="G189" s="6">
        <v>56</v>
      </c>
      <c r="H189" s="2" t="str" cm="1">
        <f t="array" ref="H189">_xlfn.IFS(G189&lt;30,"&lt;30",G189&lt;=40,"30-40",G189&lt;=50,"40-50",LoanData!G189&gt;50,"50+")</f>
        <v>50+</v>
      </c>
      <c r="I189" s="7">
        <v>45363</v>
      </c>
      <c r="J189" s="8">
        <v>697000</v>
      </c>
      <c r="K189" s="6">
        <v>48</v>
      </c>
      <c r="L189" s="9">
        <v>13.5</v>
      </c>
      <c r="M189" s="8">
        <v>18872</v>
      </c>
      <c r="N189" s="6">
        <v>4</v>
      </c>
      <c r="O189" s="6">
        <v>4</v>
      </c>
      <c r="P189" s="8">
        <v>75488</v>
      </c>
      <c r="Q189" s="8">
        <v>652126</v>
      </c>
      <c r="R189" s="6">
        <v>0</v>
      </c>
      <c r="S189" s="6" t="s">
        <v>25</v>
      </c>
      <c r="T189" s="8">
        <v>30614</v>
      </c>
    </row>
    <row r="190" spans="1:20" x14ac:dyDescent="0.3">
      <c r="A190" s="2" t="s">
        <v>418</v>
      </c>
      <c r="B190" s="2" t="s">
        <v>60</v>
      </c>
      <c r="C190" s="2" t="s">
        <v>21</v>
      </c>
      <c r="D190" s="2" t="s">
        <v>29</v>
      </c>
      <c r="E190" s="2" t="s">
        <v>419</v>
      </c>
      <c r="F190" s="2" t="s">
        <v>31</v>
      </c>
      <c r="G190" s="2">
        <v>51</v>
      </c>
      <c r="H190" s="2" t="str" cm="1">
        <f t="array" ref="H190">_xlfn.IFS(G190&lt;30,"&lt;30",G190&lt;=40,"30-40",G190&lt;=50,"40-50",LoanData!G190&gt;50,"50+")</f>
        <v>50+</v>
      </c>
      <c r="I190" s="3">
        <v>45449</v>
      </c>
      <c r="J190" s="4">
        <v>262000</v>
      </c>
      <c r="K190" s="2">
        <v>12</v>
      </c>
      <c r="L190" s="5">
        <v>11.8</v>
      </c>
      <c r="M190" s="4">
        <v>23254</v>
      </c>
      <c r="N190" s="2">
        <v>1</v>
      </c>
      <c r="O190" s="2">
        <v>1</v>
      </c>
      <c r="P190" s="4">
        <v>23254</v>
      </c>
      <c r="Q190" s="4">
        <v>241322</v>
      </c>
      <c r="R190" s="2">
        <v>0</v>
      </c>
      <c r="S190" s="2" t="s">
        <v>25</v>
      </c>
      <c r="T190" s="4">
        <v>2576</v>
      </c>
    </row>
    <row r="191" spans="1:20" x14ac:dyDescent="0.3">
      <c r="A191" s="6" t="s">
        <v>420</v>
      </c>
      <c r="B191" s="6" t="s">
        <v>80</v>
      </c>
      <c r="C191" s="6" t="s">
        <v>53</v>
      </c>
      <c r="D191" s="6" t="s">
        <v>22</v>
      </c>
      <c r="E191" s="6" t="s">
        <v>421</v>
      </c>
      <c r="F191" s="6" t="s">
        <v>31</v>
      </c>
      <c r="G191" s="6">
        <v>47</v>
      </c>
      <c r="H191" s="2" t="str" cm="1">
        <f t="array" ref="H191">_xlfn.IFS(G191&lt;30,"&lt;30",G191&lt;=40,"30-40",G191&lt;=50,"40-50",LoanData!G191&gt;50,"50+")</f>
        <v>40-50</v>
      </c>
      <c r="I191" s="7">
        <v>45401</v>
      </c>
      <c r="J191" s="8">
        <v>1037000</v>
      </c>
      <c r="K191" s="6">
        <v>48</v>
      </c>
      <c r="L191" s="9">
        <v>11.7</v>
      </c>
      <c r="M191" s="8">
        <v>27156</v>
      </c>
      <c r="N191" s="6">
        <v>3</v>
      </c>
      <c r="O191" s="6">
        <v>3</v>
      </c>
      <c r="P191" s="8">
        <v>81468</v>
      </c>
      <c r="Q191" s="8">
        <v>985365</v>
      </c>
      <c r="R191" s="6">
        <v>0</v>
      </c>
      <c r="S191" s="6" t="s">
        <v>25</v>
      </c>
      <c r="T191" s="8">
        <v>29833</v>
      </c>
    </row>
    <row r="192" spans="1:20" x14ac:dyDescent="0.3">
      <c r="A192" s="2" t="s">
        <v>422</v>
      </c>
      <c r="B192" s="2" t="s">
        <v>33</v>
      </c>
      <c r="C192" s="2" t="s">
        <v>34</v>
      </c>
      <c r="D192" s="2" t="s">
        <v>29</v>
      </c>
      <c r="E192" s="2" t="s">
        <v>423</v>
      </c>
      <c r="F192" s="2" t="s">
        <v>42</v>
      </c>
      <c r="G192" s="2">
        <v>29</v>
      </c>
      <c r="H192" s="2" t="str" cm="1">
        <f t="array" ref="H192">_xlfn.IFS(G192&lt;30,"&lt;30",G192&lt;=40,"30-40",G192&lt;=50,"40-50",LoanData!G192&gt;50,"50+")</f>
        <v>&lt;30</v>
      </c>
      <c r="I192" s="3">
        <v>45434</v>
      </c>
      <c r="J192" s="4">
        <v>59000</v>
      </c>
      <c r="K192" s="2">
        <v>6</v>
      </c>
      <c r="L192" s="5">
        <v>11.9</v>
      </c>
      <c r="M192" s="4">
        <v>10177</v>
      </c>
      <c r="N192" s="2">
        <v>2</v>
      </c>
      <c r="O192" s="2">
        <v>2</v>
      </c>
      <c r="P192" s="4">
        <v>20354</v>
      </c>
      <c r="Q192" s="4">
        <v>39720</v>
      </c>
      <c r="R192" s="2">
        <v>0</v>
      </c>
      <c r="S192" s="2" t="s">
        <v>25</v>
      </c>
      <c r="T192" s="4">
        <v>1074</v>
      </c>
    </row>
    <row r="193" spans="1:20" x14ac:dyDescent="0.3">
      <c r="A193" s="6" t="s">
        <v>424</v>
      </c>
      <c r="B193" s="6" t="s">
        <v>65</v>
      </c>
      <c r="C193" s="6" t="s">
        <v>28</v>
      </c>
      <c r="D193" s="6" t="s">
        <v>22</v>
      </c>
      <c r="E193" s="6" t="s">
        <v>425</v>
      </c>
      <c r="F193" s="6" t="s">
        <v>42</v>
      </c>
      <c r="G193" s="6">
        <v>38</v>
      </c>
      <c r="H193" s="2" t="str" cm="1">
        <f t="array" ref="H193">_xlfn.IFS(G193&lt;30,"&lt;30",G193&lt;=40,"30-40",G193&lt;=50,"40-50",LoanData!G193&gt;50,"50+")</f>
        <v>30-40</v>
      </c>
      <c r="I193" s="7">
        <v>45357</v>
      </c>
      <c r="J193" s="8">
        <v>1006000</v>
      </c>
      <c r="K193" s="6">
        <v>48</v>
      </c>
      <c r="L193" s="9">
        <v>10.5</v>
      </c>
      <c r="M193" s="8">
        <v>25757</v>
      </c>
      <c r="N193" s="6">
        <v>4</v>
      </c>
      <c r="O193" s="6">
        <v>0</v>
      </c>
      <c r="P193" s="8">
        <v>0</v>
      </c>
      <c r="Q193" s="8">
        <v>1006000</v>
      </c>
      <c r="R193" s="6">
        <v>188</v>
      </c>
      <c r="S193" s="6" t="s">
        <v>55</v>
      </c>
      <c r="T193" s="8">
        <v>0</v>
      </c>
    </row>
    <row r="194" spans="1:20" x14ac:dyDescent="0.3">
      <c r="A194" s="2" t="s">
        <v>426</v>
      </c>
      <c r="B194" s="2" t="s">
        <v>20</v>
      </c>
      <c r="C194" s="2" t="s">
        <v>21</v>
      </c>
      <c r="D194" s="2" t="s">
        <v>29</v>
      </c>
      <c r="E194" s="2" t="s">
        <v>427</v>
      </c>
      <c r="F194" s="2" t="s">
        <v>42</v>
      </c>
      <c r="G194" s="2">
        <v>58</v>
      </c>
      <c r="H194" s="2" t="str" cm="1">
        <f t="array" ref="H194">_xlfn.IFS(G194&lt;30,"&lt;30",G194&lt;=40,"30-40",G194&lt;=50,"40-50",LoanData!G194&gt;50,"50+")</f>
        <v>50+</v>
      </c>
      <c r="I194" s="3">
        <v>45402</v>
      </c>
      <c r="J194" s="4">
        <v>268000</v>
      </c>
      <c r="K194" s="2">
        <v>12</v>
      </c>
      <c r="L194" s="5">
        <v>12</v>
      </c>
      <c r="M194" s="4">
        <v>23811</v>
      </c>
      <c r="N194" s="2">
        <v>3</v>
      </c>
      <c r="O194" s="2">
        <v>3</v>
      </c>
      <c r="P194" s="4">
        <v>71433</v>
      </c>
      <c r="Q194" s="4">
        <v>203970</v>
      </c>
      <c r="R194" s="2">
        <v>0</v>
      </c>
      <c r="S194" s="2" t="s">
        <v>25</v>
      </c>
      <c r="T194" s="4">
        <v>7403</v>
      </c>
    </row>
    <row r="195" spans="1:20" x14ac:dyDescent="0.3">
      <c r="A195" s="6" t="s">
        <v>428</v>
      </c>
      <c r="B195" s="6" t="s">
        <v>33</v>
      </c>
      <c r="C195" s="6" t="s">
        <v>34</v>
      </c>
      <c r="D195" s="6" t="s">
        <v>35</v>
      </c>
      <c r="E195" s="6" t="s">
        <v>429</v>
      </c>
      <c r="F195" s="6" t="s">
        <v>24</v>
      </c>
      <c r="G195" s="6">
        <v>28</v>
      </c>
      <c r="H195" s="2" t="str" cm="1">
        <f t="array" ref="H195">_xlfn.IFS(G195&lt;30,"&lt;30",G195&lt;=40,"30-40",G195&lt;=50,"40-50",LoanData!G195&gt;50,"50+")</f>
        <v>&lt;30</v>
      </c>
      <c r="I195" s="7">
        <v>45314</v>
      </c>
      <c r="J195" s="8">
        <v>314000</v>
      </c>
      <c r="K195" s="6">
        <v>24</v>
      </c>
      <c r="L195" s="9">
        <v>16.100000000000001</v>
      </c>
      <c r="M195" s="8">
        <v>15389</v>
      </c>
      <c r="N195" s="6">
        <v>6</v>
      </c>
      <c r="O195" s="6">
        <v>6</v>
      </c>
      <c r="P195" s="8">
        <v>92334</v>
      </c>
      <c r="Q195" s="8">
        <v>244651</v>
      </c>
      <c r="R195" s="6">
        <v>0</v>
      </c>
      <c r="S195" s="6" t="s">
        <v>25</v>
      </c>
      <c r="T195" s="8">
        <v>22985</v>
      </c>
    </row>
    <row r="196" spans="1:20" x14ac:dyDescent="0.3">
      <c r="A196" s="2" t="s">
        <v>430</v>
      </c>
      <c r="B196" s="2" t="s">
        <v>65</v>
      </c>
      <c r="C196" s="2" t="s">
        <v>28</v>
      </c>
      <c r="D196" s="2" t="s">
        <v>35</v>
      </c>
      <c r="E196" s="2" t="s">
        <v>431</v>
      </c>
      <c r="F196" s="2" t="s">
        <v>42</v>
      </c>
      <c r="G196" s="2">
        <v>47</v>
      </c>
      <c r="H196" s="2" t="str" cm="1">
        <f t="array" ref="H196">_xlfn.IFS(G196&lt;30,"&lt;30",G196&lt;=40,"30-40",G196&lt;=50,"40-50",LoanData!G196&gt;50,"50+")</f>
        <v>40-50</v>
      </c>
      <c r="I196" s="3">
        <v>45312</v>
      </c>
      <c r="J196" s="4">
        <v>258000</v>
      </c>
      <c r="K196" s="2">
        <v>36</v>
      </c>
      <c r="L196" s="5">
        <v>17</v>
      </c>
      <c r="M196" s="4">
        <v>9198</v>
      </c>
      <c r="N196" s="2">
        <v>6</v>
      </c>
      <c r="O196" s="2">
        <v>6</v>
      </c>
      <c r="P196" s="4">
        <v>55188</v>
      </c>
      <c r="Q196" s="4">
        <v>223539</v>
      </c>
      <c r="R196" s="2">
        <v>0</v>
      </c>
      <c r="S196" s="2" t="s">
        <v>25</v>
      </c>
      <c r="T196" s="4">
        <v>20727</v>
      </c>
    </row>
    <row r="197" spans="1:20" x14ac:dyDescent="0.3">
      <c r="A197" s="6" t="s">
        <v>432</v>
      </c>
      <c r="B197" s="6" t="s">
        <v>52</v>
      </c>
      <c r="C197" s="6" t="s">
        <v>53</v>
      </c>
      <c r="D197" s="6" t="s">
        <v>35</v>
      </c>
      <c r="E197" s="6" t="s">
        <v>433</v>
      </c>
      <c r="F197" s="6" t="s">
        <v>42</v>
      </c>
      <c r="G197" s="6">
        <v>51</v>
      </c>
      <c r="H197" s="2" t="str" cm="1">
        <f t="array" ref="H197">_xlfn.IFS(G197&lt;30,"&lt;30",G197&lt;=40,"30-40",G197&lt;=50,"40-50",LoanData!G197&gt;50,"50+")</f>
        <v>50+</v>
      </c>
      <c r="I197" s="7">
        <v>45417</v>
      </c>
      <c r="J197" s="8">
        <v>163000</v>
      </c>
      <c r="K197" s="6">
        <v>12</v>
      </c>
      <c r="L197" s="9">
        <v>15.6</v>
      </c>
      <c r="M197" s="8">
        <v>14758</v>
      </c>
      <c r="N197" s="6">
        <v>2</v>
      </c>
      <c r="O197" s="6">
        <v>1</v>
      </c>
      <c r="P197" s="8">
        <v>14758</v>
      </c>
      <c r="Q197" s="8">
        <v>150361</v>
      </c>
      <c r="R197" s="6">
        <v>13</v>
      </c>
      <c r="S197" s="6" t="s">
        <v>47</v>
      </c>
      <c r="T197" s="8">
        <v>2119</v>
      </c>
    </row>
    <row r="198" spans="1:20" x14ac:dyDescent="0.3">
      <c r="A198" s="2" t="s">
        <v>434</v>
      </c>
      <c r="B198" s="2" t="s">
        <v>40</v>
      </c>
      <c r="C198" s="2" t="s">
        <v>34</v>
      </c>
      <c r="D198" s="2" t="s">
        <v>35</v>
      </c>
      <c r="E198" s="2" t="s">
        <v>435</v>
      </c>
      <c r="F198" s="2" t="s">
        <v>31</v>
      </c>
      <c r="G198" s="2">
        <v>39</v>
      </c>
      <c r="H198" s="2" t="str" cm="1">
        <f t="array" ref="H198">_xlfn.IFS(G198&lt;30,"&lt;30",G198&lt;=40,"30-40",G198&lt;=50,"40-50",LoanData!G198&gt;50,"50+")</f>
        <v>30-40</v>
      </c>
      <c r="I198" s="3">
        <v>45318</v>
      </c>
      <c r="J198" s="4">
        <v>379000</v>
      </c>
      <c r="K198" s="2">
        <v>24</v>
      </c>
      <c r="L198" s="5">
        <v>17.399999999999999</v>
      </c>
      <c r="M198" s="4">
        <v>18812</v>
      </c>
      <c r="N198" s="2">
        <v>6</v>
      </c>
      <c r="O198" s="2">
        <v>6</v>
      </c>
      <c r="P198" s="4">
        <v>112872</v>
      </c>
      <c r="Q198" s="4">
        <v>296151</v>
      </c>
      <c r="R198" s="2">
        <v>0</v>
      </c>
      <c r="S198" s="2" t="s">
        <v>25</v>
      </c>
      <c r="T198" s="4">
        <v>30023</v>
      </c>
    </row>
    <row r="199" spans="1:20" x14ac:dyDescent="0.3">
      <c r="A199" s="6" t="s">
        <v>436</v>
      </c>
      <c r="B199" s="6" t="s">
        <v>27</v>
      </c>
      <c r="C199" s="6" t="s">
        <v>28</v>
      </c>
      <c r="D199" s="6" t="s">
        <v>22</v>
      </c>
      <c r="E199" s="6" t="s">
        <v>437</v>
      </c>
      <c r="F199" s="6" t="s">
        <v>42</v>
      </c>
      <c r="G199" s="6">
        <v>49</v>
      </c>
      <c r="H199" s="2" t="str" cm="1">
        <f t="array" ref="H199">_xlfn.IFS(G199&lt;30,"&lt;30",G199&lt;=40,"30-40",G199&lt;=50,"40-50",LoanData!G199&gt;50,"50+")</f>
        <v>40-50</v>
      </c>
      <c r="I199" s="7">
        <v>45374</v>
      </c>
      <c r="J199" s="8">
        <v>912000</v>
      </c>
      <c r="K199" s="6">
        <v>48</v>
      </c>
      <c r="L199" s="9">
        <v>10.1</v>
      </c>
      <c r="M199" s="8">
        <v>23174</v>
      </c>
      <c r="N199" s="6">
        <v>4</v>
      </c>
      <c r="O199" s="6">
        <v>4</v>
      </c>
      <c r="P199" s="8">
        <v>92696</v>
      </c>
      <c r="Q199" s="8">
        <v>849219</v>
      </c>
      <c r="R199" s="6">
        <v>0</v>
      </c>
      <c r="S199" s="6" t="s">
        <v>25</v>
      </c>
      <c r="T199" s="8">
        <v>29915</v>
      </c>
    </row>
    <row r="200" spans="1:20" x14ac:dyDescent="0.3">
      <c r="A200" s="2" t="s">
        <v>438</v>
      </c>
      <c r="B200" s="2" t="s">
        <v>80</v>
      </c>
      <c r="C200" s="2" t="s">
        <v>53</v>
      </c>
      <c r="D200" s="2" t="s">
        <v>35</v>
      </c>
      <c r="E200" s="2" t="s">
        <v>439</v>
      </c>
      <c r="F200" s="2" t="s">
        <v>24</v>
      </c>
      <c r="G200" s="2">
        <v>50</v>
      </c>
      <c r="H200" s="2" t="str" cm="1">
        <f t="array" ref="H200">_xlfn.IFS(G200&lt;30,"&lt;30",G200&lt;=40,"30-40",G200&lt;=50,"40-50",LoanData!G200&gt;50,"50+")</f>
        <v>40-50</v>
      </c>
      <c r="I200" s="3">
        <v>45417</v>
      </c>
      <c r="J200" s="4">
        <v>401000</v>
      </c>
      <c r="K200" s="2">
        <v>36</v>
      </c>
      <c r="L200" s="5">
        <v>16.399999999999999</v>
      </c>
      <c r="M200" s="4">
        <v>14177</v>
      </c>
      <c r="N200" s="2">
        <v>2</v>
      </c>
      <c r="O200" s="2">
        <v>2</v>
      </c>
      <c r="P200" s="4">
        <v>28354</v>
      </c>
      <c r="Q200" s="4">
        <v>383487</v>
      </c>
      <c r="R200" s="2">
        <v>0</v>
      </c>
      <c r="S200" s="2" t="s">
        <v>25</v>
      </c>
      <c r="T200" s="4">
        <v>10841</v>
      </c>
    </row>
    <row r="201" spans="1:20" x14ac:dyDescent="0.3">
      <c r="A201" s="6" t="s">
        <v>440</v>
      </c>
      <c r="B201" s="6" t="s">
        <v>33</v>
      </c>
      <c r="C201" s="6" t="s">
        <v>34</v>
      </c>
      <c r="D201" s="6" t="s">
        <v>22</v>
      </c>
      <c r="E201" s="6" t="s">
        <v>441</v>
      </c>
      <c r="F201" s="6" t="s">
        <v>42</v>
      </c>
      <c r="G201" s="6">
        <v>58</v>
      </c>
      <c r="H201" s="2" t="str" cm="1">
        <f t="array" ref="H201">_xlfn.IFS(G201&lt;30,"&lt;30",G201&lt;=40,"30-40",G201&lt;=50,"40-50",LoanData!G201&gt;50,"50+")</f>
        <v>50+</v>
      </c>
      <c r="I201" s="7">
        <v>45326</v>
      </c>
      <c r="J201" s="8">
        <v>1158000</v>
      </c>
      <c r="K201" s="6">
        <v>48</v>
      </c>
      <c r="L201" s="9">
        <v>10</v>
      </c>
      <c r="M201" s="8">
        <v>29370</v>
      </c>
      <c r="N201" s="6">
        <v>5</v>
      </c>
      <c r="O201" s="6">
        <v>4</v>
      </c>
      <c r="P201" s="8">
        <v>117480</v>
      </c>
      <c r="Q201" s="8">
        <v>1078129</v>
      </c>
      <c r="R201" s="6">
        <v>35</v>
      </c>
      <c r="S201" s="6" t="s">
        <v>47</v>
      </c>
      <c r="T201" s="8">
        <v>37609</v>
      </c>
    </row>
  </sheetData>
  <autoFilter ref="A1:T201" xr:uid="{5B556D7E-511F-48EB-98B2-09AB1AD5EF76}"/>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AA64E9-12ED-46C8-93D8-53949CBD92FA}">
  <dimension ref="A1:E32"/>
  <sheetViews>
    <sheetView zoomScale="94" workbookViewId="0">
      <selection activeCell="H24" sqref="H24"/>
    </sheetView>
  </sheetViews>
  <sheetFormatPr defaultColWidth="8.6640625" defaultRowHeight="14.4" x14ac:dyDescent="0.3"/>
  <cols>
    <col min="1" max="1" width="5" customWidth="1"/>
    <col min="2" max="2" width="68" customWidth="1"/>
    <col min="3" max="3" width="32" customWidth="1"/>
    <col min="4" max="4" width="30" customWidth="1"/>
  </cols>
  <sheetData>
    <row r="1" spans="1:5" ht="21" x14ac:dyDescent="0.3">
      <c r="A1" s="81" t="s">
        <v>477</v>
      </c>
      <c r="B1" s="81"/>
      <c r="C1" s="81"/>
      <c r="D1" s="81"/>
    </row>
    <row r="3" spans="1:5" ht="15.6" x14ac:dyDescent="0.3">
      <c r="A3" s="80" t="s">
        <v>478</v>
      </c>
      <c r="B3" s="80"/>
      <c r="C3" s="80"/>
      <c r="D3" s="80"/>
    </row>
    <row r="4" spans="1:5" x14ac:dyDescent="0.3">
      <c r="A4" s="1" t="s">
        <v>479</v>
      </c>
      <c r="B4" s="1" t="s">
        <v>480</v>
      </c>
      <c r="C4" s="1" t="s">
        <v>481</v>
      </c>
      <c r="D4" s="1" t="s">
        <v>482</v>
      </c>
    </row>
    <row r="5" spans="1:5" ht="34.200000000000003" x14ac:dyDescent="0.3">
      <c r="A5" s="15">
        <v>1</v>
      </c>
      <c r="B5" s="14" t="s">
        <v>483</v>
      </c>
      <c r="C5" s="16" t="s">
        <v>514</v>
      </c>
      <c r="D5" s="17"/>
    </row>
    <row r="6" spans="1:5" ht="52.8" customHeight="1" x14ac:dyDescent="0.3">
      <c r="A6" s="15">
        <v>2</v>
      </c>
      <c r="B6" s="14" t="s">
        <v>484</v>
      </c>
      <c r="C6" s="16" t="s">
        <v>521</v>
      </c>
      <c r="D6" s="20" t="s">
        <v>516</v>
      </c>
    </row>
    <row r="7" spans="1:5" ht="68.400000000000006" x14ac:dyDescent="0.3">
      <c r="A7" s="15">
        <v>3</v>
      </c>
      <c r="B7" s="14" t="s">
        <v>485</v>
      </c>
      <c r="C7" s="16" t="s">
        <v>520</v>
      </c>
      <c r="D7" s="21" t="s">
        <v>519</v>
      </c>
    </row>
    <row r="9" spans="1:5" ht="15.6" x14ac:dyDescent="0.3">
      <c r="A9" s="80" t="s">
        <v>486</v>
      </c>
      <c r="B9" s="80"/>
      <c r="C9" s="80"/>
      <c r="D9" s="80"/>
    </row>
    <row r="10" spans="1:5" x14ac:dyDescent="0.3">
      <c r="A10" s="1" t="s">
        <v>479</v>
      </c>
      <c r="B10" s="1" t="s">
        <v>480</v>
      </c>
      <c r="C10" s="1" t="s">
        <v>481</v>
      </c>
      <c r="D10" s="1" t="s">
        <v>482</v>
      </c>
    </row>
    <row r="11" spans="1:5" ht="115.2" x14ac:dyDescent="0.3">
      <c r="A11" s="15">
        <v>1</v>
      </c>
      <c r="B11" s="14" t="s">
        <v>487</v>
      </c>
      <c r="C11" s="16" t="s">
        <v>524</v>
      </c>
      <c r="D11" s="21" t="s">
        <v>525</v>
      </c>
    </row>
    <row r="12" spans="1:5" ht="73.8" customHeight="1" x14ac:dyDescent="0.3">
      <c r="A12" s="15">
        <v>2</v>
      </c>
      <c r="B12" s="14" t="s">
        <v>488</v>
      </c>
      <c r="C12" s="16" t="s">
        <v>526</v>
      </c>
      <c r="D12" s="21" t="s">
        <v>527</v>
      </c>
    </row>
    <row r="13" spans="1:5" ht="75" customHeight="1" x14ac:dyDescent="0.3">
      <c r="A13" s="15">
        <v>3</v>
      </c>
      <c r="B13" s="14" t="s">
        <v>489</v>
      </c>
      <c r="C13" s="16" t="s">
        <v>542</v>
      </c>
      <c r="D13" s="27" t="s">
        <v>530</v>
      </c>
    </row>
    <row r="14" spans="1:5" ht="125.4" customHeight="1" x14ac:dyDescent="0.3">
      <c r="A14" s="15">
        <v>4</v>
      </c>
      <c r="B14" s="14" t="s">
        <v>490</v>
      </c>
      <c r="C14" s="16" t="s">
        <v>533</v>
      </c>
      <c r="D14" s="21" t="s">
        <v>531</v>
      </c>
      <c r="E14" s="18"/>
    </row>
    <row r="16" spans="1:5" ht="15.6" x14ac:dyDescent="0.3">
      <c r="A16" s="80" t="s">
        <v>491</v>
      </c>
      <c r="B16" s="80"/>
      <c r="C16" s="80"/>
      <c r="D16" s="80"/>
    </row>
    <row r="17" spans="1:4" x14ac:dyDescent="0.3">
      <c r="A17" s="1" t="s">
        <v>479</v>
      </c>
      <c r="B17" s="1" t="s">
        <v>480</v>
      </c>
      <c r="C17" s="1" t="s">
        <v>481</v>
      </c>
      <c r="D17" s="1" t="s">
        <v>482</v>
      </c>
    </row>
    <row r="18" spans="1:4" ht="87.6" customHeight="1" x14ac:dyDescent="0.3">
      <c r="A18" s="15">
        <v>1</v>
      </c>
      <c r="B18" s="14" t="s">
        <v>492</v>
      </c>
      <c r="C18" s="16" t="s">
        <v>534</v>
      </c>
      <c r="D18" s="21" t="s">
        <v>535</v>
      </c>
    </row>
    <row r="19" spans="1:4" ht="47.4" customHeight="1" x14ac:dyDescent="0.3">
      <c r="A19" s="15">
        <v>2</v>
      </c>
      <c r="B19" s="14" t="s">
        <v>493</v>
      </c>
      <c r="C19" s="16" t="s">
        <v>541</v>
      </c>
      <c r="D19" s="17"/>
    </row>
    <row r="20" spans="1:4" ht="67.2" customHeight="1" x14ac:dyDescent="0.3">
      <c r="A20" s="15">
        <v>3</v>
      </c>
      <c r="B20" s="14" t="s">
        <v>494</v>
      </c>
      <c r="C20" s="16" t="s">
        <v>543</v>
      </c>
      <c r="D20" s="21" t="s">
        <v>544</v>
      </c>
    </row>
    <row r="22" spans="1:4" ht="15.6" x14ac:dyDescent="0.3">
      <c r="A22" s="80" t="s">
        <v>495</v>
      </c>
      <c r="B22" s="80"/>
      <c r="C22" s="80"/>
      <c r="D22" s="80"/>
    </row>
    <row r="23" spans="1:4" x14ac:dyDescent="0.3">
      <c r="A23" s="1" t="s">
        <v>479</v>
      </c>
      <c r="B23" s="1" t="s">
        <v>480</v>
      </c>
      <c r="C23" s="1" t="s">
        <v>481</v>
      </c>
      <c r="D23" s="1" t="s">
        <v>482</v>
      </c>
    </row>
    <row r="24" spans="1:4" ht="45.6" x14ac:dyDescent="0.3">
      <c r="A24" s="15">
        <v>1</v>
      </c>
      <c r="B24" s="14" t="s">
        <v>496</v>
      </c>
      <c r="C24" s="16" t="s">
        <v>546</v>
      </c>
      <c r="D24" s="21" t="s">
        <v>547</v>
      </c>
    </row>
    <row r="25" spans="1:4" ht="76.2" customHeight="1" x14ac:dyDescent="0.3">
      <c r="A25" s="15">
        <v>2</v>
      </c>
      <c r="B25" s="14" t="s">
        <v>497</v>
      </c>
      <c r="C25" s="16" t="s">
        <v>552</v>
      </c>
      <c r="D25" s="21" t="s">
        <v>553</v>
      </c>
    </row>
    <row r="26" spans="1:4" ht="115.2" x14ac:dyDescent="0.3">
      <c r="A26" s="15">
        <v>3</v>
      </c>
      <c r="B26" s="14" t="s">
        <v>498</v>
      </c>
      <c r="C26" s="16" t="s">
        <v>555</v>
      </c>
      <c r="D26" s="36" t="s">
        <v>554</v>
      </c>
    </row>
    <row r="28" spans="1:4" ht="15.6" x14ac:dyDescent="0.3">
      <c r="A28" s="80" t="s">
        <v>499</v>
      </c>
      <c r="B28" s="80"/>
      <c r="C28" s="80"/>
      <c r="D28" s="80"/>
    </row>
    <row r="29" spans="1:4" x14ac:dyDescent="0.3">
      <c r="A29" s="1" t="s">
        <v>479</v>
      </c>
      <c r="B29" s="1" t="s">
        <v>480</v>
      </c>
      <c r="C29" s="1" t="s">
        <v>481</v>
      </c>
      <c r="D29" s="1" t="s">
        <v>482</v>
      </c>
    </row>
    <row r="30" spans="1:4" ht="54" customHeight="1" x14ac:dyDescent="0.3">
      <c r="A30" s="15">
        <v>1</v>
      </c>
      <c r="B30" s="14" t="s">
        <v>500</v>
      </c>
      <c r="C30" s="16" t="s">
        <v>556</v>
      </c>
      <c r="D30" s="36" t="s">
        <v>558</v>
      </c>
    </row>
    <row r="31" spans="1:4" ht="55.8" customHeight="1" x14ac:dyDescent="0.3">
      <c r="A31" s="15">
        <v>2</v>
      </c>
      <c r="B31" s="14" t="s">
        <v>501</v>
      </c>
      <c r="C31" s="16" t="s">
        <v>560</v>
      </c>
      <c r="D31" s="36" t="s">
        <v>561</v>
      </c>
    </row>
    <row r="32" spans="1:4" ht="39.6" x14ac:dyDescent="0.3">
      <c r="A32" s="15">
        <v>3</v>
      </c>
      <c r="B32" s="14" t="s">
        <v>502</v>
      </c>
      <c r="C32" s="16"/>
      <c r="D32" s="17"/>
    </row>
  </sheetData>
  <mergeCells count="6">
    <mergeCell ref="A28:D28"/>
    <mergeCell ref="A1:D1"/>
    <mergeCell ref="A3:D3"/>
    <mergeCell ref="A9:D9"/>
    <mergeCell ref="A16:D16"/>
    <mergeCell ref="A22:D22"/>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659B05-CA44-407A-A2B1-4C110B815A5A}">
  <dimension ref="A2:K601"/>
  <sheetViews>
    <sheetView topLeftCell="A138" workbookViewId="0">
      <selection activeCell="E150" sqref="E150"/>
    </sheetView>
  </sheetViews>
  <sheetFormatPr defaultRowHeight="14.4" x14ac:dyDescent="0.3"/>
  <cols>
    <col min="1" max="1" width="16.77734375" style="24" bestFit="1" customWidth="1"/>
    <col min="2" max="2" width="17.77734375" style="24" bestFit="1" customWidth="1"/>
    <col min="3" max="3" width="28.77734375" style="24" customWidth="1"/>
    <col min="4" max="4" width="8.21875" style="24" bestFit="1" customWidth="1"/>
    <col min="5" max="5" width="10.77734375" style="24" bestFit="1" customWidth="1"/>
    <col min="6" max="6" width="10.77734375" bestFit="1" customWidth="1"/>
    <col min="7" max="7" width="14.77734375" bestFit="1" customWidth="1"/>
    <col min="8" max="8" width="19.5546875" bestFit="1" customWidth="1"/>
    <col min="9" max="9" width="9.44140625" bestFit="1" customWidth="1"/>
    <col min="10" max="10" width="22.88671875" bestFit="1" customWidth="1"/>
    <col min="11" max="11" width="12.77734375" bestFit="1" customWidth="1"/>
    <col min="12" max="12" width="11.6640625" bestFit="1" customWidth="1"/>
    <col min="13" max="13" width="9.33203125" bestFit="1" customWidth="1"/>
    <col min="14" max="14" width="12.6640625" bestFit="1" customWidth="1"/>
    <col min="15" max="15" width="9.44140625" bestFit="1" customWidth="1"/>
    <col min="16" max="16" width="22.88671875" bestFit="1" customWidth="1"/>
    <col min="17" max="17" width="12.77734375" bestFit="1" customWidth="1"/>
    <col min="18" max="18" width="11.6640625" bestFit="1" customWidth="1"/>
    <col min="19" max="19" width="12.88671875" bestFit="1" customWidth="1"/>
    <col min="20" max="20" width="10.77734375" bestFit="1" customWidth="1"/>
    <col min="21" max="36" width="15.5546875" bestFit="1" customWidth="1"/>
    <col min="37" max="37" width="10.88671875" bestFit="1" customWidth="1"/>
    <col min="38" max="52" width="6.6640625" bestFit="1" customWidth="1"/>
    <col min="53" max="53" width="9.33203125" bestFit="1" customWidth="1"/>
    <col min="54" max="81" width="10.21875" bestFit="1" customWidth="1"/>
    <col min="82" max="82" width="12.88671875" bestFit="1" customWidth="1"/>
    <col min="83" max="83" width="10.77734375" bestFit="1" customWidth="1"/>
    <col min="84" max="149" width="8.109375" bestFit="1" customWidth="1"/>
    <col min="150" max="180" width="9.109375" bestFit="1" customWidth="1"/>
    <col min="181" max="181" width="10.77734375" bestFit="1" customWidth="1"/>
  </cols>
  <sheetData>
    <row r="2" spans="1:6" x14ac:dyDescent="0.3">
      <c r="A2" s="76" t="s">
        <v>512</v>
      </c>
      <c r="B2" s="76"/>
      <c r="C2" s="76"/>
    </row>
    <row r="3" spans="1:6" x14ac:dyDescent="0.3">
      <c r="A3" s="23" t="s">
        <v>513</v>
      </c>
      <c r="B3" s="24" t="s">
        <v>503</v>
      </c>
      <c r="C3" s="24" t="s">
        <v>504</v>
      </c>
    </row>
    <row r="4" spans="1:6" x14ac:dyDescent="0.3">
      <c r="A4" s="24" t="s">
        <v>506</v>
      </c>
      <c r="B4" s="30">
        <v>20734000</v>
      </c>
      <c r="C4" s="30">
        <v>4387565</v>
      </c>
    </row>
    <row r="5" spans="1:6" x14ac:dyDescent="0.3">
      <c r="A5" s="24" t="s">
        <v>507</v>
      </c>
      <c r="B5" s="30">
        <v>21663000</v>
      </c>
      <c r="C5" s="30">
        <v>3784489</v>
      </c>
    </row>
    <row r="6" spans="1:6" x14ac:dyDescent="0.3">
      <c r="A6" s="24" t="s">
        <v>508</v>
      </c>
      <c r="B6" s="30">
        <v>21818000</v>
      </c>
      <c r="C6" s="30">
        <v>2519338</v>
      </c>
    </row>
    <row r="7" spans="1:6" x14ac:dyDescent="0.3">
      <c r="A7" s="24" t="s">
        <v>509</v>
      </c>
      <c r="B7" s="30">
        <v>20642000</v>
      </c>
      <c r="C7" s="30">
        <v>1670725</v>
      </c>
    </row>
    <row r="8" spans="1:6" x14ac:dyDescent="0.3">
      <c r="A8" s="24" t="s">
        <v>510</v>
      </c>
      <c r="B8" s="30">
        <v>13097000</v>
      </c>
      <c r="C8" s="30">
        <v>906181</v>
      </c>
    </row>
    <row r="9" spans="1:6" x14ac:dyDescent="0.3">
      <c r="A9" s="24" t="s">
        <v>511</v>
      </c>
      <c r="B9" s="30">
        <v>11421000</v>
      </c>
      <c r="C9" s="30">
        <v>433928</v>
      </c>
    </row>
    <row r="10" spans="1:6" x14ac:dyDescent="0.3">
      <c r="A10" s="24" t="s">
        <v>505</v>
      </c>
      <c r="B10" s="30">
        <v>109375000</v>
      </c>
      <c r="C10" s="30">
        <v>13702226</v>
      </c>
    </row>
    <row r="13" spans="1:6" x14ac:dyDescent="0.3">
      <c r="A13" s="76" t="s">
        <v>517</v>
      </c>
      <c r="B13" s="76"/>
      <c r="C13" s="76"/>
      <c r="D13" s="76"/>
    </row>
    <row r="14" spans="1:6" x14ac:dyDescent="0.3">
      <c r="A14" s="23" t="s">
        <v>2</v>
      </c>
      <c r="B14" s="24" t="s">
        <v>515</v>
      </c>
      <c r="C14" s="24" t="s">
        <v>503</v>
      </c>
      <c r="D14" s="18" t="s">
        <v>518</v>
      </c>
      <c r="F14" s="18"/>
    </row>
    <row r="15" spans="1:6" x14ac:dyDescent="0.3">
      <c r="A15" s="24" t="s">
        <v>53</v>
      </c>
      <c r="B15" s="25">
        <v>0.27721849804328291</v>
      </c>
      <c r="C15" s="25">
        <v>0.28025600000000001</v>
      </c>
      <c r="D15" s="49">
        <v>0.89805960264900664</v>
      </c>
      <c r="F15" s="19"/>
    </row>
    <row r="16" spans="1:6" x14ac:dyDescent="0.3">
      <c r="A16" s="24" t="s">
        <v>28</v>
      </c>
      <c r="B16" s="25">
        <v>0.25515529317624813</v>
      </c>
      <c r="C16" s="25">
        <v>0.25072457142857141</v>
      </c>
      <c r="D16" s="49">
        <v>0.92394380629398676</v>
      </c>
    </row>
    <row r="17" spans="1:6" x14ac:dyDescent="0.3">
      <c r="A17" s="24" t="s">
        <v>21</v>
      </c>
      <c r="B17" s="25">
        <v>0.22950693710358744</v>
      </c>
      <c r="C17" s="25">
        <v>0.22757485714285713</v>
      </c>
      <c r="D17" s="49">
        <v>0.91560764935117112</v>
      </c>
    </row>
    <row r="18" spans="1:6" x14ac:dyDescent="0.3">
      <c r="A18" s="24" t="s">
        <v>34</v>
      </c>
      <c r="B18" s="25">
        <v>0.23811927167688152</v>
      </c>
      <c r="C18" s="25">
        <v>0.24144457142857143</v>
      </c>
      <c r="D18" s="49">
        <v>0.89539563768554986</v>
      </c>
    </row>
    <row r="19" spans="1:6" x14ac:dyDescent="0.3">
      <c r="A19" s="24" t="s">
        <v>505</v>
      </c>
      <c r="B19" s="25">
        <v>1</v>
      </c>
      <c r="C19" s="25">
        <v>1</v>
      </c>
      <c r="D19" s="49">
        <v>0.90789970285714283</v>
      </c>
    </row>
    <row r="22" spans="1:6" ht="16.8" customHeight="1" x14ac:dyDescent="0.3">
      <c r="A22" s="77" t="s">
        <v>487</v>
      </c>
      <c r="B22" s="78"/>
      <c r="C22" s="78"/>
      <c r="D22" s="78"/>
      <c r="E22" s="78"/>
    </row>
    <row r="23" spans="1:6" x14ac:dyDescent="0.3">
      <c r="A23" s="23" t="s">
        <v>522</v>
      </c>
      <c r="B23" s="23" t="s">
        <v>523</v>
      </c>
    </row>
    <row r="24" spans="1:6" x14ac:dyDescent="0.3">
      <c r="A24" s="23" t="s">
        <v>528</v>
      </c>
      <c r="B24" s="24" t="s">
        <v>25</v>
      </c>
      <c r="C24" s="24" t="s">
        <v>55</v>
      </c>
      <c r="D24" s="24" t="s">
        <v>47</v>
      </c>
      <c r="E24" s="24" t="s">
        <v>505</v>
      </c>
    </row>
    <row r="25" spans="1:6" x14ac:dyDescent="0.3">
      <c r="A25" s="24" t="s">
        <v>20</v>
      </c>
      <c r="B25" s="25">
        <v>0.66666666666666663</v>
      </c>
      <c r="C25" s="25">
        <v>9.5238095238095233E-2</v>
      </c>
      <c r="D25" s="25">
        <v>0.23809523809523808</v>
      </c>
      <c r="E25" s="25">
        <v>1</v>
      </c>
      <c r="F25" s="22"/>
    </row>
    <row r="26" spans="1:6" x14ac:dyDescent="0.3">
      <c r="A26" s="24" t="s">
        <v>80</v>
      </c>
      <c r="B26" s="25">
        <v>0.72</v>
      </c>
      <c r="C26" s="25">
        <v>0.04</v>
      </c>
      <c r="D26" s="25">
        <v>0.24</v>
      </c>
      <c r="E26" s="25">
        <v>1</v>
      </c>
    </row>
    <row r="27" spans="1:6" x14ac:dyDescent="0.3">
      <c r="A27" s="24" t="s">
        <v>60</v>
      </c>
      <c r="B27" s="25">
        <v>0.7142857142857143</v>
      </c>
      <c r="C27" s="25">
        <v>0.10714285714285714</v>
      </c>
      <c r="D27" s="25">
        <v>0.17857142857142858</v>
      </c>
      <c r="E27" s="25">
        <v>1</v>
      </c>
    </row>
    <row r="28" spans="1:6" x14ac:dyDescent="0.3">
      <c r="A28" s="24" t="s">
        <v>27</v>
      </c>
      <c r="B28" s="25">
        <v>0.79166666666666663</v>
      </c>
      <c r="C28" s="25">
        <v>8.3333333333333329E-2</v>
      </c>
      <c r="D28" s="25">
        <v>0.125</v>
      </c>
      <c r="E28" s="25">
        <v>1</v>
      </c>
    </row>
    <row r="29" spans="1:6" x14ac:dyDescent="0.3">
      <c r="A29" s="24" t="s">
        <v>52</v>
      </c>
      <c r="B29" s="25">
        <v>0.77777777777777779</v>
      </c>
      <c r="C29" s="25">
        <v>7.407407407407407E-2</v>
      </c>
      <c r="D29" s="25">
        <v>0.14814814814814814</v>
      </c>
      <c r="E29" s="25">
        <v>1</v>
      </c>
    </row>
    <row r="30" spans="1:6" x14ac:dyDescent="0.3">
      <c r="A30" s="24" t="s">
        <v>65</v>
      </c>
      <c r="B30" s="25">
        <v>0.70833333333333337</v>
      </c>
      <c r="C30" s="25">
        <v>8.3333333333333329E-2</v>
      </c>
      <c r="D30" s="25">
        <v>0.20833333333333334</v>
      </c>
      <c r="E30" s="25">
        <v>1</v>
      </c>
    </row>
    <row r="31" spans="1:6" x14ac:dyDescent="0.3">
      <c r="A31" s="24" t="s">
        <v>40</v>
      </c>
      <c r="B31" s="25">
        <v>0.77419354838709675</v>
      </c>
      <c r="C31" s="25">
        <v>6.4516129032258063E-2</v>
      </c>
      <c r="D31" s="25">
        <v>0.16129032258064516</v>
      </c>
      <c r="E31" s="25">
        <v>1</v>
      </c>
    </row>
    <row r="32" spans="1:6" x14ac:dyDescent="0.3">
      <c r="A32" s="24" t="s">
        <v>33</v>
      </c>
      <c r="B32" s="25">
        <v>0.7</v>
      </c>
      <c r="C32" s="25">
        <v>0.1</v>
      </c>
      <c r="D32" s="25">
        <v>0.2</v>
      </c>
      <c r="E32" s="25">
        <v>1</v>
      </c>
    </row>
    <row r="33" spans="1:9" x14ac:dyDescent="0.3">
      <c r="A33" s="24" t="s">
        <v>505</v>
      </c>
      <c r="B33" s="25">
        <v>0.73499999999999999</v>
      </c>
      <c r="C33" s="25">
        <v>0.08</v>
      </c>
      <c r="D33" s="25">
        <v>0.185</v>
      </c>
      <c r="E33" s="25">
        <v>1</v>
      </c>
    </row>
    <row r="36" spans="1:9" x14ac:dyDescent="0.3">
      <c r="A36" s="75" t="s">
        <v>488</v>
      </c>
      <c r="B36" s="75"/>
      <c r="C36" s="75"/>
      <c r="D36" s="75"/>
      <c r="E36" s="75"/>
    </row>
    <row r="37" spans="1:9" x14ac:dyDescent="0.3">
      <c r="A37" s="23" t="s">
        <v>515</v>
      </c>
      <c r="B37" s="23" t="s">
        <v>523</v>
      </c>
    </row>
    <row r="38" spans="1:9" x14ac:dyDescent="0.3">
      <c r="A38" s="23" t="s">
        <v>2</v>
      </c>
      <c r="B38" s="24" t="s">
        <v>25</v>
      </c>
      <c r="C38" s="24" t="s">
        <v>55</v>
      </c>
      <c r="D38" t="s">
        <v>47</v>
      </c>
      <c r="E38" s="18" t="s">
        <v>505</v>
      </c>
    </row>
    <row r="39" spans="1:9" x14ac:dyDescent="0.3">
      <c r="A39" s="24" t="s">
        <v>53</v>
      </c>
      <c r="B39" s="25">
        <v>0.80087605370503234</v>
      </c>
      <c r="C39" s="25">
        <v>3.1240667531694112E-2</v>
      </c>
      <c r="D39" s="25">
        <v>0.16788327876327352</v>
      </c>
      <c r="E39" s="25">
        <v>1</v>
      </c>
      <c r="H39" t="str">
        <f>A39</f>
        <v>East</v>
      </c>
      <c r="I39" s="43">
        <f>GETPIVOTDATA("OutstandingPrincipal",$A$37,"Region","East","LoanStatus","NPA")</f>
        <v>3.1240667531694112E-2</v>
      </c>
    </row>
    <row r="40" spans="1:9" x14ac:dyDescent="0.3">
      <c r="A40" s="24" t="s">
        <v>28</v>
      </c>
      <c r="B40" s="25">
        <v>0.68744437797681057</v>
      </c>
      <c r="C40" s="25">
        <v>0.12155986087079249</v>
      </c>
      <c r="D40" s="25">
        <v>0.19099576115239694</v>
      </c>
      <c r="E40" s="25">
        <v>1</v>
      </c>
      <c r="H40" t="str">
        <f t="shared" ref="H40:H42" si="0">A40</f>
        <v>North</v>
      </c>
      <c r="I40" s="43">
        <f>GETPIVOTDATA("OutstandingPrincipal",$A$37,"Region","North","LoanStatus","NPA")</f>
        <v>0.12155986087079249</v>
      </c>
    </row>
    <row r="41" spans="1:9" x14ac:dyDescent="0.3">
      <c r="A41" s="40" t="s">
        <v>21</v>
      </c>
      <c r="B41" s="64">
        <v>0.64728207810397276</v>
      </c>
      <c r="C41" s="64">
        <v>0.13013129656842204</v>
      </c>
      <c r="D41" s="64">
        <v>0.22258662532760518</v>
      </c>
      <c r="E41" s="64">
        <v>1</v>
      </c>
      <c r="H41" t="str">
        <f t="shared" si="0"/>
        <v>South</v>
      </c>
      <c r="I41" s="43">
        <f>GETPIVOTDATA("OutstandingPrincipal",$A$37,"Region","South","LoanStatus","NPA")</f>
        <v>0.13013129656842204</v>
      </c>
    </row>
    <row r="42" spans="1:9" x14ac:dyDescent="0.3">
      <c r="A42" s="24" t="s">
        <v>34</v>
      </c>
      <c r="B42" s="25">
        <v>0.62388643167898239</v>
      </c>
      <c r="C42" s="25">
        <v>0.10813703754202472</v>
      </c>
      <c r="D42" s="25">
        <v>0.26797653077899286</v>
      </c>
      <c r="E42" s="25">
        <v>1</v>
      </c>
      <c r="H42" t="str">
        <f t="shared" si="0"/>
        <v>West</v>
      </c>
      <c r="I42" s="43">
        <f>GETPIVOTDATA("OutstandingPrincipal",$A$37,"Region","West","LoanStatus","NPA")</f>
        <v>0.10813703754202472</v>
      </c>
    </row>
    <row r="43" spans="1:9" x14ac:dyDescent="0.3">
      <c r="A43" s="24" t="s">
        <v>505</v>
      </c>
      <c r="B43" s="25">
        <v>0.69453783844015293</v>
      </c>
      <c r="C43" s="25">
        <v>9.529268078749642E-2</v>
      </c>
      <c r="D43" s="25">
        <v>0.21016948077235065</v>
      </c>
      <c r="E43" s="25">
        <v>1</v>
      </c>
    </row>
    <row r="46" spans="1:9" x14ac:dyDescent="0.3">
      <c r="A46" s="76" t="s">
        <v>489</v>
      </c>
      <c r="B46" s="76"/>
      <c r="C46" s="76"/>
      <c r="D46" s="76"/>
      <c r="E46" s="76"/>
    </row>
    <row r="47" spans="1:9" x14ac:dyDescent="0.3">
      <c r="A47" s="23" t="s">
        <v>522</v>
      </c>
      <c r="B47" s="23" t="s">
        <v>523</v>
      </c>
    </row>
    <row r="48" spans="1:9" x14ac:dyDescent="0.3">
      <c r="A48" s="23" t="s">
        <v>529</v>
      </c>
      <c r="B48" s="24" t="s">
        <v>25</v>
      </c>
      <c r="C48" s="24" t="s">
        <v>55</v>
      </c>
      <c r="D48" t="s">
        <v>47</v>
      </c>
      <c r="E48" s="24" t="s">
        <v>505</v>
      </c>
    </row>
    <row r="49" spans="1:11" x14ac:dyDescent="0.3">
      <c r="A49" s="24" t="s">
        <v>57</v>
      </c>
      <c r="B49" s="25">
        <v>0.63888888888888884</v>
      </c>
      <c r="C49" s="25">
        <v>8.3333333333333329E-2</v>
      </c>
      <c r="D49" s="25">
        <v>0.27777777777777779</v>
      </c>
      <c r="E49" s="25">
        <v>1</v>
      </c>
      <c r="H49" s="43" t="str">
        <f>A49</f>
        <v>Business Loan</v>
      </c>
      <c r="I49" s="43">
        <f>GETPIVOTDATA("LoanID",$A$47,"LoanProduct","Business Loan","LoanStatus","NPA")</f>
        <v>8.3333333333333329E-2</v>
      </c>
    </row>
    <row r="50" spans="1:11" x14ac:dyDescent="0.3">
      <c r="A50" s="24" t="s">
        <v>29</v>
      </c>
      <c r="B50" s="25">
        <v>0.92500000000000004</v>
      </c>
      <c r="C50" s="25">
        <v>2.5000000000000001E-2</v>
      </c>
      <c r="D50" s="25">
        <v>0.05</v>
      </c>
      <c r="E50" s="25">
        <v>1</v>
      </c>
      <c r="H50" s="43" t="str">
        <f>A50</f>
        <v>Gold Loan</v>
      </c>
      <c r="I50" s="43">
        <f>GETPIVOTDATA("LoanID",$A$47,"LoanProduct","Gold Loan","LoanStatus","NPA")</f>
        <v>2.5000000000000001E-2</v>
      </c>
    </row>
    <row r="51" spans="1:11" x14ac:dyDescent="0.3">
      <c r="A51" s="24" t="s">
        <v>49</v>
      </c>
      <c r="B51" s="25">
        <v>0.73529411764705888</v>
      </c>
      <c r="C51" s="25">
        <v>8.8235294117647065E-2</v>
      </c>
      <c r="D51" s="25">
        <v>0.17647058823529413</v>
      </c>
      <c r="E51" s="25">
        <v>1</v>
      </c>
      <c r="H51" s="43" t="str">
        <f>A51</f>
        <v>Home Improvement Loan</v>
      </c>
      <c r="I51" s="43">
        <f>GETPIVOTDATA("LoanID",$A$47,"LoanProduct","Home Improvement Loan","LoanStatus","NPA")</f>
        <v>8.8235294117647065E-2</v>
      </c>
    </row>
    <row r="52" spans="1:11" x14ac:dyDescent="0.3">
      <c r="A52" s="41" t="s">
        <v>35</v>
      </c>
      <c r="B52" s="26">
        <v>0.56818181818181823</v>
      </c>
      <c r="C52" s="26">
        <v>0.13636363636363635</v>
      </c>
      <c r="D52" s="26">
        <v>0.29545454545454547</v>
      </c>
      <c r="E52" s="26">
        <v>1</v>
      </c>
      <c r="H52" s="43" t="str">
        <f>A52</f>
        <v>Personal Loan</v>
      </c>
      <c r="I52" s="43">
        <f>GETPIVOTDATA("LoanID",$A$47,"LoanProduct","Personal Loan","LoanStatus","NPA")</f>
        <v>0.13636363636363635</v>
      </c>
    </row>
    <row r="53" spans="1:11" x14ac:dyDescent="0.3">
      <c r="A53" s="24" t="s">
        <v>22</v>
      </c>
      <c r="B53" s="25">
        <v>0.80434782608695654</v>
      </c>
      <c r="C53" s="25">
        <v>6.5217391304347824E-2</v>
      </c>
      <c r="D53" s="25">
        <v>0.13043478260869565</v>
      </c>
      <c r="E53" s="25">
        <v>1</v>
      </c>
      <c r="H53" s="43" t="str">
        <f>A53</f>
        <v>Vehicle Loan</v>
      </c>
      <c r="I53" s="43">
        <f>GETPIVOTDATA("LoanID",$A$47,"LoanProduct","Vehicle Loan","LoanStatus","NPA")</f>
        <v>6.5217391304347824E-2</v>
      </c>
    </row>
    <row r="54" spans="1:11" x14ac:dyDescent="0.3">
      <c r="A54" s="24" t="s">
        <v>505</v>
      </c>
      <c r="B54" s="25">
        <v>0.73499999999999999</v>
      </c>
      <c r="C54" s="25">
        <v>0.08</v>
      </c>
      <c r="D54" s="25">
        <v>0.185</v>
      </c>
      <c r="E54" s="25">
        <v>1</v>
      </c>
    </row>
    <row r="57" spans="1:11" x14ac:dyDescent="0.3">
      <c r="A57" s="76" t="s">
        <v>490</v>
      </c>
      <c r="B57" s="76"/>
      <c r="C57" s="76"/>
      <c r="D57" s="76"/>
      <c r="E57" s="76"/>
    </row>
    <row r="58" spans="1:11" x14ac:dyDescent="0.3">
      <c r="A58" s="23" t="s">
        <v>522</v>
      </c>
      <c r="B58" s="23" t="s">
        <v>523</v>
      </c>
      <c r="H58" s="24"/>
    </row>
    <row r="59" spans="1:11" x14ac:dyDescent="0.3">
      <c r="A59" s="23" t="s">
        <v>528</v>
      </c>
      <c r="B59" s="24" t="s">
        <v>25</v>
      </c>
      <c r="C59" s="24" t="s">
        <v>55</v>
      </c>
      <c r="D59" s="24" t="s">
        <v>47</v>
      </c>
      <c r="E59" s="24" t="s">
        <v>505</v>
      </c>
      <c r="G59" s="28" t="s">
        <v>528</v>
      </c>
      <c r="H59" s="28" t="s">
        <v>25</v>
      </c>
      <c r="I59" s="28" t="s">
        <v>55</v>
      </c>
      <c r="J59" s="28" t="s">
        <v>47</v>
      </c>
      <c r="K59" s="28" t="s">
        <v>505</v>
      </c>
    </row>
    <row r="60" spans="1:11" x14ac:dyDescent="0.3">
      <c r="A60" s="24" t="s">
        <v>33</v>
      </c>
      <c r="B60" s="25">
        <v>0.7</v>
      </c>
      <c r="C60" s="25">
        <v>0.1</v>
      </c>
      <c r="D60" s="25">
        <v>0.2</v>
      </c>
      <c r="E60" s="25">
        <v>1</v>
      </c>
      <c r="G60" s="28" t="s">
        <v>80</v>
      </c>
      <c r="H60" s="29">
        <v>0.72</v>
      </c>
      <c r="I60" s="29">
        <v>0.04</v>
      </c>
      <c r="J60" s="29">
        <v>0.24</v>
      </c>
      <c r="K60" s="29">
        <v>1</v>
      </c>
    </row>
    <row r="61" spans="1:11" x14ac:dyDescent="0.3">
      <c r="A61" s="24" t="s">
        <v>40</v>
      </c>
      <c r="B61" s="25">
        <v>0.77419354838709675</v>
      </c>
      <c r="C61" s="25">
        <v>6.4516129032258063E-2</v>
      </c>
      <c r="D61" s="25">
        <v>0.16129032258064516</v>
      </c>
      <c r="E61" s="25">
        <v>1</v>
      </c>
      <c r="G61" s="28" t="s">
        <v>40</v>
      </c>
      <c r="H61" s="29">
        <v>0.77419354838709675</v>
      </c>
      <c r="I61" s="29">
        <v>6.4516129032258063E-2</v>
      </c>
      <c r="J61" s="29">
        <v>0.16129032258064516</v>
      </c>
      <c r="K61" s="29">
        <v>1</v>
      </c>
    </row>
    <row r="62" spans="1:11" x14ac:dyDescent="0.3">
      <c r="A62" s="24" t="s">
        <v>65</v>
      </c>
      <c r="B62" s="25">
        <v>0.70833333333333337</v>
      </c>
      <c r="C62" s="25">
        <v>8.3333333333333329E-2</v>
      </c>
      <c r="D62" s="25">
        <v>0.20833333333333334</v>
      </c>
      <c r="E62" s="25">
        <v>1</v>
      </c>
      <c r="G62" s="28" t="s">
        <v>52</v>
      </c>
      <c r="H62" s="29">
        <v>0.77777777777777779</v>
      </c>
      <c r="I62" s="29">
        <v>7.407407407407407E-2</v>
      </c>
      <c r="J62" s="29">
        <v>0.14814814814814814</v>
      </c>
      <c r="K62" s="29">
        <v>1</v>
      </c>
    </row>
    <row r="63" spans="1:11" x14ac:dyDescent="0.3">
      <c r="A63" s="24" t="s">
        <v>52</v>
      </c>
      <c r="B63" s="25">
        <v>0.77777777777777779</v>
      </c>
      <c r="C63" s="25">
        <v>7.407407407407407E-2</v>
      </c>
      <c r="D63" s="25">
        <v>0.14814814814814814</v>
      </c>
      <c r="E63" s="25">
        <v>1</v>
      </c>
      <c r="G63" s="28" t="s">
        <v>27</v>
      </c>
      <c r="H63" s="29">
        <v>0.79166666666666663</v>
      </c>
      <c r="I63" s="29">
        <v>8.3333333333333329E-2</v>
      </c>
      <c r="J63" s="29">
        <v>0.125</v>
      </c>
      <c r="K63" s="29">
        <v>1</v>
      </c>
    </row>
    <row r="64" spans="1:11" x14ac:dyDescent="0.3">
      <c r="A64" s="24" t="s">
        <v>27</v>
      </c>
      <c r="B64" s="25">
        <v>0.79166666666666663</v>
      </c>
      <c r="C64" s="25">
        <v>8.3333333333333329E-2</v>
      </c>
      <c r="D64" s="25">
        <v>0.125</v>
      </c>
      <c r="E64" s="25">
        <v>1</v>
      </c>
      <c r="G64" s="28" t="s">
        <v>65</v>
      </c>
      <c r="H64" s="29">
        <v>0.70833333333333337</v>
      </c>
      <c r="I64" s="29">
        <v>8.3333333333333329E-2</v>
      </c>
      <c r="J64" s="29">
        <v>0.20833333333333334</v>
      </c>
      <c r="K64" s="29">
        <v>1</v>
      </c>
    </row>
    <row r="65" spans="1:11" x14ac:dyDescent="0.3">
      <c r="A65" s="24" t="s">
        <v>60</v>
      </c>
      <c r="B65" s="25">
        <v>0.7142857142857143</v>
      </c>
      <c r="C65" s="25">
        <v>0.10714285714285714</v>
      </c>
      <c r="D65" s="25">
        <v>0.17857142857142858</v>
      </c>
      <c r="E65" s="25">
        <v>1</v>
      </c>
      <c r="G65" s="28" t="s">
        <v>20</v>
      </c>
      <c r="H65" s="29">
        <v>0.66666666666666663</v>
      </c>
      <c r="I65" s="29">
        <v>9.5238095238095233E-2</v>
      </c>
      <c r="J65" s="29">
        <v>0.23809523809523808</v>
      </c>
      <c r="K65" s="29">
        <v>1</v>
      </c>
    </row>
    <row r="66" spans="1:11" x14ac:dyDescent="0.3">
      <c r="A66" s="24" t="s">
        <v>80</v>
      </c>
      <c r="B66" s="25">
        <v>0.72</v>
      </c>
      <c r="C66" s="25">
        <v>0.04</v>
      </c>
      <c r="D66" s="25">
        <v>0.24</v>
      </c>
      <c r="E66" s="25">
        <v>1</v>
      </c>
      <c r="G66" s="28" t="s">
        <v>33</v>
      </c>
      <c r="H66" s="29">
        <v>0.7</v>
      </c>
      <c r="I66" s="29">
        <v>0.1</v>
      </c>
      <c r="J66" s="29">
        <v>0.2</v>
      </c>
      <c r="K66" s="29">
        <v>1</v>
      </c>
    </row>
    <row r="67" spans="1:11" x14ac:dyDescent="0.3">
      <c r="A67" s="24" t="s">
        <v>20</v>
      </c>
      <c r="B67" s="25">
        <v>0.66666666666666663</v>
      </c>
      <c r="C67" s="25">
        <v>9.5238095238095233E-2</v>
      </c>
      <c r="D67" s="25">
        <v>0.23809523809523808</v>
      </c>
      <c r="E67" s="25">
        <v>1</v>
      </c>
      <c r="G67" s="28" t="s">
        <v>60</v>
      </c>
      <c r="H67" s="29">
        <v>0.7142857142857143</v>
      </c>
      <c r="I67" s="29">
        <v>0.10714285714285714</v>
      </c>
      <c r="J67" s="29">
        <v>0.17857142857142858</v>
      </c>
      <c r="K67" s="29">
        <v>1</v>
      </c>
    </row>
    <row r="68" spans="1:11" x14ac:dyDescent="0.3">
      <c r="A68" s="24" t="s">
        <v>505</v>
      </c>
      <c r="B68" s="25">
        <v>0.73499999999999999</v>
      </c>
      <c r="C68" s="25">
        <v>0.08</v>
      </c>
      <c r="D68" s="25">
        <v>0.185</v>
      </c>
      <c r="E68" s="25">
        <v>1</v>
      </c>
    </row>
    <row r="71" spans="1:11" x14ac:dyDescent="0.3">
      <c r="A71" s="79" t="s">
        <v>492</v>
      </c>
      <c r="B71" s="79"/>
      <c r="C71" s="79"/>
      <c r="D71" s="79"/>
      <c r="E71" s="79"/>
    </row>
    <row r="72" spans="1:11" x14ac:dyDescent="0.3">
      <c r="A72" s="23" t="s">
        <v>522</v>
      </c>
      <c r="B72" s="23" t="s">
        <v>523</v>
      </c>
    </row>
    <row r="73" spans="1:11" x14ac:dyDescent="0.3">
      <c r="A73" s="23" t="s">
        <v>532</v>
      </c>
      <c r="B73" s="24" t="s">
        <v>25</v>
      </c>
      <c r="C73" s="24" t="s">
        <v>55</v>
      </c>
      <c r="D73" t="s">
        <v>47</v>
      </c>
      <c r="E73" s="24" t="s">
        <v>505</v>
      </c>
    </row>
    <row r="74" spans="1:11" x14ac:dyDescent="0.3">
      <c r="A74" s="24" t="s">
        <v>42</v>
      </c>
      <c r="B74" s="25">
        <v>0.67647058823529416</v>
      </c>
      <c r="C74" s="25">
        <v>0.10294117647058823</v>
      </c>
      <c r="D74" s="25">
        <v>0.22058823529411764</v>
      </c>
      <c r="E74" s="25">
        <v>1</v>
      </c>
      <c r="G74" t="str">
        <f>A74</f>
        <v>Business Owner</v>
      </c>
      <c r="H74" s="43">
        <f>GETPIVOTDATA("LoanID",$A$72,"EmploymentType","Business Owner","LoanStatus","NPA")</f>
        <v>0.10294117647058823</v>
      </c>
    </row>
    <row r="75" spans="1:11" x14ac:dyDescent="0.3">
      <c r="A75" s="24" t="s">
        <v>31</v>
      </c>
      <c r="B75" s="25">
        <v>0.83783783783783783</v>
      </c>
      <c r="C75" s="25">
        <v>5.4054054054054057E-2</v>
      </c>
      <c r="D75" s="25">
        <v>0.10810810810810811</v>
      </c>
      <c r="E75" s="25">
        <v>1</v>
      </c>
      <c r="G75" t="str">
        <f>A75</f>
        <v>Salaried</v>
      </c>
      <c r="H75" s="43">
        <f>GETPIVOTDATA("LoanID",$A$72,"EmploymentType","Salaried","LoanStatus","NPA")</f>
        <v>5.4054054054054057E-2</v>
      </c>
    </row>
    <row r="76" spans="1:11" x14ac:dyDescent="0.3">
      <c r="A76" s="24" t="s">
        <v>24</v>
      </c>
      <c r="B76" s="25">
        <v>0.67241379310344829</v>
      </c>
      <c r="C76" s="25">
        <v>8.6206896551724144E-2</v>
      </c>
      <c r="D76" s="25">
        <v>0.2413793103448276</v>
      </c>
      <c r="E76" s="25">
        <v>1</v>
      </c>
      <c r="G76" t="str">
        <f>A76</f>
        <v>Self-Employed</v>
      </c>
      <c r="H76" s="43">
        <f>GETPIVOTDATA("LoanID",$A$72,"EmploymentType","Self-Employed","LoanStatus","NPA")</f>
        <v>8.6206896551724144E-2</v>
      </c>
    </row>
    <row r="77" spans="1:11" x14ac:dyDescent="0.3">
      <c r="A77" s="24" t="s">
        <v>505</v>
      </c>
      <c r="B77" s="25">
        <v>0.73499999999999999</v>
      </c>
      <c r="C77" s="25">
        <v>0.08</v>
      </c>
      <c r="D77" s="25">
        <v>0.185</v>
      </c>
      <c r="E77" s="25">
        <v>1</v>
      </c>
      <c r="H77" s="43"/>
    </row>
    <row r="80" spans="1:11" x14ac:dyDescent="0.3">
      <c r="A80" s="76" t="s">
        <v>493</v>
      </c>
      <c r="B80" s="76"/>
      <c r="C80" s="76"/>
      <c r="D80" s="76"/>
      <c r="E80" s="76"/>
    </row>
    <row r="81" spans="1:7" x14ac:dyDescent="0.3">
      <c r="A81" s="23" t="s">
        <v>522</v>
      </c>
      <c r="B81" s="23" t="s">
        <v>523</v>
      </c>
    </row>
    <row r="82" spans="1:7" x14ac:dyDescent="0.3">
      <c r="A82" s="23" t="s">
        <v>551</v>
      </c>
      <c r="B82" s="24" t="s">
        <v>25</v>
      </c>
      <c r="C82" s="24" t="s">
        <v>55</v>
      </c>
      <c r="D82" t="s">
        <v>47</v>
      </c>
      <c r="E82" s="24" t="s">
        <v>505</v>
      </c>
    </row>
    <row r="83" spans="1:7" x14ac:dyDescent="0.3">
      <c r="A83" s="24" t="s">
        <v>537</v>
      </c>
      <c r="B83" s="25">
        <v>0.72727272727272729</v>
      </c>
      <c r="C83" s="25">
        <v>6.0606060606060608E-2</v>
      </c>
      <c r="D83" s="25">
        <v>0.21212121212121213</v>
      </c>
      <c r="E83" s="25">
        <v>1</v>
      </c>
    </row>
    <row r="84" spans="1:7" x14ac:dyDescent="0.3">
      <c r="A84" s="24" t="s">
        <v>538</v>
      </c>
      <c r="B84" s="25">
        <v>0.74545454545454548</v>
      </c>
      <c r="C84" s="25">
        <v>0.10909090909090909</v>
      </c>
      <c r="D84" s="25">
        <v>0.14545454545454545</v>
      </c>
      <c r="E84" s="25">
        <v>1</v>
      </c>
    </row>
    <row r="85" spans="1:7" x14ac:dyDescent="0.3">
      <c r="A85" s="24" t="s">
        <v>539</v>
      </c>
      <c r="B85" s="25">
        <v>0.70491803278688525</v>
      </c>
      <c r="C85" s="25">
        <v>9.8360655737704916E-2</v>
      </c>
      <c r="D85" s="25">
        <v>0.19672131147540983</v>
      </c>
      <c r="E85" s="25">
        <v>1</v>
      </c>
    </row>
    <row r="86" spans="1:7" x14ac:dyDescent="0.3">
      <c r="A86" s="24" t="s">
        <v>540</v>
      </c>
      <c r="B86" s="25">
        <v>0.76470588235294112</v>
      </c>
      <c r="C86" s="25">
        <v>3.9215686274509803E-2</v>
      </c>
      <c r="D86" s="25">
        <v>0.19607843137254902</v>
      </c>
      <c r="E86" s="25">
        <v>1</v>
      </c>
    </row>
    <row r="87" spans="1:7" x14ac:dyDescent="0.3">
      <c r="A87" s="24" t="s">
        <v>505</v>
      </c>
      <c r="B87" s="25">
        <v>0.73499999999999999</v>
      </c>
      <c r="C87" s="25">
        <v>0.08</v>
      </c>
      <c r="D87" s="25">
        <v>0.185</v>
      </c>
      <c r="E87" s="25">
        <v>1</v>
      </c>
    </row>
    <row r="90" spans="1:7" x14ac:dyDescent="0.3">
      <c r="A90" s="75" t="s">
        <v>494</v>
      </c>
      <c r="B90" s="76"/>
      <c r="C90" s="76"/>
      <c r="D90" s="76"/>
      <c r="E90" s="76"/>
    </row>
    <row r="91" spans="1:7" x14ac:dyDescent="0.3">
      <c r="A91" s="23" t="s">
        <v>522</v>
      </c>
      <c r="B91" s="23" t="s">
        <v>523</v>
      </c>
    </row>
    <row r="92" spans="1:7" x14ac:dyDescent="0.3">
      <c r="A92" s="23" t="s">
        <v>532</v>
      </c>
      <c r="B92" s="24" t="s">
        <v>25</v>
      </c>
      <c r="C92" s="24" t="s">
        <v>55</v>
      </c>
      <c r="D92" t="s">
        <v>47</v>
      </c>
      <c r="E92" s="24" t="s">
        <v>505</v>
      </c>
    </row>
    <row r="93" spans="1:7" x14ac:dyDescent="0.3">
      <c r="A93" s="24" t="s">
        <v>42</v>
      </c>
      <c r="B93" s="25">
        <v>0.67647058823529416</v>
      </c>
      <c r="C93" s="25">
        <v>0.10294117647058823</v>
      </c>
      <c r="D93" s="25">
        <v>0.22058823529411764</v>
      </c>
      <c r="E93" s="25">
        <v>1</v>
      </c>
    </row>
    <row r="94" spans="1:7" x14ac:dyDescent="0.3">
      <c r="A94" s="24" t="s">
        <v>57</v>
      </c>
      <c r="B94" s="25">
        <v>0.5714285714285714</v>
      </c>
      <c r="C94" s="25">
        <v>0.14285714285714285</v>
      </c>
      <c r="D94" s="25">
        <v>0.2857142857142857</v>
      </c>
      <c r="E94" s="25">
        <v>1</v>
      </c>
    </row>
    <row r="95" spans="1:7" x14ac:dyDescent="0.3">
      <c r="A95" s="24" t="s">
        <v>29</v>
      </c>
      <c r="B95" s="25">
        <v>0.82352941176470584</v>
      </c>
      <c r="C95" s="25">
        <v>5.8823529411764705E-2</v>
      </c>
      <c r="D95" s="25">
        <v>0.11764705882352941</v>
      </c>
      <c r="E95" s="25">
        <v>1</v>
      </c>
      <c r="G95" s="43"/>
    </row>
    <row r="96" spans="1:7" x14ac:dyDescent="0.3">
      <c r="A96" s="24" t="s">
        <v>49</v>
      </c>
      <c r="B96" s="25">
        <v>0.75</v>
      </c>
      <c r="C96" s="25">
        <v>0</v>
      </c>
      <c r="D96" s="25">
        <v>0.25</v>
      </c>
      <c r="E96" s="25">
        <v>1</v>
      </c>
    </row>
    <row r="97" spans="1:5" x14ac:dyDescent="0.3">
      <c r="A97" s="41" t="s">
        <v>35</v>
      </c>
      <c r="B97" s="26">
        <v>0.5</v>
      </c>
      <c r="C97" s="26">
        <v>0.21428571428571427</v>
      </c>
      <c r="D97" s="26">
        <v>0.2857142857142857</v>
      </c>
      <c r="E97" s="26">
        <v>1</v>
      </c>
    </row>
    <row r="98" spans="1:5" x14ac:dyDescent="0.3">
      <c r="A98" s="24" t="s">
        <v>22</v>
      </c>
      <c r="B98" s="25">
        <v>0.73333333333333328</v>
      </c>
      <c r="C98" s="25">
        <v>6.6666666666666666E-2</v>
      </c>
      <c r="D98" s="25">
        <v>0.2</v>
      </c>
      <c r="E98" s="25">
        <v>1</v>
      </c>
    </row>
    <row r="99" spans="1:5" x14ac:dyDescent="0.3">
      <c r="A99" s="24" t="s">
        <v>505</v>
      </c>
      <c r="B99" s="25">
        <v>0.67647058823529416</v>
      </c>
      <c r="C99" s="25">
        <v>0.10294117647058823</v>
      </c>
      <c r="D99" s="25">
        <v>0.22058823529411764</v>
      </c>
      <c r="E99" s="25">
        <v>1</v>
      </c>
    </row>
    <row r="102" spans="1:5" x14ac:dyDescent="0.3">
      <c r="A102" s="76" t="s">
        <v>496</v>
      </c>
      <c r="B102" s="76"/>
    </row>
    <row r="103" spans="1:5" x14ac:dyDescent="0.3">
      <c r="A103" s="23" t="s">
        <v>550</v>
      </c>
      <c r="B103" s="24" t="s">
        <v>545</v>
      </c>
    </row>
    <row r="104" spans="1:5" x14ac:dyDescent="0.3">
      <c r="A104" s="40" t="s">
        <v>52</v>
      </c>
      <c r="B104" s="31">
        <v>570012</v>
      </c>
    </row>
    <row r="105" spans="1:5" x14ac:dyDescent="0.3">
      <c r="A105" s="24" t="s">
        <v>80</v>
      </c>
      <c r="B105" s="30">
        <v>559662</v>
      </c>
    </row>
    <row r="106" spans="1:5" x14ac:dyDescent="0.3">
      <c r="A106" s="24" t="s">
        <v>40</v>
      </c>
      <c r="B106" s="30">
        <v>509710</v>
      </c>
    </row>
    <row r="107" spans="1:5" x14ac:dyDescent="0.3">
      <c r="A107" s="24" t="s">
        <v>20</v>
      </c>
      <c r="B107" s="30">
        <v>437013</v>
      </c>
    </row>
    <row r="108" spans="1:5" x14ac:dyDescent="0.3">
      <c r="A108" s="24" t="s">
        <v>27</v>
      </c>
      <c r="B108" s="30">
        <v>421154</v>
      </c>
    </row>
    <row r="109" spans="1:5" x14ac:dyDescent="0.3">
      <c r="A109" s="24" t="s">
        <v>65</v>
      </c>
      <c r="B109" s="30">
        <v>385297</v>
      </c>
    </row>
    <row r="110" spans="1:5" x14ac:dyDescent="0.3">
      <c r="A110" s="24" t="s">
        <v>33</v>
      </c>
      <c r="B110" s="30">
        <v>381305</v>
      </c>
    </row>
    <row r="111" spans="1:5" x14ac:dyDescent="0.3">
      <c r="A111" s="24" t="s">
        <v>60</v>
      </c>
      <c r="B111" s="30">
        <v>364603</v>
      </c>
    </row>
    <row r="112" spans="1:5" x14ac:dyDescent="0.3">
      <c r="A112" s="24" t="s">
        <v>505</v>
      </c>
      <c r="B112" s="30">
        <v>3628756</v>
      </c>
    </row>
    <row r="115" spans="1:4" x14ac:dyDescent="0.3">
      <c r="A115" s="76" t="s">
        <v>497</v>
      </c>
      <c r="B115" s="76"/>
      <c r="C115" s="76"/>
      <c r="D115" s="76"/>
    </row>
    <row r="116" spans="1:4" x14ac:dyDescent="0.3">
      <c r="A116" s="23" t="s">
        <v>549</v>
      </c>
      <c r="B116" s="24" t="s">
        <v>503</v>
      </c>
      <c r="C116" s="24" t="s">
        <v>545</v>
      </c>
      <c r="D116" t="s">
        <v>548</v>
      </c>
    </row>
    <row r="117" spans="1:4" x14ac:dyDescent="0.3">
      <c r="A117" s="24" t="s">
        <v>57</v>
      </c>
      <c r="B117" s="32">
        <v>38732000</v>
      </c>
      <c r="C117" s="32">
        <v>1452248</v>
      </c>
      <c r="D117" s="33">
        <v>3.7494784674171229E-2</v>
      </c>
    </row>
    <row r="118" spans="1:4" x14ac:dyDescent="0.3">
      <c r="A118" s="24" t="s">
        <v>29</v>
      </c>
      <c r="B118" s="32">
        <v>6436000</v>
      </c>
      <c r="C118" s="32">
        <v>159655</v>
      </c>
      <c r="D118" s="33">
        <v>2.480655686761964E-2</v>
      </c>
    </row>
    <row r="119" spans="1:4" x14ac:dyDescent="0.3">
      <c r="A119" s="24" t="s">
        <v>49</v>
      </c>
      <c r="B119" s="32">
        <v>16960000</v>
      </c>
      <c r="C119" s="32">
        <v>545144</v>
      </c>
      <c r="D119" s="33">
        <v>3.2142924528301885E-2</v>
      </c>
    </row>
    <row r="120" spans="1:4" x14ac:dyDescent="0.3">
      <c r="A120" s="40" t="s">
        <v>35</v>
      </c>
      <c r="B120" s="34">
        <v>13791000</v>
      </c>
      <c r="C120" s="34">
        <v>584395</v>
      </c>
      <c r="D120" s="35">
        <v>4.2375099702704665E-2</v>
      </c>
    </row>
    <row r="121" spans="1:4" x14ac:dyDescent="0.3">
      <c r="A121" s="24" t="s">
        <v>22</v>
      </c>
      <c r="B121" s="32">
        <v>33456000</v>
      </c>
      <c r="C121" s="32">
        <v>887314</v>
      </c>
      <c r="D121" s="33">
        <v>2.6521819703491153E-2</v>
      </c>
    </row>
    <row r="122" spans="1:4" x14ac:dyDescent="0.3">
      <c r="A122" s="24" t="s">
        <v>505</v>
      </c>
      <c r="B122" s="32">
        <v>109375000</v>
      </c>
      <c r="C122" s="32">
        <v>3628756</v>
      </c>
      <c r="D122" s="33">
        <v>3.3177197714285712E-2</v>
      </c>
    </row>
    <row r="126" spans="1:4" x14ac:dyDescent="0.3">
      <c r="A126" s="23" t="s">
        <v>528</v>
      </c>
      <c r="B126" s="24" t="s">
        <v>503</v>
      </c>
      <c r="C126" s="24" t="s">
        <v>545</v>
      </c>
    </row>
    <row r="127" spans="1:4" x14ac:dyDescent="0.3">
      <c r="A127" s="24" t="s">
        <v>33</v>
      </c>
      <c r="B127" s="32">
        <v>11883000</v>
      </c>
      <c r="C127" s="32">
        <v>381305</v>
      </c>
    </row>
    <row r="128" spans="1:4" x14ac:dyDescent="0.3">
      <c r="A128" s="24" t="s">
        <v>40</v>
      </c>
      <c r="B128" s="32">
        <v>14525000</v>
      </c>
      <c r="C128" s="32">
        <v>509710</v>
      </c>
    </row>
    <row r="129" spans="1:3" x14ac:dyDescent="0.3">
      <c r="A129" s="24" t="s">
        <v>65</v>
      </c>
      <c r="B129" s="32">
        <v>15160000</v>
      </c>
      <c r="C129" s="32">
        <v>385297</v>
      </c>
    </row>
    <row r="130" spans="1:3" x14ac:dyDescent="0.3">
      <c r="A130" s="24" t="s">
        <v>52</v>
      </c>
      <c r="B130" s="32">
        <v>14587000</v>
      </c>
      <c r="C130" s="32">
        <v>570012</v>
      </c>
    </row>
    <row r="131" spans="1:3" x14ac:dyDescent="0.3">
      <c r="A131" s="24" t="s">
        <v>27</v>
      </c>
      <c r="B131" s="32">
        <v>12263000</v>
      </c>
      <c r="C131" s="32">
        <v>421154</v>
      </c>
    </row>
    <row r="132" spans="1:3" x14ac:dyDescent="0.3">
      <c r="A132" s="24" t="s">
        <v>60</v>
      </c>
      <c r="B132" s="32">
        <v>11417000</v>
      </c>
      <c r="C132" s="32">
        <v>364603</v>
      </c>
    </row>
    <row r="133" spans="1:3" x14ac:dyDescent="0.3">
      <c r="A133" s="24" t="s">
        <v>80</v>
      </c>
      <c r="B133" s="32">
        <v>16066000</v>
      </c>
      <c r="C133" s="32">
        <v>559662</v>
      </c>
    </row>
    <row r="134" spans="1:3" x14ac:dyDescent="0.3">
      <c r="A134" s="24" t="s">
        <v>20</v>
      </c>
      <c r="B134" s="32">
        <v>13474000</v>
      </c>
      <c r="C134" s="32">
        <v>437013</v>
      </c>
    </row>
    <row r="135" spans="1:3" x14ac:dyDescent="0.3">
      <c r="A135" s="24" t="s">
        <v>505</v>
      </c>
      <c r="B135" s="32">
        <v>109375000</v>
      </c>
      <c r="C135" s="32">
        <v>3628756</v>
      </c>
    </row>
    <row r="138" spans="1:3" x14ac:dyDescent="0.3">
      <c r="A138" s="76" t="s">
        <v>500</v>
      </c>
      <c r="B138" s="76"/>
      <c r="C138" s="76"/>
    </row>
    <row r="139" spans="1:3" x14ac:dyDescent="0.3">
      <c r="A139" s="23" t="s">
        <v>559</v>
      </c>
      <c r="B139" s="24" t="s">
        <v>522</v>
      </c>
      <c r="C139" s="24" t="s">
        <v>515</v>
      </c>
    </row>
    <row r="140" spans="1:3" x14ac:dyDescent="0.3">
      <c r="A140" s="24" t="s">
        <v>47</v>
      </c>
      <c r="B140" s="32">
        <v>37</v>
      </c>
      <c r="C140" s="32">
        <v>20870151</v>
      </c>
    </row>
    <row r="141" spans="1:3" x14ac:dyDescent="0.3">
      <c r="A141" s="24" t="s">
        <v>505</v>
      </c>
      <c r="B141" s="32">
        <v>37</v>
      </c>
      <c r="C141" s="32">
        <v>20870151</v>
      </c>
    </row>
    <row r="144" spans="1:3" x14ac:dyDescent="0.3">
      <c r="A144" s="75" t="s">
        <v>501</v>
      </c>
      <c r="B144" s="75"/>
      <c r="C144" s="75"/>
    </row>
    <row r="145" spans="1:3" x14ac:dyDescent="0.3">
      <c r="A145" s="23" t="s">
        <v>522</v>
      </c>
      <c r="B145" s="23" t="s">
        <v>523</v>
      </c>
    </row>
    <row r="146" spans="1:3" x14ac:dyDescent="0.3">
      <c r="A146" s="23" t="s">
        <v>528</v>
      </c>
      <c r="B146" s="24" t="s">
        <v>47</v>
      </c>
      <c r="C146" s="24" t="s">
        <v>505</v>
      </c>
    </row>
    <row r="147" spans="1:3" x14ac:dyDescent="0.3">
      <c r="A147" s="41" t="s">
        <v>80</v>
      </c>
      <c r="B147" s="39">
        <v>6</v>
      </c>
      <c r="C147" s="39">
        <v>6</v>
      </c>
    </row>
    <row r="148" spans="1:3" x14ac:dyDescent="0.3">
      <c r="A148" s="24" t="s">
        <v>60</v>
      </c>
      <c r="B148" s="32">
        <v>5</v>
      </c>
      <c r="C148" s="32">
        <v>5</v>
      </c>
    </row>
    <row r="149" spans="1:3" x14ac:dyDescent="0.3">
      <c r="A149" s="24" t="s">
        <v>20</v>
      </c>
      <c r="B149" s="32">
        <v>5</v>
      </c>
      <c r="C149" s="32">
        <v>5</v>
      </c>
    </row>
    <row r="150" spans="1:3" x14ac:dyDescent="0.3">
      <c r="A150" s="24" t="s">
        <v>40</v>
      </c>
      <c r="B150" s="32">
        <v>5</v>
      </c>
      <c r="C150" s="32">
        <v>5</v>
      </c>
    </row>
    <row r="151" spans="1:3" x14ac:dyDescent="0.3">
      <c r="A151" s="24" t="s">
        <v>65</v>
      </c>
      <c r="B151" s="32">
        <v>5</v>
      </c>
      <c r="C151" s="32">
        <v>5</v>
      </c>
    </row>
    <row r="152" spans="1:3" x14ac:dyDescent="0.3">
      <c r="A152" s="24" t="s">
        <v>52</v>
      </c>
      <c r="B152" s="32">
        <v>4</v>
      </c>
      <c r="C152" s="32">
        <v>4</v>
      </c>
    </row>
    <row r="153" spans="1:3" x14ac:dyDescent="0.3">
      <c r="A153" s="24" t="s">
        <v>33</v>
      </c>
      <c r="B153" s="32">
        <v>4</v>
      </c>
      <c r="C153" s="32">
        <v>4</v>
      </c>
    </row>
    <row r="154" spans="1:3" x14ac:dyDescent="0.3">
      <c r="A154" s="24" t="s">
        <v>27</v>
      </c>
      <c r="B154" s="32">
        <v>3</v>
      </c>
      <c r="C154" s="32">
        <v>3</v>
      </c>
    </row>
    <row r="155" spans="1:3" x14ac:dyDescent="0.3">
      <c r="A155" s="24" t="s">
        <v>505</v>
      </c>
      <c r="B155" s="32">
        <v>37</v>
      </c>
      <c r="C155" s="32">
        <v>37</v>
      </c>
    </row>
    <row r="182" spans="1:5" x14ac:dyDescent="0.3">
      <c r="A182" s="24" t="s">
        <v>562</v>
      </c>
    </row>
    <row r="183" spans="1:5" x14ac:dyDescent="0.3">
      <c r="A183" s="18" t="s">
        <v>515</v>
      </c>
    </row>
    <row r="184" spans="1:5" x14ac:dyDescent="0.3">
      <c r="A184" s="30">
        <v>99301530</v>
      </c>
    </row>
    <row r="185" spans="1:5" x14ac:dyDescent="0.3">
      <c r="A185"/>
    </row>
    <row r="186" spans="1:5" x14ac:dyDescent="0.3">
      <c r="A186" s="18" t="s">
        <v>563</v>
      </c>
      <c r="B186"/>
      <c r="C186"/>
      <c r="D186"/>
    </row>
    <row r="187" spans="1:5" x14ac:dyDescent="0.3">
      <c r="A187" s="18" t="s">
        <v>522</v>
      </c>
      <c r="B187"/>
      <c r="C187"/>
      <c r="D187"/>
    </row>
    <row r="188" spans="1:5" x14ac:dyDescent="0.3">
      <c r="A188" s="24">
        <v>200</v>
      </c>
      <c r="B188"/>
      <c r="C188"/>
      <c r="D188"/>
    </row>
    <row r="189" spans="1:5" x14ac:dyDescent="0.3">
      <c r="A189"/>
      <c r="B189"/>
      <c r="C189"/>
      <c r="D189"/>
    </row>
    <row r="190" spans="1:5" x14ac:dyDescent="0.3">
      <c r="A190" s="74" t="s">
        <v>564</v>
      </c>
      <c r="B190" s="74"/>
      <c r="C190" s="74"/>
      <c r="D190" s="74"/>
      <c r="E190" s="74"/>
    </row>
    <row r="191" spans="1:5" x14ac:dyDescent="0.3">
      <c r="A191" s="18"/>
      <c r="B191" s="42" t="s">
        <v>523</v>
      </c>
      <c r="C191" s="18"/>
      <c r="D191" s="18"/>
      <c r="E191" s="18"/>
    </row>
    <row r="192" spans="1:5" x14ac:dyDescent="0.3">
      <c r="A192" s="18"/>
      <c r="B192" s="18" t="s">
        <v>25</v>
      </c>
      <c r="C192" s="18" t="s">
        <v>55</v>
      </c>
      <c r="D192" s="18" t="s">
        <v>47</v>
      </c>
      <c r="E192" s="18" t="s">
        <v>505</v>
      </c>
    </row>
    <row r="193" spans="1:8" x14ac:dyDescent="0.3">
      <c r="A193" s="24" t="s">
        <v>522</v>
      </c>
      <c r="B193" s="44">
        <v>0.73499999999999999</v>
      </c>
      <c r="C193" s="44">
        <v>0.08</v>
      </c>
      <c r="D193" s="44">
        <v>0.185</v>
      </c>
      <c r="E193" s="44">
        <v>1</v>
      </c>
    </row>
    <row r="194" spans="1:8" x14ac:dyDescent="0.3">
      <c r="A194"/>
      <c r="B194"/>
      <c r="C194"/>
      <c r="D194"/>
    </row>
    <row r="195" spans="1:8" x14ac:dyDescent="0.3">
      <c r="A195"/>
      <c r="B195"/>
      <c r="C195"/>
      <c r="D195"/>
    </row>
    <row r="196" spans="1:8" x14ac:dyDescent="0.3">
      <c r="A196" s="18" t="s">
        <v>565</v>
      </c>
      <c r="B196"/>
      <c r="C196"/>
      <c r="D196"/>
    </row>
    <row r="197" spans="1:8" x14ac:dyDescent="0.3">
      <c r="A197" s="18" t="s">
        <v>503</v>
      </c>
      <c r="B197"/>
      <c r="C197"/>
      <c r="D197"/>
    </row>
    <row r="198" spans="1:8" x14ac:dyDescent="0.3">
      <c r="A198" s="30">
        <v>109375000</v>
      </c>
      <c r="B198"/>
      <c r="C198"/>
      <c r="D198"/>
    </row>
    <row r="199" spans="1:8" x14ac:dyDescent="0.3">
      <c r="A199"/>
      <c r="B199"/>
      <c r="C199"/>
      <c r="D199"/>
    </row>
    <row r="200" spans="1:8" x14ac:dyDescent="0.3">
      <c r="A200" s="42" t="s">
        <v>522</v>
      </c>
      <c r="B200" s="42" t="s">
        <v>523</v>
      </c>
      <c r="C200" s="18"/>
      <c r="D200" s="18"/>
      <c r="E200" s="18"/>
    </row>
    <row r="201" spans="1:8" x14ac:dyDescent="0.3">
      <c r="A201" s="42" t="s">
        <v>513</v>
      </c>
      <c r="B201" s="18" t="s">
        <v>25</v>
      </c>
      <c r="C201" s="18" t="s">
        <v>55</v>
      </c>
      <c r="D201" s="18" t="s">
        <v>47</v>
      </c>
      <c r="E201" s="18" t="s">
        <v>505</v>
      </c>
    </row>
    <row r="202" spans="1:8" x14ac:dyDescent="0.3">
      <c r="A202" s="18" t="s">
        <v>20</v>
      </c>
      <c r="B202" s="44">
        <v>0.66666666666666663</v>
      </c>
      <c r="C202" s="44">
        <v>9.5238095238095233E-2</v>
      </c>
      <c r="D202" s="44">
        <v>0.23809523809523808</v>
      </c>
      <c r="E202" s="44">
        <v>1</v>
      </c>
      <c r="G202" t="str">
        <f>A202</f>
        <v>Bengaluru-01</v>
      </c>
      <c r="H202" s="43" cm="1">
        <f t="array" ref="H202:H209">C202:C209</f>
        <v>9.5238095238095233E-2</v>
      </c>
    </row>
    <row r="203" spans="1:8" x14ac:dyDescent="0.3">
      <c r="A203" s="18" t="s">
        <v>80</v>
      </c>
      <c r="B203" s="44">
        <v>0.72</v>
      </c>
      <c r="C203" s="44">
        <v>0.04</v>
      </c>
      <c r="D203" s="44">
        <v>0.24</v>
      </c>
      <c r="E203" s="44">
        <v>1</v>
      </c>
      <c r="G203" t="str">
        <f t="shared" ref="G203:G209" si="1">A203</f>
        <v>Bhubaneswar-01</v>
      </c>
      <c r="H203" s="43">
        <v>0.04</v>
      </c>
    </row>
    <row r="204" spans="1:8" x14ac:dyDescent="0.3">
      <c r="A204" s="18" t="s">
        <v>60</v>
      </c>
      <c r="B204" s="44">
        <v>0.7142857142857143</v>
      </c>
      <c r="C204" s="44">
        <v>0.10714285714285714</v>
      </c>
      <c r="D204" s="44">
        <v>0.17857142857142858</v>
      </c>
      <c r="E204" s="44">
        <v>1</v>
      </c>
      <c r="G204" t="str">
        <f t="shared" si="1"/>
        <v>Chennai-01</v>
      </c>
      <c r="H204" s="43">
        <v>0.10714285714285714</v>
      </c>
    </row>
    <row r="205" spans="1:8" x14ac:dyDescent="0.3">
      <c r="A205" s="18" t="s">
        <v>27</v>
      </c>
      <c r="B205" s="44">
        <v>0.79166666666666663</v>
      </c>
      <c r="C205" s="44">
        <v>8.3333333333333329E-2</v>
      </c>
      <c r="D205" s="44">
        <v>0.125</v>
      </c>
      <c r="E205" s="44">
        <v>1</v>
      </c>
      <c r="G205" t="str">
        <f t="shared" si="1"/>
        <v>Delhi-01</v>
      </c>
      <c r="H205" s="43">
        <v>8.3333333333333329E-2</v>
      </c>
    </row>
    <row r="206" spans="1:8" x14ac:dyDescent="0.3">
      <c r="A206" s="18" t="s">
        <v>52</v>
      </c>
      <c r="B206" s="44">
        <v>0.77777777777777779</v>
      </c>
      <c r="C206" s="44">
        <v>7.407407407407407E-2</v>
      </c>
      <c r="D206" s="44">
        <v>0.14814814814814814</v>
      </c>
      <c r="E206" s="44">
        <v>1</v>
      </c>
      <c r="G206" t="str">
        <f t="shared" si="1"/>
        <v>Kolkata-01</v>
      </c>
      <c r="H206" s="43">
        <v>7.407407407407407E-2</v>
      </c>
    </row>
    <row r="207" spans="1:8" x14ac:dyDescent="0.3">
      <c r="A207" s="18" t="s">
        <v>65</v>
      </c>
      <c r="B207" s="44">
        <v>0.70833333333333337</v>
      </c>
      <c r="C207" s="44">
        <v>8.3333333333333329E-2</v>
      </c>
      <c r="D207" s="44">
        <v>0.20833333333333334</v>
      </c>
      <c r="E207" s="44">
        <v>1</v>
      </c>
      <c r="G207" t="str">
        <f t="shared" si="1"/>
        <v>Lucknow-01</v>
      </c>
      <c r="H207" s="43">
        <v>8.3333333333333329E-2</v>
      </c>
    </row>
    <row r="208" spans="1:8" x14ac:dyDescent="0.3">
      <c r="A208" s="18" t="s">
        <v>40</v>
      </c>
      <c r="B208" s="44">
        <v>0.77419354838709675</v>
      </c>
      <c r="C208" s="44">
        <v>6.4516129032258063E-2</v>
      </c>
      <c r="D208" s="44">
        <v>0.16129032258064516</v>
      </c>
      <c r="E208" s="44">
        <v>1</v>
      </c>
      <c r="G208" t="str">
        <f t="shared" si="1"/>
        <v>Mumbai-01</v>
      </c>
      <c r="H208" s="43">
        <v>6.4516129032258063E-2</v>
      </c>
    </row>
    <row r="209" spans="1:8" x14ac:dyDescent="0.3">
      <c r="A209" s="18" t="s">
        <v>33</v>
      </c>
      <c r="B209" s="44">
        <v>0.7</v>
      </c>
      <c r="C209" s="44">
        <v>0.1</v>
      </c>
      <c r="D209" s="44">
        <v>0.2</v>
      </c>
      <c r="E209" s="44">
        <v>1</v>
      </c>
      <c r="G209" t="str">
        <f t="shared" si="1"/>
        <v>Pune-01</v>
      </c>
      <c r="H209" s="43">
        <v>0.1</v>
      </c>
    </row>
    <row r="210" spans="1:8" x14ac:dyDescent="0.3">
      <c r="A210" s="18" t="s">
        <v>505</v>
      </c>
      <c r="B210" s="44">
        <v>0.73499999999999999</v>
      </c>
      <c r="C210" s="44">
        <v>0.08</v>
      </c>
      <c r="D210" s="44">
        <v>0.185</v>
      </c>
      <c r="E210" s="44">
        <v>1</v>
      </c>
    </row>
    <row r="211" spans="1:8" x14ac:dyDescent="0.3">
      <c r="A211"/>
      <c r="B211"/>
      <c r="C211"/>
      <c r="D211"/>
      <c r="E211"/>
    </row>
    <row r="212" spans="1:8" x14ac:dyDescent="0.3">
      <c r="A212"/>
      <c r="B212"/>
      <c r="C212"/>
      <c r="D212"/>
      <c r="E212"/>
    </row>
    <row r="213" spans="1:8" x14ac:dyDescent="0.3">
      <c r="A213"/>
      <c r="B213"/>
      <c r="C213"/>
      <c r="D213"/>
      <c r="E213"/>
    </row>
    <row r="214" spans="1:8" x14ac:dyDescent="0.3">
      <c r="A214"/>
      <c r="B214"/>
      <c r="C214"/>
      <c r="D214"/>
      <c r="E214"/>
    </row>
    <row r="215" spans="1:8" x14ac:dyDescent="0.3">
      <c r="A215" s="42" t="s">
        <v>513</v>
      </c>
      <c r="B215" s="18" t="s">
        <v>515</v>
      </c>
      <c r="C215"/>
      <c r="D215"/>
      <c r="E215"/>
    </row>
    <row r="216" spans="1:8" x14ac:dyDescent="0.3">
      <c r="A216" s="18" t="s">
        <v>566</v>
      </c>
      <c r="B216" s="48">
        <v>68968670</v>
      </c>
      <c r="C216"/>
      <c r="D216"/>
      <c r="E216"/>
    </row>
    <row r="217" spans="1:8" x14ac:dyDescent="0.3">
      <c r="A217" s="18" t="s">
        <v>567</v>
      </c>
      <c r="B217" s="48">
        <v>20870151</v>
      </c>
      <c r="C217"/>
      <c r="D217"/>
      <c r="E217"/>
    </row>
    <row r="218" spans="1:8" x14ac:dyDescent="0.3">
      <c r="A218" s="18" t="s">
        <v>568</v>
      </c>
      <c r="B218" s="48">
        <v>9462709</v>
      </c>
      <c r="C218"/>
      <c r="D218"/>
      <c r="E218"/>
    </row>
    <row r="219" spans="1:8" x14ac:dyDescent="0.3">
      <c r="A219" s="18" t="s">
        <v>505</v>
      </c>
      <c r="B219" s="48">
        <v>99301530</v>
      </c>
      <c r="C219"/>
      <c r="D219"/>
      <c r="E219"/>
    </row>
    <row r="220" spans="1:8" x14ac:dyDescent="0.3">
      <c r="A220"/>
      <c r="B220"/>
      <c r="C220"/>
      <c r="D220"/>
      <c r="E220"/>
    </row>
    <row r="221" spans="1:8" x14ac:dyDescent="0.3">
      <c r="A221"/>
      <c r="B221"/>
      <c r="C221"/>
      <c r="D221"/>
      <c r="E221"/>
    </row>
    <row r="222" spans="1:8" x14ac:dyDescent="0.3">
      <c r="A222"/>
      <c r="B222"/>
      <c r="C222"/>
      <c r="D222"/>
      <c r="E222"/>
    </row>
    <row r="223" spans="1:8" x14ac:dyDescent="0.3">
      <c r="A223" s="42" t="s">
        <v>513</v>
      </c>
      <c r="B223" s="18" t="s">
        <v>515</v>
      </c>
      <c r="C223"/>
      <c r="D223" s="42" t="s">
        <v>513</v>
      </c>
      <c r="E223" s="18" t="s">
        <v>515</v>
      </c>
    </row>
    <row r="224" spans="1:8" x14ac:dyDescent="0.3">
      <c r="A224" s="18" t="s">
        <v>20</v>
      </c>
      <c r="B224" s="50">
        <v>12450451</v>
      </c>
      <c r="C224"/>
      <c r="D224" s="18" t="s">
        <v>53</v>
      </c>
      <c r="E224" s="48">
        <v>27528221</v>
      </c>
    </row>
    <row r="225" spans="1:5" x14ac:dyDescent="0.3">
      <c r="A225" s="18" t="s">
        <v>80</v>
      </c>
      <c r="B225" s="50">
        <v>14516833</v>
      </c>
      <c r="C225"/>
      <c r="D225" s="18" t="s">
        <v>28</v>
      </c>
      <c r="E225" s="48">
        <v>25337311</v>
      </c>
    </row>
    <row r="226" spans="1:5" x14ac:dyDescent="0.3">
      <c r="A226" s="18" t="s">
        <v>60</v>
      </c>
      <c r="B226" s="50">
        <v>10339939</v>
      </c>
      <c r="C226"/>
      <c r="D226" s="18" t="s">
        <v>21</v>
      </c>
      <c r="E226" s="48">
        <v>22790390</v>
      </c>
    </row>
    <row r="227" spans="1:5" x14ac:dyDescent="0.3">
      <c r="A227" s="18" t="s">
        <v>27</v>
      </c>
      <c r="B227" s="50">
        <v>11170847</v>
      </c>
      <c r="C227"/>
      <c r="D227" s="18" t="s">
        <v>34</v>
      </c>
      <c r="E227" s="48">
        <v>23645608</v>
      </c>
    </row>
    <row r="228" spans="1:5" x14ac:dyDescent="0.3">
      <c r="A228" s="18" t="s">
        <v>52</v>
      </c>
      <c r="B228" s="50">
        <v>13011388</v>
      </c>
      <c r="C228"/>
      <c r="D228" s="18" t="s">
        <v>505</v>
      </c>
      <c r="E228" s="48">
        <v>99301530</v>
      </c>
    </row>
    <row r="229" spans="1:5" x14ac:dyDescent="0.3">
      <c r="A229" s="18" t="s">
        <v>65</v>
      </c>
      <c r="B229" s="50">
        <v>14166464</v>
      </c>
      <c r="C229"/>
      <c r="D229"/>
      <c r="E229"/>
    </row>
    <row r="230" spans="1:5" x14ac:dyDescent="0.3">
      <c r="A230" s="18" t="s">
        <v>40</v>
      </c>
      <c r="B230" s="50">
        <v>12673144</v>
      </c>
      <c r="C230"/>
      <c r="D230"/>
      <c r="E230"/>
    </row>
    <row r="231" spans="1:5" x14ac:dyDescent="0.3">
      <c r="A231" s="18" t="s">
        <v>33</v>
      </c>
      <c r="B231" s="50">
        <v>10972464</v>
      </c>
      <c r="C231"/>
      <c r="D231"/>
      <c r="E231"/>
    </row>
    <row r="232" spans="1:5" x14ac:dyDescent="0.3">
      <c r="A232" s="18" t="s">
        <v>505</v>
      </c>
      <c r="B232" s="48">
        <v>99301530</v>
      </c>
      <c r="C232"/>
      <c r="D232"/>
      <c r="E232"/>
    </row>
    <row r="233" spans="1:5" x14ac:dyDescent="0.3">
      <c r="A233"/>
      <c r="B233"/>
      <c r="C233"/>
      <c r="D233"/>
      <c r="E233"/>
    </row>
    <row r="234" spans="1:5" x14ac:dyDescent="0.3">
      <c r="A234"/>
      <c r="B234"/>
      <c r="C234"/>
      <c r="D234"/>
      <c r="E234"/>
    </row>
    <row r="235" spans="1:5" x14ac:dyDescent="0.3">
      <c r="A235"/>
      <c r="B235"/>
      <c r="C235"/>
      <c r="D235"/>
      <c r="E235"/>
    </row>
    <row r="236" spans="1:5" x14ac:dyDescent="0.3">
      <c r="A236"/>
      <c r="B236"/>
      <c r="C236"/>
      <c r="D236"/>
      <c r="E236"/>
    </row>
    <row r="237" spans="1:5" x14ac:dyDescent="0.3">
      <c r="A237"/>
      <c r="B237"/>
      <c r="C237"/>
      <c r="D237"/>
      <c r="E237"/>
    </row>
    <row r="238" spans="1:5" x14ac:dyDescent="0.3">
      <c r="A238"/>
      <c r="B238"/>
      <c r="C238"/>
      <c r="D238"/>
      <c r="E238"/>
    </row>
    <row r="239" spans="1:5" x14ac:dyDescent="0.3">
      <c r="A239"/>
      <c r="B239"/>
      <c r="C239"/>
      <c r="D239"/>
      <c r="E239"/>
    </row>
    <row r="240" spans="1:5" x14ac:dyDescent="0.3">
      <c r="A240"/>
      <c r="B240"/>
      <c r="C240"/>
      <c r="D240"/>
      <c r="E240"/>
    </row>
    <row r="241" customFormat="1" x14ac:dyDescent="0.3"/>
    <row r="242" customFormat="1" x14ac:dyDescent="0.3"/>
    <row r="243" customFormat="1" x14ac:dyDescent="0.3"/>
    <row r="244" customFormat="1" x14ac:dyDescent="0.3"/>
    <row r="245" customFormat="1" x14ac:dyDescent="0.3"/>
    <row r="246" customFormat="1" x14ac:dyDescent="0.3"/>
    <row r="247" customFormat="1" x14ac:dyDescent="0.3"/>
    <row r="248" customFormat="1" x14ac:dyDescent="0.3"/>
    <row r="249" customFormat="1" x14ac:dyDescent="0.3"/>
    <row r="250" customFormat="1" x14ac:dyDescent="0.3"/>
    <row r="251" customFormat="1" x14ac:dyDescent="0.3"/>
    <row r="252" customFormat="1" x14ac:dyDescent="0.3"/>
    <row r="253" customFormat="1" x14ac:dyDescent="0.3"/>
    <row r="254" customFormat="1" x14ac:dyDescent="0.3"/>
    <row r="255" customFormat="1" x14ac:dyDescent="0.3"/>
    <row r="256" customFormat="1" x14ac:dyDescent="0.3"/>
    <row r="257" customFormat="1" x14ac:dyDescent="0.3"/>
    <row r="258" customFormat="1" x14ac:dyDescent="0.3"/>
    <row r="259" customFormat="1" x14ac:dyDescent="0.3"/>
    <row r="260" customFormat="1" x14ac:dyDescent="0.3"/>
    <row r="261" customFormat="1" x14ac:dyDescent="0.3"/>
    <row r="262" customFormat="1" x14ac:dyDescent="0.3"/>
    <row r="263" customFormat="1" x14ac:dyDescent="0.3"/>
    <row r="264" customFormat="1" x14ac:dyDescent="0.3"/>
    <row r="265" customFormat="1" x14ac:dyDescent="0.3"/>
    <row r="266" customFormat="1" x14ac:dyDescent="0.3"/>
    <row r="267" customFormat="1" x14ac:dyDescent="0.3"/>
    <row r="268" customFormat="1" x14ac:dyDescent="0.3"/>
    <row r="269" customFormat="1" x14ac:dyDescent="0.3"/>
    <row r="270" customFormat="1" x14ac:dyDescent="0.3"/>
    <row r="271" customFormat="1" x14ac:dyDescent="0.3"/>
    <row r="272" customFormat="1" x14ac:dyDescent="0.3"/>
    <row r="273" customFormat="1" x14ac:dyDescent="0.3"/>
    <row r="274" customFormat="1" x14ac:dyDescent="0.3"/>
    <row r="275" customFormat="1" x14ac:dyDescent="0.3"/>
    <row r="276" customFormat="1" x14ac:dyDescent="0.3"/>
    <row r="277" customFormat="1" x14ac:dyDescent="0.3"/>
    <row r="278" customFormat="1" x14ac:dyDescent="0.3"/>
    <row r="279" customFormat="1" x14ac:dyDescent="0.3"/>
    <row r="280" customFormat="1" x14ac:dyDescent="0.3"/>
    <row r="281" customFormat="1" x14ac:dyDescent="0.3"/>
    <row r="282" customFormat="1" x14ac:dyDescent="0.3"/>
    <row r="283" customFormat="1" x14ac:dyDescent="0.3"/>
    <row r="284" customFormat="1" x14ac:dyDescent="0.3"/>
    <row r="285" customFormat="1" x14ac:dyDescent="0.3"/>
    <row r="286" customFormat="1" x14ac:dyDescent="0.3"/>
    <row r="287" customFormat="1" x14ac:dyDescent="0.3"/>
    <row r="288" customFormat="1" x14ac:dyDescent="0.3"/>
    <row r="289" customFormat="1" x14ac:dyDescent="0.3"/>
    <row r="290" customFormat="1" x14ac:dyDescent="0.3"/>
    <row r="291" customFormat="1" x14ac:dyDescent="0.3"/>
    <row r="292" customFormat="1" x14ac:dyDescent="0.3"/>
    <row r="293" customFormat="1" x14ac:dyDescent="0.3"/>
    <row r="294" customFormat="1" x14ac:dyDescent="0.3"/>
    <row r="295" customFormat="1" x14ac:dyDescent="0.3"/>
    <row r="296" customFormat="1" x14ac:dyDescent="0.3"/>
    <row r="297" customFormat="1" x14ac:dyDescent="0.3"/>
    <row r="298" customFormat="1" x14ac:dyDescent="0.3"/>
    <row r="299" customFormat="1" x14ac:dyDescent="0.3"/>
    <row r="300" customFormat="1" x14ac:dyDescent="0.3"/>
    <row r="301" customFormat="1" x14ac:dyDescent="0.3"/>
    <row r="302" customFormat="1" x14ac:dyDescent="0.3"/>
    <row r="303" customFormat="1" x14ac:dyDescent="0.3"/>
    <row r="304" customFormat="1" x14ac:dyDescent="0.3"/>
    <row r="305" customFormat="1" x14ac:dyDescent="0.3"/>
    <row r="306" customFormat="1" x14ac:dyDescent="0.3"/>
    <row r="307" customFormat="1" x14ac:dyDescent="0.3"/>
    <row r="308" customFormat="1" x14ac:dyDescent="0.3"/>
    <row r="309" customFormat="1" x14ac:dyDescent="0.3"/>
    <row r="310" customFormat="1" x14ac:dyDescent="0.3"/>
    <row r="311" customFormat="1" x14ac:dyDescent="0.3"/>
    <row r="312" customFormat="1" x14ac:dyDescent="0.3"/>
    <row r="313" customFormat="1" x14ac:dyDescent="0.3"/>
    <row r="314" customFormat="1" x14ac:dyDescent="0.3"/>
    <row r="315" customFormat="1" x14ac:dyDescent="0.3"/>
    <row r="316" customFormat="1" x14ac:dyDescent="0.3"/>
    <row r="317" customFormat="1" x14ac:dyDescent="0.3"/>
    <row r="318" customFormat="1" x14ac:dyDescent="0.3"/>
    <row r="319" customFormat="1" x14ac:dyDescent="0.3"/>
    <row r="320" customFormat="1" x14ac:dyDescent="0.3"/>
    <row r="321" customFormat="1" x14ac:dyDescent="0.3"/>
    <row r="322" customFormat="1" x14ac:dyDescent="0.3"/>
    <row r="323" customFormat="1" x14ac:dyDescent="0.3"/>
    <row r="324" customFormat="1" x14ac:dyDescent="0.3"/>
    <row r="325" customFormat="1" x14ac:dyDescent="0.3"/>
    <row r="326" customFormat="1" x14ac:dyDescent="0.3"/>
    <row r="327" customFormat="1" x14ac:dyDescent="0.3"/>
    <row r="328" customFormat="1" x14ac:dyDescent="0.3"/>
    <row r="329" customFormat="1" x14ac:dyDescent="0.3"/>
    <row r="330" customFormat="1" x14ac:dyDescent="0.3"/>
    <row r="331" customFormat="1" x14ac:dyDescent="0.3"/>
    <row r="332" customFormat="1" x14ac:dyDescent="0.3"/>
    <row r="333" customFormat="1" x14ac:dyDescent="0.3"/>
    <row r="334" customFormat="1" x14ac:dyDescent="0.3"/>
    <row r="335" customFormat="1" x14ac:dyDescent="0.3"/>
    <row r="336" customFormat="1" x14ac:dyDescent="0.3"/>
    <row r="337" customFormat="1" x14ac:dyDescent="0.3"/>
    <row r="338" customFormat="1" x14ac:dyDescent="0.3"/>
    <row r="339" customFormat="1" x14ac:dyDescent="0.3"/>
    <row r="340" customFormat="1" x14ac:dyDescent="0.3"/>
    <row r="341" customFormat="1" x14ac:dyDescent="0.3"/>
    <row r="342" customFormat="1" x14ac:dyDescent="0.3"/>
    <row r="343" customFormat="1" x14ac:dyDescent="0.3"/>
    <row r="344" customFormat="1" x14ac:dyDescent="0.3"/>
    <row r="345" customFormat="1" x14ac:dyDescent="0.3"/>
    <row r="346" customFormat="1" x14ac:dyDescent="0.3"/>
    <row r="347" customFormat="1" x14ac:dyDescent="0.3"/>
    <row r="348" customFormat="1" x14ac:dyDescent="0.3"/>
    <row r="349" customFormat="1" x14ac:dyDescent="0.3"/>
    <row r="350" customFormat="1" x14ac:dyDescent="0.3"/>
    <row r="351" customFormat="1" x14ac:dyDescent="0.3"/>
    <row r="352" customFormat="1" x14ac:dyDescent="0.3"/>
    <row r="353" customFormat="1" x14ac:dyDescent="0.3"/>
    <row r="354" customFormat="1" x14ac:dyDescent="0.3"/>
    <row r="355" customFormat="1" x14ac:dyDescent="0.3"/>
    <row r="356" customFormat="1" x14ac:dyDescent="0.3"/>
    <row r="357" customFormat="1" x14ac:dyDescent="0.3"/>
    <row r="358" customFormat="1" x14ac:dyDescent="0.3"/>
    <row r="359" customFormat="1" x14ac:dyDescent="0.3"/>
    <row r="360" customFormat="1" x14ac:dyDescent="0.3"/>
    <row r="361" customFormat="1" x14ac:dyDescent="0.3"/>
    <row r="362" customFormat="1" x14ac:dyDescent="0.3"/>
    <row r="363" customFormat="1" x14ac:dyDescent="0.3"/>
    <row r="364" customFormat="1" x14ac:dyDescent="0.3"/>
    <row r="365" customFormat="1" x14ac:dyDescent="0.3"/>
    <row r="366" customFormat="1" x14ac:dyDescent="0.3"/>
    <row r="367" customFormat="1" x14ac:dyDescent="0.3"/>
    <row r="368" customFormat="1" x14ac:dyDescent="0.3"/>
    <row r="369" customFormat="1" x14ac:dyDescent="0.3"/>
    <row r="370" customFormat="1" x14ac:dyDescent="0.3"/>
    <row r="371" customFormat="1" x14ac:dyDescent="0.3"/>
    <row r="372" customFormat="1" x14ac:dyDescent="0.3"/>
    <row r="373" customFormat="1" x14ac:dyDescent="0.3"/>
    <row r="374" customFormat="1" x14ac:dyDescent="0.3"/>
    <row r="375" customFormat="1" x14ac:dyDescent="0.3"/>
    <row r="376" customFormat="1" x14ac:dyDescent="0.3"/>
    <row r="377" customFormat="1" x14ac:dyDescent="0.3"/>
    <row r="378" customFormat="1" x14ac:dyDescent="0.3"/>
    <row r="379" customFormat="1" x14ac:dyDescent="0.3"/>
    <row r="380" customFormat="1" x14ac:dyDescent="0.3"/>
    <row r="381" customFormat="1" x14ac:dyDescent="0.3"/>
    <row r="382" customFormat="1" x14ac:dyDescent="0.3"/>
    <row r="383" customFormat="1" x14ac:dyDescent="0.3"/>
    <row r="384" customFormat="1" x14ac:dyDescent="0.3"/>
    <row r="385" customFormat="1" x14ac:dyDescent="0.3"/>
    <row r="386" customFormat="1" x14ac:dyDescent="0.3"/>
    <row r="387" customFormat="1" x14ac:dyDescent="0.3"/>
    <row r="388" customFormat="1" x14ac:dyDescent="0.3"/>
    <row r="389" customFormat="1" x14ac:dyDescent="0.3"/>
    <row r="390" customFormat="1" x14ac:dyDescent="0.3"/>
    <row r="391" customFormat="1" x14ac:dyDescent="0.3"/>
    <row r="392" customFormat="1" x14ac:dyDescent="0.3"/>
    <row r="393" customFormat="1" x14ac:dyDescent="0.3"/>
    <row r="394" customFormat="1" x14ac:dyDescent="0.3"/>
    <row r="395" customFormat="1" x14ac:dyDescent="0.3"/>
    <row r="396" customFormat="1" x14ac:dyDescent="0.3"/>
    <row r="397" customFormat="1" x14ac:dyDescent="0.3"/>
    <row r="398" customFormat="1" x14ac:dyDescent="0.3"/>
    <row r="399" customFormat="1" x14ac:dyDescent="0.3"/>
    <row r="400" customFormat="1" x14ac:dyDescent="0.3"/>
    <row r="401" spans="1:5" x14ac:dyDescent="0.3">
      <c r="A401"/>
      <c r="B401"/>
      <c r="C401"/>
      <c r="D401"/>
      <c r="E401"/>
    </row>
    <row r="402" spans="1:5" x14ac:dyDescent="0.3">
      <c r="A402"/>
      <c r="B402"/>
      <c r="C402"/>
      <c r="D402"/>
      <c r="E402"/>
    </row>
    <row r="403" spans="1:5" x14ac:dyDescent="0.3">
      <c r="A403"/>
      <c r="B403"/>
    </row>
    <row r="404" spans="1:5" x14ac:dyDescent="0.3">
      <c r="A404"/>
      <c r="B404"/>
    </row>
    <row r="405" spans="1:5" x14ac:dyDescent="0.3">
      <c r="A405"/>
      <c r="B405"/>
    </row>
    <row r="406" spans="1:5" x14ac:dyDescent="0.3">
      <c r="A406"/>
      <c r="B406"/>
    </row>
    <row r="407" spans="1:5" x14ac:dyDescent="0.3">
      <c r="A407"/>
      <c r="B407"/>
    </row>
    <row r="408" spans="1:5" x14ac:dyDescent="0.3">
      <c r="A408"/>
      <c r="B408"/>
    </row>
    <row r="409" spans="1:5" x14ac:dyDescent="0.3">
      <c r="A409"/>
      <c r="B409"/>
    </row>
    <row r="410" spans="1:5" x14ac:dyDescent="0.3">
      <c r="A410"/>
      <c r="B410"/>
    </row>
    <row r="411" spans="1:5" x14ac:dyDescent="0.3">
      <c r="A411"/>
      <c r="B411"/>
    </row>
    <row r="412" spans="1:5" x14ac:dyDescent="0.3">
      <c r="A412"/>
      <c r="B412"/>
    </row>
    <row r="413" spans="1:5" x14ac:dyDescent="0.3">
      <c r="A413"/>
      <c r="B413"/>
    </row>
    <row r="414" spans="1:5" x14ac:dyDescent="0.3">
      <c r="A414"/>
      <c r="B414"/>
    </row>
    <row r="415" spans="1:5" x14ac:dyDescent="0.3">
      <c r="A415"/>
      <c r="B415"/>
    </row>
    <row r="416" spans="1:5" x14ac:dyDescent="0.3">
      <c r="A416"/>
      <c r="B416"/>
    </row>
    <row r="417" spans="1:2" x14ac:dyDescent="0.3">
      <c r="A417"/>
      <c r="B417"/>
    </row>
    <row r="418" spans="1:2" x14ac:dyDescent="0.3">
      <c r="A418"/>
      <c r="B418"/>
    </row>
    <row r="419" spans="1:2" x14ac:dyDescent="0.3">
      <c r="A419"/>
      <c r="B419"/>
    </row>
    <row r="420" spans="1:2" x14ac:dyDescent="0.3">
      <c r="A420"/>
      <c r="B420"/>
    </row>
    <row r="421" spans="1:2" x14ac:dyDescent="0.3">
      <c r="A421"/>
      <c r="B421"/>
    </row>
    <row r="422" spans="1:2" x14ac:dyDescent="0.3">
      <c r="A422"/>
      <c r="B422"/>
    </row>
    <row r="423" spans="1:2" x14ac:dyDescent="0.3">
      <c r="A423"/>
      <c r="B423"/>
    </row>
    <row r="424" spans="1:2" x14ac:dyDescent="0.3">
      <c r="A424"/>
      <c r="B424"/>
    </row>
    <row r="425" spans="1:2" x14ac:dyDescent="0.3">
      <c r="A425"/>
      <c r="B425"/>
    </row>
    <row r="426" spans="1:2" x14ac:dyDescent="0.3">
      <c r="A426"/>
      <c r="B426"/>
    </row>
    <row r="427" spans="1:2" x14ac:dyDescent="0.3">
      <c r="A427"/>
      <c r="B427"/>
    </row>
    <row r="428" spans="1:2" x14ac:dyDescent="0.3">
      <c r="A428"/>
      <c r="B428"/>
    </row>
    <row r="429" spans="1:2" x14ac:dyDescent="0.3">
      <c r="A429"/>
      <c r="B429"/>
    </row>
    <row r="430" spans="1:2" x14ac:dyDescent="0.3">
      <c r="A430"/>
      <c r="B430"/>
    </row>
    <row r="431" spans="1:2" x14ac:dyDescent="0.3">
      <c r="A431"/>
      <c r="B431"/>
    </row>
    <row r="432" spans="1:2" x14ac:dyDescent="0.3">
      <c r="A432"/>
      <c r="B432"/>
    </row>
    <row r="433" spans="1:2" x14ac:dyDescent="0.3">
      <c r="A433"/>
      <c r="B433"/>
    </row>
    <row r="434" spans="1:2" x14ac:dyDescent="0.3">
      <c r="A434"/>
      <c r="B434"/>
    </row>
    <row r="435" spans="1:2" x14ac:dyDescent="0.3">
      <c r="A435"/>
      <c r="B435"/>
    </row>
    <row r="436" spans="1:2" x14ac:dyDescent="0.3">
      <c r="A436"/>
      <c r="B436"/>
    </row>
    <row r="437" spans="1:2" x14ac:dyDescent="0.3">
      <c r="A437"/>
      <c r="B437"/>
    </row>
    <row r="438" spans="1:2" x14ac:dyDescent="0.3">
      <c r="A438"/>
      <c r="B438"/>
    </row>
    <row r="439" spans="1:2" x14ac:dyDescent="0.3">
      <c r="A439"/>
      <c r="B439"/>
    </row>
    <row r="440" spans="1:2" x14ac:dyDescent="0.3">
      <c r="A440"/>
      <c r="B440"/>
    </row>
    <row r="441" spans="1:2" x14ac:dyDescent="0.3">
      <c r="A441"/>
      <c r="B441"/>
    </row>
    <row r="442" spans="1:2" x14ac:dyDescent="0.3">
      <c r="A442"/>
      <c r="B442"/>
    </row>
    <row r="443" spans="1:2" x14ac:dyDescent="0.3">
      <c r="A443"/>
      <c r="B443"/>
    </row>
    <row r="444" spans="1:2" x14ac:dyDescent="0.3">
      <c r="A444"/>
      <c r="B444"/>
    </row>
    <row r="445" spans="1:2" x14ac:dyDescent="0.3">
      <c r="A445"/>
      <c r="B445"/>
    </row>
    <row r="446" spans="1:2" x14ac:dyDescent="0.3">
      <c r="A446"/>
      <c r="B446"/>
    </row>
    <row r="447" spans="1:2" x14ac:dyDescent="0.3">
      <c r="A447"/>
      <c r="B447"/>
    </row>
    <row r="448" spans="1:2" x14ac:dyDescent="0.3">
      <c r="A448"/>
      <c r="B448"/>
    </row>
    <row r="449" spans="1:2" x14ac:dyDescent="0.3">
      <c r="A449"/>
      <c r="B449"/>
    </row>
    <row r="450" spans="1:2" x14ac:dyDescent="0.3">
      <c r="A450"/>
      <c r="B450"/>
    </row>
    <row r="451" spans="1:2" x14ac:dyDescent="0.3">
      <c r="A451"/>
      <c r="B451"/>
    </row>
    <row r="452" spans="1:2" x14ac:dyDescent="0.3">
      <c r="A452"/>
      <c r="B452"/>
    </row>
    <row r="453" spans="1:2" x14ac:dyDescent="0.3">
      <c r="A453"/>
      <c r="B453"/>
    </row>
    <row r="454" spans="1:2" x14ac:dyDescent="0.3">
      <c r="A454"/>
      <c r="B454"/>
    </row>
    <row r="455" spans="1:2" x14ac:dyDescent="0.3">
      <c r="A455"/>
      <c r="B455"/>
    </row>
    <row r="456" spans="1:2" x14ac:dyDescent="0.3">
      <c r="A456"/>
      <c r="B456"/>
    </row>
    <row r="457" spans="1:2" x14ac:dyDescent="0.3">
      <c r="A457"/>
      <c r="B457"/>
    </row>
    <row r="458" spans="1:2" x14ac:dyDescent="0.3">
      <c r="A458"/>
      <c r="B458"/>
    </row>
    <row r="459" spans="1:2" x14ac:dyDescent="0.3">
      <c r="A459"/>
      <c r="B459"/>
    </row>
    <row r="460" spans="1:2" x14ac:dyDescent="0.3">
      <c r="A460"/>
      <c r="B460"/>
    </row>
    <row r="461" spans="1:2" x14ac:dyDescent="0.3">
      <c r="A461"/>
      <c r="B461"/>
    </row>
    <row r="462" spans="1:2" x14ac:dyDescent="0.3">
      <c r="A462"/>
      <c r="B462"/>
    </row>
    <row r="463" spans="1:2" x14ac:dyDescent="0.3">
      <c r="A463"/>
      <c r="B463"/>
    </row>
    <row r="464" spans="1:2" x14ac:dyDescent="0.3">
      <c r="A464"/>
      <c r="B464"/>
    </row>
    <row r="465" spans="1:2" x14ac:dyDescent="0.3">
      <c r="A465"/>
      <c r="B465"/>
    </row>
    <row r="466" spans="1:2" x14ac:dyDescent="0.3">
      <c r="A466"/>
      <c r="B466"/>
    </row>
    <row r="467" spans="1:2" x14ac:dyDescent="0.3">
      <c r="A467"/>
      <c r="B467"/>
    </row>
    <row r="468" spans="1:2" x14ac:dyDescent="0.3">
      <c r="A468"/>
      <c r="B468"/>
    </row>
    <row r="469" spans="1:2" x14ac:dyDescent="0.3">
      <c r="A469"/>
      <c r="B469"/>
    </row>
    <row r="470" spans="1:2" x14ac:dyDescent="0.3">
      <c r="A470"/>
      <c r="B470"/>
    </row>
    <row r="471" spans="1:2" x14ac:dyDescent="0.3">
      <c r="A471"/>
      <c r="B471"/>
    </row>
    <row r="472" spans="1:2" x14ac:dyDescent="0.3">
      <c r="A472"/>
      <c r="B472"/>
    </row>
    <row r="473" spans="1:2" x14ac:dyDescent="0.3">
      <c r="A473"/>
      <c r="B473"/>
    </row>
    <row r="474" spans="1:2" x14ac:dyDescent="0.3">
      <c r="A474"/>
      <c r="B474"/>
    </row>
    <row r="475" spans="1:2" x14ac:dyDescent="0.3">
      <c r="A475"/>
      <c r="B475"/>
    </row>
    <row r="476" spans="1:2" x14ac:dyDescent="0.3">
      <c r="A476"/>
      <c r="B476"/>
    </row>
    <row r="477" spans="1:2" x14ac:dyDescent="0.3">
      <c r="A477"/>
      <c r="B477"/>
    </row>
    <row r="478" spans="1:2" x14ac:dyDescent="0.3">
      <c r="A478"/>
      <c r="B478"/>
    </row>
    <row r="479" spans="1:2" x14ac:dyDescent="0.3">
      <c r="A479"/>
      <c r="B479"/>
    </row>
    <row r="480" spans="1:2" x14ac:dyDescent="0.3">
      <c r="A480"/>
      <c r="B480"/>
    </row>
    <row r="481" spans="1:2" x14ac:dyDescent="0.3">
      <c r="A481"/>
      <c r="B481"/>
    </row>
    <row r="482" spans="1:2" x14ac:dyDescent="0.3">
      <c r="A482"/>
      <c r="B482"/>
    </row>
    <row r="483" spans="1:2" x14ac:dyDescent="0.3">
      <c r="A483"/>
      <c r="B483"/>
    </row>
    <row r="484" spans="1:2" x14ac:dyDescent="0.3">
      <c r="A484"/>
      <c r="B484"/>
    </row>
    <row r="485" spans="1:2" x14ac:dyDescent="0.3">
      <c r="A485"/>
      <c r="B485"/>
    </row>
    <row r="486" spans="1:2" x14ac:dyDescent="0.3">
      <c r="A486"/>
      <c r="B486"/>
    </row>
    <row r="487" spans="1:2" x14ac:dyDescent="0.3">
      <c r="A487"/>
      <c r="B487"/>
    </row>
    <row r="488" spans="1:2" x14ac:dyDescent="0.3">
      <c r="A488"/>
      <c r="B488"/>
    </row>
    <row r="489" spans="1:2" x14ac:dyDescent="0.3">
      <c r="A489"/>
      <c r="B489"/>
    </row>
    <row r="490" spans="1:2" x14ac:dyDescent="0.3">
      <c r="A490"/>
      <c r="B490"/>
    </row>
    <row r="491" spans="1:2" x14ac:dyDescent="0.3">
      <c r="A491"/>
      <c r="B491"/>
    </row>
    <row r="492" spans="1:2" x14ac:dyDescent="0.3">
      <c r="A492"/>
      <c r="B492"/>
    </row>
    <row r="493" spans="1:2" x14ac:dyDescent="0.3">
      <c r="A493"/>
      <c r="B493"/>
    </row>
    <row r="494" spans="1:2" x14ac:dyDescent="0.3">
      <c r="A494"/>
      <c r="B494"/>
    </row>
    <row r="495" spans="1:2" x14ac:dyDescent="0.3">
      <c r="A495"/>
      <c r="B495"/>
    </row>
    <row r="496" spans="1:2" x14ac:dyDescent="0.3">
      <c r="A496"/>
      <c r="B496"/>
    </row>
    <row r="497" spans="1:2" x14ac:dyDescent="0.3">
      <c r="A497"/>
      <c r="B497"/>
    </row>
    <row r="498" spans="1:2" x14ac:dyDescent="0.3">
      <c r="A498"/>
      <c r="B498"/>
    </row>
    <row r="499" spans="1:2" x14ac:dyDescent="0.3">
      <c r="A499"/>
      <c r="B499"/>
    </row>
    <row r="500" spans="1:2" x14ac:dyDescent="0.3">
      <c r="A500"/>
      <c r="B500"/>
    </row>
    <row r="501" spans="1:2" x14ac:dyDescent="0.3">
      <c r="A501"/>
      <c r="B501"/>
    </row>
    <row r="502" spans="1:2" x14ac:dyDescent="0.3">
      <c r="A502"/>
      <c r="B502"/>
    </row>
    <row r="503" spans="1:2" x14ac:dyDescent="0.3">
      <c r="A503"/>
      <c r="B503"/>
    </row>
    <row r="504" spans="1:2" x14ac:dyDescent="0.3">
      <c r="A504"/>
      <c r="B504"/>
    </row>
    <row r="505" spans="1:2" x14ac:dyDescent="0.3">
      <c r="A505"/>
      <c r="B505"/>
    </row>
    <row r="506" spans="1:2" x14ac:dyDescent="0.3">
      <c r="A506"/>
      <c r="B506"/>
    </row>
    <row r="507" spans="1:2" x14ac:dyDescent="0.3">
      <c r="A507"/>
      <c r="B507"/>
    </row>
    <row r="508" spans="1:2" x14ac:dyDescent="0.3">
      <c r="A508"/>
      <c r="B508"/>
    </row>
    <row r="509" spans="1:2" x14ac:dyDescent="0.3">
      <c r="A509"/>
      <c r="B509"/>
    </row>
    <row r="510" spans="1:2" x14ac:dyDescent="0.3">
      <c r="A510"/>
      <c r="B510"/>
    </row>
    <row r="511" spans="1:2" x14ac:dyDescent="0.3">
      <c r="A511"/>
      <c r="B511"/>
    </row>
    <row r="512" spans="1:2" x14ac:dyDescent="0.3">
      <c r="A512"/>
      <c r="B512"/>
    </row>
    <row r="513" spans="1:2" x14ac:dyDescent="0.3">
      <c r="A513"/>
      <c r="B513"/>
    </row>
    <row r="514" spans="1:2" x14ac:dyDescent="0.3">
      <c r="A514"/>
      <c r="B514"/>
    </row>
    <row r="515" spans="1:2" x14ac:dyDescent="0.3">
      <c r="A515"/>
      <c r="B515"/>
    </row>
    <row r="516" spans="1:2" x14ac:dyDescent="0.3">
      <c r="A516"/>
      <c r="B516"/>
    </row>
    <row r="517" spans="1:2" x14ac:dyDescent="0.3">
      <c r="A517"/>
      <c r="B517"/>
    </row>
    <row r="518" spans="1:2" x14ac:dyDescent="0.3">
      <c r="A518"/>
      <c r="B518"/>
    </row>
    <row r="519" spans="1:2" x14ac:dyDescent="0.3">
      <c r="A519"/>
      <c r="B519"/>
    </row>
    <row r="520" spans="1:2" x14ac:dyDescent="0.3">
      <c r="A520"/>
      <c r="B520"/>
    </row>
    <row r="521" spans="1:2" x14ac:dyDescent="0.3">
      <c r="A521"/>
      <c r="B521"/>
    </row>
    <row r="522" spans="1:2" x14ac:dyDescent="0.3">
      <c r="A522"/>
      <c r="B522"/>
    </row>
    <row r="523" spans="1:2" x14ac:dyDescent="0.3">
      <c r="A523"/>
      <c r="B523"/>
    </row>
    <row r="524" spans="1:2" x14ac:dyDescent="0.3">
      <c r="A524"/>
      <c r="B524"/>
    </row>
    <row r="525" spans="1:2" x14ac:dyDescent="0.3">
      <c r="A525"/>
      <c r="B525"/>
    </row>
    <row r="526" spans="1:2" x14ac:dyDescent="0.3">
      <c r="A526"/>
      <c r="B526"/>
    </row>
    <row r="527" spans="1:2" x14ac:dyDescent="0.3">
      <c r="A527"/>
      <c r="B527"/>
    </row>
    <row r="528" spans="1:2" x14ac:dyDescent="0.3">
      <c r="A528"/>
      <c r="B528"/>
    </row>
    <row r="529" spans="1:2" x14ac:dyDescent="0.3">
      <c r="A529"/>
      <c r="B529"/>
    </row>
    <row r="530" spans="1:2" x14ac:dyDescent="0.3">
      <c r="A530"/>
      <c r="B530"/>
    </row>
    <row r="531" spans="1:2" x14ac:dyDescent="0.3">
      <c r="A531"/>
      <c r="B531"/>
    </row>
    <row r="532" spans="1:2" x14ac:dyDescent="0.3">
      <c r="A532"/>
      <c r="B532"/>
    </row>
    <row r="533" spans="1:2" x14ac:dyDescent="0.3">
      <c r="A533"/>
      <c r="B533"/>
    </row>
    <row r="534" spans="1:2" x14ac:dyDescent="0.3">
      <c r="A534"/>
      <c r="B534"/>
    </row>
    <row r="535" spans="1:2" x14ac:dyDescent="0.3">
      <c r="A535"/>
      <c r="B535"/>
    </row>
    <row r="536" spans="1:2" x14ac:dyDescent="0.3">
      <c r="A536"/>
      <c r="B536"/>
    </row>
    <row r="537" spans="1:2" x14ac:dyDescent="0.3">
      <c r="A537"/>
      <c r="B537"/>
    </row>
    <row r="538" spans="1:2" x14ac:dyDescent="0.3">
      <c r="A538"/>
      <c r="B538"/>
    </row>
    <row r="539" spans="1:2" x14ac:dyDescent="0.3">
      <c r="A539"/>
      <c r="B539"/>
    </row>
    <row r="540" spans="1:2" x14ac:dyDescent="0.3">
      <c r="A540"/>
      <c r="B540"/>
    </row>
    <row r="541" spans="1:2" x14ac:dyDescent="0.3">
      <c r="A541"/>
      <c r="B541"/>
    </row>
    <row r="542" spans="1:2" x14ac:dyDescent="0.3">
      <c r="A542"/>
      <c r="B542"/>
    </row>
    <row r="543" spans="1:2" x14ac:dyDescent="0.3">
      <c r="A543"/>
      <c r="B543"/>
    </row>
    <row r="544" spans="1:2" x14ac:dyDescent="0.3">
      <c r="A544"/>
      <c r="B544"/>
    </row>
    <row r="545" spans="1:2" x14ac:dyDescent="0.3">
      <c r="A545"/>
      <c r="B545"/>
    </row>
    <row r="546" spans="1:2" x14ac:dyDescent="0.3">
      <c r="A546"/>
      <c r="B546"/>
    </row>
    <row r="547" spans="1:2" x14ac:dyDescent="0.3">
      <c r="A547"/>
      <c r="B547"/>
    </row>
    <row r="548" spans="1:2" x14ac:dyDescent="0.3">
      <c r="A548"/>
      <c r="B548"/>
    </row>
    <row r="549" spans="1:2" x14ac:dyDescent="0.3">
      <c r="A549"/>
      <c r="B549"/>
    </row>
    <row r="550" spans="1:2" x14ac:dyDescent="0.3">
      <c r="A550"/>
      <c r="B550"/>
    </row>
    <row r="551" spans="1:2" x14ac:dyDescent="0.3">
      <c r="A551"/>
      <c r="B551"/>
    </row>
    <row r="552" spans="1:2" x14ac:dyDescent="0.3">
      <c r="A552"/>
      <c r="B552"/>
    </row>
    <row r="553" spans="1:2" x14ac:dyDescent="0.3">
      <c r="A553"/>
      <c r="B553"/>
    </row>
    <row r="554" spans="1:2" x14ac:dyDescent="0.3">
      <c r="A554"/>
      <c r="B554"/>
    </row>
    <row r="555" spans="1:2" x14ac:dyDescent="0.3">
      <c r="A555"/>
      <c r="B555"/>
    </row>
    <row r="556" spans="1:2" x14ac:dyDescent="0.3">
      <c r="A556"/>
      <c r="B556"/>
    </row>
    <row r="557" spans="1:2" x14ac:dyDescent="0.3">
      <c r="A557"/>
      <c r="B557"/>
    </row>
    <row r="558" spans="1:2" x14ac:dyDescent="0.3">
      <c r="A558"/>
      <c r="B558"/>
    </row>
    <row r="559" spans="1:2" x14ac:dyDescent="0.3">
      <c r="A559"/>
      <c r="B559"/>
    </row>
    <row r="560" spans="1:2" x14ac:dyDescent="0.3">
      <c r="A560"/>
      <c r="B560"/>
    </row>
    <row r="561" spans="1:2" x14ac:dyDescent="0.3">
      <c r="A561"/>
      <c r="B561"/>
    </row>
    <row r="562" spans="1:2" x14ac:dyDescent="0.3">
      <c r="A562"/>
      <c r="B562"/>
    </row>
    <row r="563" spans="1:2" x14ac:dyDescent="0.3">
      <c r="A563"/>
      <c r="B563"/>
    </row>
    <row r="564" spans="1:2" x14ac:dyDescent="0.3">
      <c r="A564"/>
      <c r="B564"/>
    </row>
    <row r="565" spans="1:2" x14ac:dyDescent="0.3">
      <c r="A565"/>
      <c r="B565"/>
    </row>
    <row r="566" spans="1:2" x14ac:dyDescent="0.3">
      <c r="A566"/>
      <c r="B566"/>
    </row>
    <row r="567" spans="1:2" x14ac:dyDescent="0.3">
      <c r="A567"/>
      <c r="B567"/>
    </row>
    <row r="568" spans="1:2" x14ac:dyDescent="0.3">
      <c r="A568"/>
      <c r="B568"/>
    </row>
    <row r="569" spans="1:2" x14ac:dyDescent="0.3">
      <c r="A569"/>
      <c r="B569"/>
    </row>
    <row r="570" spans="1:2" x14ac:dyDescent="0.3">
      <c r="A570"/>
      <c r="B570"/>
    </row>
    <row r="571" spans="1:2" x14ac:dyDescent="0.3">
      <c r="A571"/>
      <c r="B571"/>
    </row>
    <row r="572" spans="1:2" x14ac:dyDescent="0.3">
      <c r="A572"/>
      <c r="B572"/>
    </row>
    <row r="573" spans="1:2" x14ac:dyDescent="0.3">
      <c r="A573"/>
      <c r="B573"/>
    </row>
    <row r="574" spans="1:2" x14ac:dyDescent="0.3">
      <c r="A574"/>
      <c r="B574"/>
    </row>
    <row r="575" spans="1:2" x14ac:dyDescent="0.3">
      <c r="A575"/>
      <c r="B575"/>
    </row>
    <row r="576" spans="1:2" x14ac:dyDescent="0.3">
      <c r="A576"/>
      <c r="B576"/>
    </row>
    <row r="577" spans="1:2" x14ac:dyDescent="0.3">
      <c r="A577"/>
      <c r="B577"/>
    </row>
    <row r="578" spans="1:2" x14ac:dyDescent="0.3">
      <c r="A578"/>
      <c r="B578"/>
    </row>
    <row r="579" spans="1:2" x14ac:dyDescent="0.3">
      <c r="A579"/>
      <c r="B579"/>
    </row>
    <row r="580" spans="1:2" x14ac:dyDescent="0.3">
      <c r="A580"/>
      <c r="B580"/>
    </row>
    <row r="581" spans="1:2" x14ac:dyDescent="0.3">
      <c r="A581"/>
      <c r="B581"/>
    </row>
    <row r="582" spans="1:2" x14ac:dyDescent="0.3">
      <c r="A582"/>
      <c r="B582"/>
    </row>
    <row r="583" spans="1:2" x14ac:dyDescent="0.3">
      <c r="A583"/>
      <c r="B583"/>
    </row>
    <row r="584" spans="1:2" x14ac:dyDescent="0.3">
      <c r="A584"/>
      <c r="B584"/>
    </row>
    <row r="585" spans="1:2" x14ac:dyDescent="0.3">
      <c r="A585"/>
      <c r="B585"/>
    </row>
    <row r="586" spans="1:2" x14ac:dyDescent="0.3">
      <c r="A586"/>
      <c r="B586"/>
    </row>
    <row r="587" spans="1:2" x14ac:dyDescent="0.3">
      <c r="A587"/>
      <c r="B587"/>
    </row>
    <row r="588" spans="1:2" x14ac:dyDescent="0.3">
      <c r="A588"/>
      <c r="B588"/>
    </row>
    <row r="589" spans="1:2" x14ac:dyDescent="0.3">
      <c r="A589"/>
      <c r="B589"/>
    </row>
    <row r="590" spans="1:2" x14ac:dyDescent="0.3">
      <c r="A590"/>
      <c r="B590"/>
    </row>
    <row r="591" spans="1:2" x14ac:dyDescent="0.3">
      <c r="A591"/>
      <c r="B591"/>
    </row>
    <row r="592" spans="1:2" x14ac:dyDescent="0.3">
      <c r="A592"/>
      <c r="B592"/>
    </row>
    <row r="593" spans="1:2" x14ac:dyDescent="0.3">
      <c r="A593"/>
      <c r="B593"/>
    </row>
    <row r="594" spans="1:2" x14ac:dyDescent="0.3">
      <c r="A594"/>
      <c r="B594"/>
    </row>
    <row r="595" spans="1:2" x14ac:dyDescent="0.3">
      <c r="A595"/>
      <c r="B595"/>
    </row>
    <row r="596" spans="1:2" x14ac:dyDescent="0.3">
      <c r="A596"/>
      <c r="B596"/>
    </row>
    <row r="597" spans="1:2" x14ac:dyDescent="0.3">
      <c r="A597"/>
      <c r="B597"/>
    </row>
    <row r="598" spans="1:2" x14ac:dyDescent="0.3">
      <c r="A598"/>
      <c r="B598"/>
    </row>
    <row r="599" spans="1:2" x14ac:dyDescent="0.3">
      <c r="A599"/>
      <c r="B599"/>
    </row>
    <row r="600" spans="1:2" x14ac:dyDescent="0.3">
      <c r="A600"/>
      <c r="B600"/>
    </row>
    <row r="601" spans="1:2" x14ac:dyDescent="0.3">
      <c r="A601"/>
      <c r="B601"/>
    </row>
  </sheetData>
  <mergeCells count="14">
    <mergeCell ref="A190:E190"/>
    <mergeCell ref="A144:C144"/>
    <mergeCell ref="A138:C138"/>
    <mergeCell ref="A2:C2"/>
    <mergeCell ref="A13:D13"/>
    <mergeCell ref="A22:E22"/>
    <mergeCell ref="A115:D115"/>
    <mergeCell ref="A80:E80"/>
    <mergeCell ref="A90:E90"/>
    <mergeCell ref="A102:B102"/>
    <mergeCell ref="A36:E36"/>
    <mergeCell ref="A46:E46"/>
    <mergeCell ref="A57:E57"/>
    <mergeCell ref="A71:E71"/>
  </mergeCells>
  <pageMargins left="0.7" right="0.7" top="0.75" bottom="0.75" header="0.3" footer="0.3"/>
  <pageSetup orientation="portrait" r:id="rId23"/>
  <drawing r:id="rId2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09C86-3676-4F12-A3A7-F6B285F30328}">
  <dimension ref="A1:P124"/>
  <sheetViews>
    <sheetView topLeftCell="A31" workbookViewId="0">
      <selection activeCell="I50" sqref="I50"/>
    </sheetView>
  </sheetViews>
  <sheetFormatPr defaultRowHeight="14.4" x14ac:dyDescent="0.3"/>
  <cols>
    <col min="1" max="1" width="14.77734375" bestFit="1" customWidth="1"/>
    <col min="2" max="2" width="26.5546875" bestFit="1" customWidth="1"/>
    <col min="3" max="3" width="25.44140625" bestFit="1" customWidth="1"/>
    <col min="4" max="4" width="8.21875" bestFit="1" customWidth="1"/>
    <col min="5" max="5" width="10.77734375" bestFit="1" customWidth="1"/>
    <col min="6" max="6" width="11.6640625" bestFit="1" customWidth="1"/>
    <col min="7" max="8" width="10.77734375" bestFit="1" customWidth="1"/>
    <col min="9" max="9" width="8" bestFit="1" customWidth="1"/>
    <col min="10" max="10" width="10.77734375" bestFit="1" customWidth="1"/>
    <col min="11" max="11" width="17.21875" bestFit="1" customWidth="1"/>
    <col min="12" max="12" width="14.77734375" bestFit="1" customWidth="1"/>
    <col min="13" max="13" width="15.5546875" hidden="1" customWidth="1"/>
    <col min="14" max="14" width="7" bestFit="1" customWidth="1"/>
    <col min="15" max="15" width="8.21875" hidden="1" customWidth="1"/>
    <col min="16" max="16" width="10.77734375" bestFit="1" customWidth="1"/>
  </cols>
  <sheetData>
    <row r="1" spans="1:3" x14ac:dyDescent="0.3">
      <c r="A1" s="45" t="s">
        <v>569</v>
      </c>
      <c r="B1" t="s">
        <v>503</v>
      </c>
      <c r="C1" t="s">
        <v>504</v>
      </c>
    </row>
    <row r="2" spans="1:3" x14ac:dyDescent="0.3">
      <c r="A2" s="46" t="s">
        <v>506</v>
      </c>
      <c r="B2" s="47">
        <v>20734000</v>
      </c>
      <c r="C2" s="47">
        <v>4387565</v>
      </c>
    </row>
    <row r="3" spans="1:3" x14ac:dyDescent="0.3">
      <c r="A3" s="46" t="s">
        <v>507</v>
      </c>
      <c r="B3" s="47">
        <v>21663000</v>
      </c>
      <c r="C3" s="47">
        <v>3784489</v>
      </c>
    </row>
    <row r="4" spans="1:3" x14ac:dyDescent="0.3">
      <c r="A4" s="46" t="s">
        <v>508</v>
      </c>
      <c r="B4" s="47">
        <v>21818000</v>
      </c>
      <c r="C4" s="47">
        <v>2519338</v>
      </c>
    </row>
    <row r="5" spans="1:3" x14ac:dyDescent="0.3">
      <c r="A5" s="46" t="s">
        <v>509</v>
      </c>
      <c r="B5" s="47">
        <v>20642000</v>
      </c>
      <c r="C5" s="47">
        <v>1670725</v>
      </c>
    </row>
    <row r="6" spans="1:3" x14ac:dyDescent="0.3">
      <c r="A6" s="46" t="s">
        <v>510</v>
      </c>
      <c r="B6" s="47">
        <v>13097000</v>
      </c>
      <c r="C6" s="47">
        <v>906181</v>
      </c>
    </row>
    <row r="7" spans="1:3" x14ac:dyDescent="0.3">
      <c r="A7" s="46" t="s">
        <v>511</v>
      </c>
      <c r="B7" s="47">
        <v>11421000</v>
      </c>
      <c r="C7" s="47">
        <v>433928</v>
      </c>
    </row>
    <row r="8" spans="1:3" x14ac:dyDescent="0.3">
      <c r="A8" s="46" t="s">
        <v>505</v>
      </c>
      <c r="B8" s="47">
        <v>109375000</v>
      </c>
      <c r="C8" s="47">
        <v>13702226</v>
      </c>
    </row>
    <row r="16" spans="1:3" x14ac:dyDescent="0.3">
      <c r="A16" s="45" t="s">
        <v>522</v>
      </c>
      <c r="B16" s="45" t="s">
        <v>523</v>
      </c>
    </row>
    <row r="17" spans="1:16" x14ac:dyDescent="0.3">
      <c r="A17" s="45" t="s">
        <v>569</v>
      </c>
      <c r="B17" t="s">
        <v>25</v>
      </c>
      <c r="C17" t="s">
        <v>55</v>
      </c>
      <c r="D17" t="s">
        <v>47</v>
      </c>
      <c r="E17" t="s">
        <v>505</v>
      </c>
    </row>
    <row r="18" spans="1:16" x14ac:dyDescent="0.3">
      <c r="A18" s="46" t="s">
        <v>20</v>
      </c>
      <c r="B18" s="19">
        <v>0.66666666666666663</v>
      </c>
      <c r="C18" s="19">
        <v>9.5238095238095233E-2</v>
      </c>
      <c r="D18" s="19">
        <v>0.23809523809523808</v>
      </c>
      <c r="E18" s="19">
        <v>1</v>
      </c>
      <c r="G18" t="str">
        <f t="shared" ref="G18:G25" si="0">A18</f>
        <v>Bengaluru-01</v>
      </c>
      <c r="I18" s="43">
        <f>GETPIVOTDATA("LoanID",$A$16,"BranchName","Bengaluru-01","LoanStatus","NPA")</f>
        <v>9.5238095238095233E-2</v>
      </c>
      <c r="L18" s="45" t="s">
        <v>522</v>
      </c>
      <c r="M18" s="45" t="s">
        <v>523</v>
      </c>
    </row>
    <row r="19" spans="1:16" x14ac:dyDescent="0.3">
      <c r="A19" s="46" t="s">
        <v>80</v>
      </c>
      <c r="B19" s="19">
        <v>0.72</v>
      </c>
      <c r="C19" s="19">
        <v>0.04</v>
      </c>
      <c r="D19" s="19">
        <v>0.24</v>
      </c>
      <c r="E19" s="19">
        <v>1</v>
      </c>
      <c r="G19" t="str">
        <f t="shared" si="0"/>
        <v>Bhubaneswar-01</v>
      </c>
      <c r="I19" s="43">
        <f>GETPIVOTDATA("LoanID",$A$16,"BranchName","Bhubaneswar-01","LoanStatus","NPA")</f>
        <v>0.04</v>
      </c>
      <c r="L19" s="45" t="s">
        <v>569</v>
      </c>
      <c r="M19" t="s">
        <v>25</v>
      </c>
      <c r="N19" t="s">
        <v>55</v>
      </c>
      <c r="O19" t="s">
        <v>47</v>
      </c>
      <c r="P19" t="s">
        <v>505</v>
      </c>
    </row>
    <row r="20" spans="1:16" x14ac:dyDescent="0.3">
      <c r="A20" s="46" t="s">
        <v>60</v>
      </c>
      <c r="B20" s="19">
        <v>0.7142857142857143</v>
      </c>
      <c r="C20" s="19">
        <v>0.10714285714285714</v>
      </c>
      <c r="D20" s="19">
        <v>0.17857142857142858</v>
      </c>
      <c r="E20" s="19">
        <v>1</v>
      </c>
      <c r="G20" t="str">
        <f t="shared" si="0"/>
        <v>Chennai-01</v>
      </c>
      <c r="I20" s="43">
        <f>GETPIVOTDATA("LoanID",$A$16,"BranchName","Chennai-01","LoanStatus","NPA")</f>
        <v>0.10714285714285714</v>
      </c>
      <c r="L20" s="46" t="s">
        <v>20</v>
      </c>
      <c r="M20" s="19">
        <v>0.66666666666666663</v>
      </c>
      <c r="N20" s="19">
        <v>9.5238095238095233E-2</v>
      </c>
      <c r="O20" s="19">
        <v>0.23809523809523808</v>
      </c>
      <c r="P20" s="19">
        <v>1</v>
      </c>
    </row>
    <row r="21" spans="1:16" x14ac:dyDescent="0.3">
      <c r="A21" s="46" t="s">
        <v>27</v>
      </c>
      <c r="B21" s="19">
        <v>0.79166666666666663</v>
      </c>
      <c r="C21" s="19">
        <v>8.3333333333333329E-2</v>
      </c>
      <c r="D21" s="19">
        <v>0.125</v>
      </c>
      <c r="E21" s="19">
        <v>1</v>
      </c>
      <c r="G21" t="str">
        <f t="shared" si="0"/>
        <v>Delhi-01</v>
      </c>
      <c r="I21" s="43">
        <f>GETPIVOTDATA("LoanID",$A$16,"BranchName","Delhi-01","LoanStatus","NPA")</f>
        <v>8.3333333333333329E-2</v>
      </c>
      <c r="L21" s="46" t="s">
        <v>80</v>
      </c>
      <c r="M21" s="19">
        <v>0.72</v>
      </c>
      <c r="N21" s="19">
        <v>0.04</v>
      </c>
      <c r="O21" s="19">
        <v>0.24</v>
      </c>
      <c r="P21" s="19">
        <v>1</v>
      </c>
    </row>
    <row r="22" spans="1:16" x14ac:dyDescent="0.3">
      <c r="A22" s="46" t="s">
        <v>52</v>
      </c>
      <c r="B22" s="19">
        <v>0.77777777777777779</v>
      </c>
      <c r="C22" s="19">
        <v>7.407407407407407E-2</v>
      </c>
      <c r="D22" s="19">
        <v>0.14814814814814814</v>
      </c>
      <c r="E22" s="19">
        <v>1</v>
      </c>
      <c r="G22" t="str">
        <f t="shared" si="0"/>
        <v>Kolkata-01</v>
      </c>
      <c r="I22" s="43">
        <f>GETPIVOTDATA("LoanID",$A$16,"BranchName","Kolkata-01","LoanStatus","NPA")</f>
        <v>7.407407407407407E-2</v>
      </c>
      <c r="L22" s="46" t="s">
        <v>60</v>
      </c>
      <c r="M22" s="19">
        <v>0.7142857142857143</v>
      </c>
      <c r="N22" s="19">
        <v>0.10714285714285714</v>
      </c>
      <c r="O22" s="19">
        <v>0.17857142857142858</v>
      </c>
      <c r="P22" s="19">
        <v>1</v>
      </c>
    </row>
    <row r="23" spans="1:16" x14ac:dyDescent="0.3">
      <c r="A23" s="46" t="s">
        <v>65</v>
      </c>
      <c r="B23" s="19">
        <v>0.70833333333333337</v>
      </c>
      <c r="C23" s="19">
        <v>8.3333333333333329E-2</v>
      </c>
      <c r="D23" s="19">
        <v>0.20833333333333334</v>
      </c>
      <c r="E23" s="19">
        <v>1</v>
      </c>
      <c r="G23" t="str">
        <f t="shared" si="0"/>
        <v>Lucknow-01</v>
      </c>
      <c r="I23" s="43">
        <f>GETPIVOTDATA("LoanID",$A$16,"BranchName","Lucknow-01","LoanStatus","NPA")</f>
        <v>8.3333333333333329E-2</v>
      </c>
      <c r="L23" s="46" t="s">
        <v>27</v>
      </c>
      <c r="M23" s="19">
        <v>0.79166666666666663</v>
      </c>
      <c r="N23" s="19">
        <v>8.3333333333333329E-2</v>
      </c>
      <c r="O23" s="19">
        <v>0.125</v>
      </c>
      <c r="P23" s="19">
        <v>1</v>
      </c>
    </row>
    <row r="24" spans="1:16" x14ac:dyDescent="0.3">
      <c r="A24" s="46" t="s">
        <v>40</v>
      </c>
      <c r="B24" s="19">
        <v>0.77419354838709675</v>
      </c>
      <c r="C24" s="19">
        <v>6.4516129032258063E-2</v>
      </c>
      <c r="D24" s="19">
        <v>0.16129032258064516</v>
      </c>
      <c r="E24" s="19">
        <v>1</v>
      </c>
      <c r="G24" t="str">
        <f t="shared" si="0"/>
        <v>Mumbai-01</v>
      </c>
      <c r="I24" s="43">
        <f>GETPIVOTDATA("LoanID",$A$16,"BranchName","Mumbai-01","LoanStatus","NPA")</f>
        <v>6.4516129032258063E-2</v>
      </c>
      <c r="L24" s="46" t="s">
        <v>52</v>
      </c>
      <c r="M24" s="19">
        <v>0.77777777777777779</v>
      </c>
      <c r="N24" s="19">
        <v>7.407407407407407E-2</v>
      </c>
      <c r="O24" s="19">
        <v>0.14814814814814814</v>
      </c>
      <c r="P24" s="19">
        <v>1</v>
      </c>
    </row>
    <row r="25" spans="1:16" x14ac:dyDescent="0.3">
      <c r="A25" s="46" t="s">
        <v>33</v>
      </c>
      <c r="B25" s="19">
        <v>0.7</v>
      </c>
      <c r="C25" s="19">
        <v>0.1</v>
      </c>
      <c r="D25" s="19">
        <v>0.2</v>
      </c>
      <c r="E25" s="19">
        <v>1</v>
      </c>
      <c r="G25" t="str">
        <f t="shared" si="0"/>
        <v>Pune-01</v>
      </c>
      <c r="I25" s="43">
        <f>GETPIVOTDATA("LoanID",$A$16,"BranchName","Pune-01","LoanStatus","NPA")</f>
        <v>0.1</v>
      </c>
      <c r="L25" s="46" t="s">
        <v>65</v>
      </c>
      <c r="M25" s="19">
        <v>0.70833333333333337</v>
      </c>
      <c r="N25" s="19">
        <v>8.3333333333333329E-2</v>
      </c>
      <c r="O25" s="19">
        <v>0.20833333333333334</v>
      </c>
      <c r="P25" s="19">
        <v>1</v>
      </c>
    </row>
    <row r="26" spans="1:16" x14ac:dyDescent="0.3">
      <c r="A26" s="46" t="s">
        <v>505</v>
      </c>
      <c r="B26" s="19">
        <v>0.73499999999999999</v>
      </c>
      <c r="C26" s="19">
        <v>0.08</v>
      </c>
      <c r="D26" s="19">
        <v>0.185</v>
      </c>
      <c r="E26" s="19">
        <v>1</v>
      </c>
      <c r="L26" s="46" t="s">
        <v>40</v>
      </c>
      <c r="M26" s="19">
        <v>0.77419354838709675</v>
      </c>
      <c r="N26" s="19">
        <v>6.4516129032258063E-2</v>
      </c>
      <c r="O26" s="19">
        <v>0.16129032258064516</v>
      </c>
      <c r="P26" s="19">
        <v>1</v>
      </c>
    </row>
    <row r="27" spans="1:16" x14ac:dyDescent="0.3">
      <c r="L27" s="46" t="s">
        <v>33</v>
      </c>
      <c r="M27" s="19">
        <v>0.7</v>
      </c>
      <c r="N27" s="19">
        <v>0.1</v>
      </c>
      <c r="O27" s="19">
        <v>0.2</v>
      </c>
      <c r="P27" s="19">
        <v>1</v>
      </c>
    </row>
    <row r="28" spans="1:16" x14ac:dyDescent="0.3">
      <c r="L28" s="46" t="s">
        <v>505</v>
      </c>
      <c r="M28" s="19">
        <v>0.73499999999999999</v>
      </c>
      <c r="N28" s="19">
        <v>0.08</v>
      </c>
      <c r="O28" s="19">
        <v>0.185</v>
      </c>
      <c r="P28" s="19">
        <v>1</v>
      </c>
    </row>
    <row r="31" spans="1:16" x14ac:dyDescent="0.3">
      <c r="A31" s="45" t="s">
        <v>522</v>
      </c>
      <c r="B31" s="45" t="s">
        <v>523</v>
      </c>
    </row>
    <row r="32" spans="1:16" x14ac:dyDescent="0.3">
      <c r="A32" s="45" t="s">
        <v>569</v>
      </c>
      <c r="B32" t="s">
        <v>25</v>
      </c>
      <c r="C32" t="s">
        <v>55</v>
      </c>
      <c r="D32" t="s">
        <v>47</v>
      </c>
      <c r="E32" t="s">
        <v>505</v>
      </c>
    </row>
    <row r="33" spans="1:9" x14ac:dyDescent="0.3">
      <c r="A33" s="46" t="s">
        <v>57</v>
      </c>
      <c r="B33" s="19">
        <v>0.63888888888888884</v>
      </c>
      <c r="C33" s="19">
        <v>8.3333333333333329E-2</v>
      </c>
      <c r="D33" s="19">
        <v>0.27777777777777779</v>
      </c>
      <c r="E33" s="19">
        <v>1</v>
      </c>
      <c r="G33" t="str">
        <f>A33</f>
        <v>Business Loan</v>
      </c>
      <c r="I33" s="43">
        <f>GETPIVOTDATA("LoanID",$A$31,"LoanProduct","Business Loan","LoanStatus","NPA")</f>
        <v>8.3333333333333329E-2</v>
      </c>
    </row>
    <row r="34" spans="1:9" x14ac:dyDescent="0.3">
      <c r="A34" s="46" t="s">
        <v>29</v>
      </c>
      <c r="B34" s="19">
        <v>0.92500000000000004</v>
      </c>
      <c r="C34" s="19">
        <v>2.5000000000000001E-2</v>
      </c>
      <c r="D34" s="19">
        <v>0.05</v>
      </c>
      <c r="E34" s="19">
        <v>1</v>
      </c>
      <c r="G34" t="str">
        <f>A34</f>
        <v>Gold Loan</v>
      </c>
      <c r="I34" s="43">
        <f>GETPIVOTDATA("LoanID",$A$31,"LoanProduct","Gold Loan","LoanStatus","NPA")</f>
        <v>2.5000000000000001E-2</v>
      </c>
    </row>
    <row r="35" spans="1:9" x14ac:dyDescent="0.3">
      <c r="A35" s="46" t="s">
        <v>49</v>
      </c>
      <c r="B35" s="19">
        <v>0.73529411764705888</v>
      </c>
      <c r="C35" s="19">
        <v>8.8235294117647065E-2</v>
      </c>
      <c r="D35" s="19">
        <v>0.17647058823529413</v>
      </c>
      <c r="E35" s="19">
        <v>1</v>
      </c>
      <c r="G35" t="str">
        <f>A35</f>
        <v>Home Improvement Loan</v>
      </c>
      <c r="I35" s="43">
        <f>GETPIVOTDATA("LoanID",$A$31,"LoanProduct","Home Improvement Loan","LoanStatus","NPA")</f>
        <v>8.8235294117647065E-2</v>
      </c>
    </row>
    <row r="36" spans="1:9" x14ac:dyDescent="0.3">
      <c r="A36" s="46" t="s">
        <v>35</v>
      </c>
      <c r="B36" s="19">
        <v>0.56818181818181823</v>
      </c>
      <c r="C36" s="19">
        <v>0.13636363636363635</v>
      </c>
      <c r="D36" s="19">
        <v>0.29545454545454547</v>
      </c>
      <c r="E36" s="19">
        <v>1</v>
      </c>
      <c r="G36" t="str">
        <f>A36</f>
        <v>Personal Loan</v>
      </c>
      <c r="I36" s="43">
        <f>GETPIVOTDATA("LoanID",$A$31,"LoanProduct","Personal Loan","LoanStatus","NPA")</f>
        <v>0.13636363636363635</v>
      </c>
    </row>
    <row r="37" spans="1:9" x14ac:dyDescent="0.3">
      <c r="A37" s="46" t="s">
        <v>22</v>
      </c>
      <c r="B37" s="19">
        <v>0.80434782608695654</v>
      </c>
      <c r="C37" s="19">
        <v>6.5217391304347824E-2</v>
      </c>
      <c r="D37" s="19">
        <v>0.13043478260869565</v>
      </c>
      <c r="E37" s="19">
        <v>1</v>
      </c>
      <c r="G37" t="str">
        <f>A37</f>
        <v>Vehicle Loan</v>
      </c>
      <c r="I37" s="43">
        <f>GETPIVOTDATA("LoanID",$A$31,"LoanProduct","Vehicle Loan","LoanStatus","NPA")</f>
        <v>6.5217391304347824E-2</v>
      </c>
    </row>
    <row r="38" spans="1:9" x14ac:dyDescent="0.3">
      <c r="A38" s="46" t="s">
        <v>505</v>
      </c>
      <c r="B38" s="19">
        <v>0.73499999999999999</v>
      </c>
      <c r="C38" s="19">
        <v>0.08</v>
      </c>
      <c r="D38" s="19">
        <v>0.185</v>
      </c>
      <c r="E38" s="19">
        <v>1</v>
      </c>
    </row>
    <row r="44" spans="1:9" x14ac:dyDescent="0.3">
      <c r="A44" s="45" t="s">
        <v>522</v>
      </c>
      <c r="B44" s="45" t="s">
        <v>523</v>
      </c>
    </row>
    <row r="45" spans="1:9" x14ac:dyDescent="0.3">
      <c r="A45" s="45" t="s">
        <v>569</v>
      </c>
      <c r="B45" t="s">
        <v>25</v>
      </c>
      <c r="C45" t="s">
        <v>55</v>
      </c>
      <c r="D45" t="s">
        <v>47</v>
      </c>
    </row>
    <row r="46" spans="1:9" x14ac:dyDescent="0.3">
      <c r="A46" s="46" t="s">
        <v>53</v>
      </c>
      <c r="B46" s="19">
        <v>0.75</v>
      </c>
      <c r="C46" s="19">
        <v>5.7692307692307696E-2</v>
      </c>
      <c r="D46" s="19">
        <v>0.19230769230769232</v>
      </c>
      <c r="G46" t="s">
        <v>53</v>
      </c>
      <c r="H46" s="43">
        <f>GETPIVOTDATA("LoanID",$A$44,"Region","East","LoanStatus","NPA")</f>
        <v>5.7692307692307696E-2</v>
      </c>
    </row>
    <row r="47" spans="1:9" x14ac:dyDescent="0.3">
      <c r="A47" s="46" t="s">
        <v>28</v>
      </c>
      <c r="B47" s="19">
        <v>0.75</v>
      </c>
      <c r="C47" s="19">
        <v>8.3333333333333329E-2</v>
      </c>
      <c r="D47" s="19">
        <v>0.16666666666666666</v>
      </c>
      <c r="G47" t="s">
        <v>28</v>
      </c>
      <c r="H47" s="43">
        <f>GETPIVOTDATA("LoanID",$A$44,"Region","North","LoanStatus","NPA")</f>
        <v>8.3333333333333329E-2</v>
      </c>
    </row>
    <row r="48" spans="1:9" x14ac:dyDescent="0.3">
      <c r="A48" s="46" t="s">
        <v>21</v>
      </c>
      <c r="B48" s="19">
        <v>0.69387755102040816</v>
      </c>
      <c r="C48" s="19">
        <v>0.10204081632653061</v>
      </c>
      <c r="D48" s="19">
        <v>0.20408163265306123</v>
      </c>
      <c r="G48" t="s">
        <v>21</v>
      </c>
      <c r="H48" s="43">
        <f>GETPIVOTDATA("LoanID",$A$44,"Region","South","LoanStatus","NPA")</f>
        <v>0.10204081632653061</v>
      </c>
    </row>
    <row r="49" spans="1:8" x14ac:dyDescent="0.3">
      <c r="A49" s="46" t="s">
        <v>34</v>
      </c>
      <c r="B49" s="19">
        <v>0.74509803921568629</v>
      </c>
      <c r="C49" s="19">
        <v>7.8431372549019607E-2</v>
      </c>
      <c r="D49" s="19">
        <v>0.17647058823529413</v>
      </c>
      <c r="G49" t="s">
        <v>34</v>
      </c>
      <c r="H49" s="43">
        <f>GETPIVOTDATA("LoanID",$A$44,"Region","West","LoanStatus","NPA")</f>
        <v>7.8431372549019607E-2</v>
      </c>
    </row>
    <row r="57" spans="1:8" x14ac:dyDescent="0.3">
      <c r="A57" s="45" t="s">
        <v>522</v>
      </c>
      <c r="B57" s="45" t="s">
        <v>523</v>
      </c>
    </row>
    <row r="58" spans="1:8" x14ac:dyDescent="0.3">
      <c r="A58" s="45" t="s">
        <v>569</v>
      </c>
      <c r="B58" t="s">
        <v>25</v>
      </c>
      <c r="C58" t="s">
        <v>55</v>
      </c>
      <c r="D58" t="s">
        <v>47</v>
      </c>
      <c r="E58" t="s">
        <v>505</v>
      </c>
    </row>
    <row r="59" spans="1:8" x14ac:dyDescent="0.3">
      <c r="A59" s="46" t="s">
        <v>42</v>
      </c>
      <c r="B59" s="19">
        <v>0.67647058823529416</v>
      </c>
      <c r="C59" s="19">
        <v>0.10294117647058823</v>
      </c>
      <c r="D59" s="19">
        <v>0.22058823529411764</v>
      </c>
      <c r="E59" s="19">
        <v>1</v>
      </c>
      <c r="G59" t="str">
        <f>A59</f>
        <v>Business Owner</v>
      </c>
      <c r="H59" s="43">
        <f>GETPIVOTDATA("LoanID",$A$57,"EmploymentType","Business Owner","LoanStatus","NPA")</f>
        <v>0.10294117647058823</v>
      </c>
    </row>
    <row r="60" spans="1:8" x14ac:dyDescent="0.3">
      <c r="A60" s="46" t="s">
        <v>31</v>
      </c>
      <c r="B60" s="19">
        <v>0.83783783783783783</v>
      </c>
      <c r="C60" s="19">
        <v>5.4054054054054057E-2</v>
      </c>
      <c r="D60" s="19">
        <v>0.10810810810810811</v>
      </c>
      <c r="E60" s="19">
        <v>1</v>
      </c>
      <c r="G60" t="str">
        <f>A60</f>
        <v>Salaried</v>
      </c>
      <c r="H60" s="43">
        <f>GETPIVOTDATA("LoanID",$A$57,"EmploymentType","Salaried","LoanStatus","NPA")</f>
        <v>5.4054054054054057E-2</v>
      </c>
    </row>
    <row r="61" spans="1:8" x14ac:dyDescent="0.3">
      <c r="A61" s="46" t="s">
        <v>24</v>
      </c>
      <c r="B61" s="19">
        <v>0.67241379310344829</v>
      </c>
      <c r="C61" s="19">
        <v>8.6206896551724144E-2</v>
      </c>
      <c r="D61" s="19">
        <v>0.2413793103448276</v>
      </c>
      <c r="E61" s="19">
        <v>1</v>
      </c>
      <c r="G61" t="str">
        <f>A61</f>
        <v>Self-Employed</v>
      </c>
      <c r="H61" s="43">
        <f>GETPIVOTDATA("LoanID",$A$57,"EmploymentType","Self-Employed","LoanStatus","NPA")</f>
        <v>8.6206896551724144E-2</v>
      </c>
    </row>
    <row r="62" spans="1:8" x14ac:dyDescent="0.3">
      <c r="A62" s="46" t="s">
        <v>505</v>
      </c>
      <c r="B62" s="19">
        <v>0.73499999999999999</v>
      </c>
      <c r="C62" s="19">
        <v>0.08</v>
      </c>
      <c r="D62" s="19">
        <v>0.185</v>
      </c>
      <c r="E62" s="19">
        <v>1</v>
      </c>
    </row>
    <row r="70" spans="1:8" x14ac:dyDescent="0.3">
      <c r="A70" s="45" t="s">
        <v>522</v>
      </c>
      <c r="B70" s="45" t="s">
        <v>523</v>
      </c>
    </row>
    <row r="71" spans="1:8" x14ac:dyDescent="0.3">
      <c r="A71" s="45" t="s">
        <v>569</v>
      </c>
      <c r="B71" t="s">
        <v>25</v>
      </c>
      <c r="C71" t="s">
        <v>55</v>
      </c>
      <c r="D71" t="s">
        <v>47</v>
      </c>
      <c r="E71" t="s">
        <v>505</v>
      </c>
    </row>
    <row r="72" spans="1:8" x14ac:dyDescent="0.3">
      <c r="A72" s="46" t="s">
        <v>537</v>
      </c>
      <c r="B72" s="19">
        <v>0.72727272727272729</v>
      </c>
      <c r="C72" s="19">
        <v>6.0606060606060608E-2</v>
      </c>
      <c r="D72" s="19">
        <v>0.21212121212121213</v>
      </c>
      <c r="E72" s="19">
        <v>1</v>
      </c>
      <c r="G72" s="43" t="str">
        <f>A72</f>
        <v>&lt;30</v>
      </c>
      <c r="H72" s="43">
        <f>GETPIVOTDATA("LoanID",$A$70,"Age Bands","&lt;30","LoanStatus","NPA")</f>
        <v>6.0606060606060608E-2</v>
      </c>
    </row>
    <row r="73" spans="1:8" x14ac:dyDescent="0.3">
      <c r="A73" s="46" t="s">
        <v>538</v>
      </c>
      <c r="B73" s="19">
        <v>0.74545454545454548</v>
      </c>
      <c r="C73" s="19">
        <v>0.10909090909090909</v>
      </c>
      <c r="D73" s="19">
        <v>0.14545454545454545</v>
      </c>
      <c r="E73" s="19">
        <v>1</v>
      </c>
      <c r="G73" s="43" t="str">
        <f>A73</f>
        <v>30-40</v>
      </c>
      <c r="H73" s="43">
        <f>GETPIVOTDATA("LoanID",$A$70,"Age Bands","30-40","LoanStatus","NPA")</f>
        <v>0.10909090909090909</v>
      </c>
    </row>
    <row r="74" spans="1:8" x14ac:dyDescent="0.3">
      <c r="A74" s="46" t="s">
        <v>539</v>
      </c>
      <c r="B74" s="19">
        <v>0.70491803278688525</v>
      </c>
      <c r="C74" s="19">
        <v>9.8360655737704916E-2</v>
      </c>
      <c r="D74" s="19">
        <v>0.19672131147540983</v>
      </c>
      <c r="E74" s="19">
        <v>1</v>
      </c>
      <c r="G74" s="43" t="str">
        <f>A74</f>
        <v>40-50</v>
      </c>
      <c r="H74" s="43">
        <f>GETPIVOTDATA("LoanID",$A$70,"Age Bands","40-50","LoanStatus","NPA")</f>
        <v>9.8360655737704916E-2</v>
      </c>
    </row>
    <row r="75" spans="1:8" x14ac:dyDescent="0.3">
      <c r="A75" s="46" t="s">
        <v>540</v>
      </c>
      <c r="B75" s="19">
        <v>0.76470588235294112</v>
      </c>
      <c r="C75" s="19">
        <v>3.9215686274509803E-2</v>
      </c>
      <c r="D75" s="19">
        <v>0.19607843137254902</v>
      </c>
      <c r="E75" s="19">
        <v>1</v>
      </c>
      <c r="G75" s="43" t="str">
        <f>A75</f>
        <v>50+</v>
      </c>
      <c r="H75" s="43">
        <f>GETPIVOTDATA("LoanID",$A$70,"Age Bands","50+","LoanStatus","NPA")</f>
        <v>3.9215686274509803E-2</v>
      </c>
    </row>
    <row r="76" spans="1:8" x14ac:dyDescent="0.3">
      <c r="A76" s="46" t="s">
        <v>505</v>
      </c>
      <c r="B76" s="19">
        <v>0.73499999999999999</v>
      </c>
      <c r="C76" s="19">
        <v>0.08</v>
      </c>
      <c r="D76" s="19">
        <v>0.185</v>
      </c>
      <c r="E76" s="19">
        <v>1</v>
      </c>
    </row>
    <row r="84" spans="1:2" x14ac:dyDescent="0.3">
      <c r="A84" s="45" t="s">
        <v>569</v>
      </c>
      <c r="B84" t="s">
        <v>545</v>
      </c>
    </row>
    <row r="85" spans="1:2" x14ac:dyDescent="0.3">
      <c r="A85" s="46" t="s">
        <v>20</v>
      </c>
      <c r="B85" s="47">
        <v>437013</v>
      </c>
    </row>
    <row r="86" spans="1:2" x14ac:dyDescent="0.3">
      <c r="A86" s="46" t="s">
        <v>80</v>
      </c>
      <c r="B86" s="47">
        <v>559662</v>
      </c>
    </row>
    <row r="87" spans="1:2" x14ac:dyDescent="0.3">
      <c r="A87" s="46" t="s">
        <v>60</v>
      </c>
      <c r="B87" s="47">
        <v>364603</v>
      </c>
    </row>
    <row r="88" spans="1:2" x14ac:dyDescent="0.3">
      <c r="A88" s="46" t="s">
        <v>27</v>
      </c>
      <c r="B88" s="47">
        <v>421154</v>
      </c>
    </row>
    <row r="89" spans="1:2" x14ac:dyDescent="0.3">
      <c r="A89" s="46" t="s">
        <v>52</v>
      </c>
      <c r="B89" s="47">
        <v>570012</v>
      </c>
    </row>
    <row r="90" spans="1:2" x14ac:dyDescent="0.3">
      <c r="A90" s="46" t="s">
        <v>65</v>
      </c>
      <c r="B90" s="47">
        <v>385297</v>
      </c>
    </row>
    <row r="91" spans="1:2" x14ac:dyDescent="0.3">
      <c r="A91" s="46" t="s">
        <v>40</v>
      </c>
      <c r="B91" s="47">
        <v>509710</v>
      </c>
    </row>
    <row r="92" spans="1:2" x14ac:dyDescent="0.3">
      <c r="A92" s="46" t="s">
        <v>33</v>
      </c>
      <c r="B92" s="47">
        <v>381305</v>
      </c>
    </row>
    <row r="93" spans="1:2" x14ac:dyDescent="0.3">
      <c r="A93" s="46" t="s">
        <v>505</v>
      </c>
      <c r="B93" s="47">
        <v>3628756</v>
      </c>
    </row>
    <row r="103" spans="1:8" x14ac:dyDescent="0.3">
      <c r="A103" s="45" t="s">
        <v>570</v>
      </c>
      <c r="B103" s="45" t="s">
        <v>523</v>
      </c>
    </row>
    <row r="104" spans="1:8" x14ac:dyDescent="0.3">
      <c r="A104" s="45" t="s">
        <v>569</v>
      </c>
      <c r="B104" t="s">
        <v>25</v>
      </c>
      <c r="C104" t="s">
        <v>55</v>
      </c>
      <c r="D104" t="s">
        <v>47</v>
      </c>
      <c r="E104" t="s">
        <v>505</v>
      </c>
    </row>
    <row r="105" spans="1:8" x14ac:dyDescent="0.3">
      <c r="A105" s="46" t="s">
        <v>20</v>
      </c>
      <c r="B105" s="89">
        <v>14</v>
      </c>
      <c r="C105" s="89">
        <v>2</v>
      </c>
      <c r="D105" s="89">
        <v>5</v>
      </c>
      <c r="E105" s="89">
        <v>21</v>
      </c>
      <c r="G105" t="str">
        <f t="shared" ref="G105:G112" si="1">A105</f>
        <v>Bengaluru-01</v>
      </c>
      <c r="H105">
        <f>GETPIVOTDATA("LoanProduct",$A$103,"BranchName","Bengaluru-01","LoanStatus","Overdue")</f>
        <v>5</v>
      </c>
    </row>
    <row r="106" spans="1:8" x14ac:dyDescent="0.3">
      <c r="A106" s="46" t="s">
        <v>80</v>
      </c>
      <c r="B106" s="89">
        <v>18</v>
      </c>
      <c r="C106" s="89">
        <v>1</v>
      </c>
      <c r="D106" s="89">
        <v>6</v>
      </c>
      <c r="E106" s="89">
        <v>25</v>
      </c>
      <c r="G106" t="str">
        <f t="shared" si="1"/>
        <v>Bhubaneswar-01</v>
      </c>
      <c r="H106">
        <f>GETPIVOTDATA("LoanProduct",$A$103,"BranchName","Bhubaneswar-01","LoanStatus","Overdue")</f>
        <v>6</v>
      </c>
    </row>
    <row r="107" spans="1:8" x14ac:dyDescent="0.3">
      <c r="A107" s="46" t="s">
        <v>60</v>
      </c>
      <c r="B107" s="89">
        <v>20</v>
      </c>
      <c r="C107" s="89">
        <v>3</v>
      </c>
      <c r="D107" s="89">
        <v>5</v>
      </c>
      <c r="E107" s="89">
        <v>28</v>
      </c>
      <c r="G107" t="str">
        <f t="shared" si="1"/>
        <v>Chennai-01</v>
      </c>
      <c r="H107">
        <f>GETPIVOTDATA("LoanProduct",$A$103,"BranchName","Chennai-01","LoanStatus","Overdue")</f>
        <v>5</v>
      </c>
    </row>
    <row r="108" spans="1:8" x14ac:dyDescent="0.3">
      <c r="A108" s="46" t="s">
        <v>27</v>
      </c>
      <c r="B108" s="89">
        <v>19</v>
      </c>
      <c r="C108" s="89">
        <v>2</v>
      </c>
      <c r="D108" s="89">
        <v>3</v>
      </c>
      <c r="E108" s="89">
        <v>24</v>
      </c>
      <c r="G108" t="str">
        <f t="shared" si="1"/>
        <v>Delhi-01</v>
      </c>
      <c r="H108">
        <f>GETPIVOTDATA("LoanProduct",$A$103,"BranchName","Delhi-01","LoanStatus","Overdue")</f>
        <v>3</v>
      </c>
    </row>
    <row r="109" spans="1:8" x14ac:dyDescent="0.3">
      <c r="A109" s="46" t="s">
        <v>52</v>
      </c>
      <c r="B109" s="89">
        <v>21</v>
      </c>
      <c r="C109" s="89">
        <v>2</v>
      </c>
      <c r="D109" s="89">
        <v>4</v>
      </c>
      <c r="E109" s="89">
        <v>27</v>
      </c>
      <c r="G109" t="str">
        <f t="shared" si="1"/>
        <v>Kolkata-01</v>
      </c>
      <c r="H109">
        <f>GETPIVOTDATA("LoanProduct",$A$103,"BranchName","Kolkata-01","LoanStatus","Overdue")</f>
        <v>4</v>
      </c>
    </row>
    <row r="110" spans="1:8" x14ac:dyDescent="0.3">
      <c r="A110" s="46" t="s">
        <v>65</v>
      </c>
      <c r="B110" s="89">
        <v>17</v>
      </c>
      <c r="C110" s="89">
        <v>2</v>
      </c>
      <c r="D110" s="89">
        <v>5</v>
      </c>
      <c r="E110" s="89">
        <v>24</v>
      </c>
      <c r="G110" t="str">
        <f t="shared" si="1"/>
        <v>Lucknow-01</v>
      </c>
      <c r="H110">
        <f>GETPIVOTDATA("LoanProduct",$A$103,"BranchName","Lucknow-01","LoanStatus","Overdue")</f>
        <v>5</v>
      </c>
    </row>
    <row r="111" spans="1:8" x14ac:dyDescent="0.3">
      <c r="A111" s="46" t="s">
        <v>40</v>
      </c>
      <c r="B111" s="89">
        <v>24</v>
      </c>
      <c r="C111" s="89">
        <v>2</v>
      </c>
      <c r="D111" s="89">
        <v>5</v>
      </c>
      <c r="E111" s="89">
        <v>31</v>
      </c>
      <c r="G111" t="str">
        <f t="shared" si="1"/>
        <v>Mumbai-01</v>
      </c>
      <c r="H111">
        <f>GETPIVOTDATA("LoanProduct",$A$103,"BranchName","Mumbai-01","LoanStatus","Overdue")</f>
        <v>5</v>
      </c>
    </row>
    <row r="112" spans="1:8" x14ac:dyDescent="0.3">
      <c r="A112" s="46" t="s">
        <v>33</v>
      </c>
      <c r="B112" s="89">
        <v>14</v>
      </c>
      <c r="C112" s="89">
        <v>2</v>
      </c>
      <c r="D112" s="89">
        <v>4</v>
      </c>
      <c r="E112" s="89">
        <v>20</v>
      </c>
      <c r="G112" t="str">
        <f t="shared" si="1"/>
        <v>Pune-01</v>
      </c>
      <c r="H112">
        <f>GETPIVOTDATA("LoanProduct",$A$103,"BranchName","Pune-01","LoanStatus","Overdue")</f>
        <v>4</v>
      </c>
    </row>
    <row r="113" spans="1:5" x14ac:dyDescent="0.3">
      <c r="A113" s="46" t="s">
        <v>505</v>
      </c>
      <c r="B113" s="89">
        <v>147</v>
      </c>
      <c r="C113" s="89">
        <v>16</v>
      </c>
      <c r="D113" s="89">
        <v>37</v>
      </c>
      <c r="E113" s="89">
        <v>200</v>
      </c>
    </row>
    <row r="117" spans="1:5" x14ac:dyDescent="0.3">
      <c r="A117" t="s">
        <v>522</v>
      </c>
      <c r="C117" t="s">
        <v>515</v>
      </c>
    </row>
    <row r="118" spans="1:5" x14ac:dyDescent="0.3">
      <c r="A118" s="89">
        <v>200</v>
      </c>
      <c r="C118" s="47">
        <v>99301530</v>
      </c>
    </row>
    <row r="120" spans="1:5" x14ac:dyDescent="0.3">
      <c r="A120" t="s">
        <v>503</v>
      </c>
    </row>
    <row r="121" spans="1:5" x14ac:dyDescent="0.3">
      <c r="A121" s="47">
        <v>109375000</v>
      </c>
    </row>
    <row r="123" spans="1:5" x14ac:dyDescent="0.3">
      <c r="A123" t="s">
        <v>545</v>
      </c>
    </row>
    <row r="124" spans="1:5" x14ac:dyDescent="0.3">
      <c r="A124" s="47">
        <v>3628756</v>
      </c>
    </row>
  </sheetData>
  <pageMargins left="0.7" right="0.7" top="0.75" bottom="0.75" header="0.3" footer="0.3"/>
  <drawing r:id="rId14"/>
  <extLst>
    <ext xmlns:x14="http://schemas.microsoft.com/office/spreadsheetml/2009/9/main" uri="{A8765BA9-456A-4dab-B4F3-ACF838C121DE}">
      <x14:slicerList>
        <x14:slicer r:id="rId15"/>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F848A-F39D-4728-A5FE-0A58ED1C80D5}">
  <dimension ref="A1:BO88"/>
  <sheetViews>
    <sheetView topLeftCell="A12" zoomScale="35" zoomScaleNormal="40" workbookViewId="0">
      <selection activeCell="AI85" sqref="AI85"/>
    </sheetView>
  </sheetViews>
  <sheetFormatPr defaultRowHeight="14.4" x14ac:dyDescent="0.3"/>
  <cols>
    <col min="55" max="55" width="16.5546875" bestFit="1" customWidth="1"/>
    <col min="62" max="62" width="16.6640625" bestFit="1" customWidth="1"/>
  </cols>
  <sheetData>
    <row r="1" spans="1:67" x14ac:dyDescent="0.3">
      <c r="A1" s="52"/>
      <c r="B1" s="52"/>
      <c r="C1" s="52"/>
      <c r="D1" s="52"/>
      <c r="E1" s="52"/>
      <c r="F1" s="52"/>
      <c r="G1" s="52"/>
      <c r="H1" s="52"/>
      <c r="I1" s="52"/>
      <c r="J1" s="52"/>
      <c r="K1" s="52"/>
      <c r="L1" s="52"/>
      <c r="M1" s="52"/>
      <c r="N1" s="52"/>
      <c r="O1" s="52"/>
      <c r="P1" s="52"/>
      <c r="Q1" s="52"/>
      <c r="R1" s="52"/>
      <c r="S1" s="52"/>
      <c r="T1" s="52"/>
      <c r="U1" s="52"/>
      <c r="V1" s="52"/>
      <c r="W1" s="52"/>
      <c r="X1" s="52"/>
      <c r="Y1" s="52"/>
      <c r="Z1" s="52"/>
      <c r="AA1" s="52"/>
      <c r="AB1" s="52"/>
      <c r="AC1" s="52"/>
      <c r="AD1" s="52"/>
      <c r="AE1" s="52"/>
      <c r="AF1" s="52"/>
      <c r="AG1" s="52"/>
      <c r="AH1" s="52"/>
      <c r="AI1" s="52"/>
      <c r="AJ1" s="52"/>
      <c r="AK1" s="52"/>
      <c r="AL1" s="52"/>
      <c r="AM1" s="52"/>
      <c r="AN1" s="52"/>
      <c r="AO1" s="52"/>
      <c r="AP1" s="52"/>
      <c r="AQ1" s="52"/>
      <c r="AR1" s="52"/>
      <c r="AS1" s="52"/>
      <c r="AT1" s="52"/>
      <c r="AU1" s="52"/>
      <c r="AV1" s="52"/>
      <c r="AW1" s="52"/>
      <c r="AX1" s="52"/>
      <c r="AY1" s="52"/>
      <c r="AZ1" s="52"/>
      <c r="BA1" s="52"/>
      <c r="BB1" s="52"/>
      <c r="BC1" s="52"/>
      <c r="BD1" s="52"/>
      <c r="BE1" s="52"/>
      <c r="BF1" s="52"/>
      <c r="BG1" s="52"/>
      <c r="BH1" s="52"/>
      <c r="BI1" s="52"/>
      <c r="BJ1" s="52"/>
      <c r="BK1" s="52"/>
      <c r="BL1" s="52"/>
      <c r="BM1" s="52"/>
      <c r="BN1" s="52"/>
    </row>
    <row r="2" spans="1:67" x14ac:dyDescent="0.3">
      <c r="A2" s="53"/>
      <c r="B2" s="53"/>
      <c r="C2" s="53"/>
      <c r="D2" s="53"/>
      <c r="E2" s="53"/>
      <c r="F2" s="53"/>
      <c r="G2" s="53"/>
      <c r="H2" s="53"/>
      <c r="I2" s="53"/>
      <c r="J2" s="53"/>
      <c r="K2" s="53"/>
      <c r="L2" s="53"/>
      <c r="M2" s="53"/>
      <c r="N2" s="53"/>
      <c r="O2" s="53"/>
      <c r="P2" s="53"/>
      <c r="Q2" s="53"/>
      <c r="R2" s="53"/>
      <c r="S2" s="53"/>
      <c r="T2" s="53"/>
      <c r="U2" s="53"/>
      <c r="V2" s="53"/>
      <c r="W2" s="53"/>
      <c r="X2" s="53"/>
      <c r="Y2" s="53"/>
      <c r="Z2" s="53"/>
      <c r="AA2" s="53"/>
      <c r="AB2" s="53"/>
      <c r="AC2" s="53"/>
      <c r="AD2" s="53"/>
      <c r="AE2" s="53"/>
      <c r="AF2" s="53"/>
      <c r="AG2" s="53"/>
      <c r="AH2" s="53"/>
      <c r="AI2" s="53"/>
      <c r="AJ2" s="53"/>
      <c r="AK2" s="53"/>
      <c r="AL2" s="53"/>
      <c r="AM2" s="53"/>
      <c r="AN2" s="53"/>
      <c r="AO2" s="53"/>
      <c r="AP2" s="53"/>
      <c r="AQ2" s="53"/>
      <c r="AR2" s="53"/>
      <c r="AS2" s="53"/>
      <c r="AT2" s="53"/>
      <c r="AU2" s="53"/>
      <c r="AV2" s="53"/>
      <c r="AW2" s="53"/>
      <c r="AX2" s="53"/>
      <c r="AY2" s="53"/>
      <c r="AZ2" s="53"/>
      <c r="BA2" s="53"/>
      <c r="BB2" s="53"/>
      <c r="BC2" s="53"/>
      <c r="BD2" s="53"/>
      <c r="BE2" s="53"/>
      <c r="BF2" s="53"/>
      <c r="BG2" s="53"/>
      <c r="BH2" s="53"/>
      <c r="BI2" s="53"/>
      <c r="BJ2" s="53"/>
      <c r="BK2" s="53"/>
      <c r="BL2" s="53"/>
      <c r="BM2" s="53"/>
      <c r="BN2" s="53"/>
      <c r="BO2" s="51"/>
    </row>
    <row r="3" spans="1:67" x14ac:dyDescent="0.3">
      <c r="A3" s="53"/>
      <c r="B3" s="53"/>
      <c r="C3" s="53"/>
      <c r="D3" s="53"/>
      <c r="E3" s="53"/>
      <c r="F3" s="53"/>
      <c r="G3" s="53"/>
      <c r="H3" s="53"/>
      <c r="I3" s="53"/>
      <c r="J3" s="53"/>
      <c r="K3" s="53"/>
      <c r="L3" s="53"/>
      <c r="M3" s="53"/>
      <c r="N3" s="53"/>
      <c r="O3" s="53"/>
      <c r="P3" s="53"/>
      <c r="Q3" s="53"/>
      <c r="R3" s="53"/>
      <c r="S3" s="53"/>
      <c r="T3" s="53"/>
      <c r="U3" s="53"/>
      <c r="V3" s="53"/>
      <c r="W3" s="53"/>
      <c r="X3" s="53"/>
      <c r="Y3" s="53"/>
      <c r="Z3" s="53"/>
      <c r="AA3" s="53"/>
      <c r="AB3" s="53"/>
      <c r="AC3" s="53"/>
      <c r="AD3" s="53"/>
      <c r="AE3" s="53"/>
      <c r="AF3" s="53"/>
      <c r="AG3" s="53"/>
      <c r="AH3" s="53"/>
      <c r="AI3" s="53"/>
      <c r="AJ3" s="53"/>
      <c r="AK3" s="53"/>
      <c r="AL3" s="53"/>
      <c r="AM3" s="53"/>
      <c r="AN3" s="53"/>
      <c r="AO3" s="53"/>
      <c r="AP3" s="53"/>
      <c r="AQ3" s="53"/>
      <c r="AR3" s="53"/>
      <c r="AS3" s="53"/>
      <c r="AT3" s="53"/>
      <c r="AU3" s="53"/>
      <c r="AV3" s="53"/>
      <c r="AW3" s="53"/>
      <c r="AX3" s="53"/>
      <c r="AY3" s="53"/>
      <c r="AZ3" s="53"/>
      <c r="BA3" s="53"/>
      <c r="BB3" s="53"/>
      <c r="BC3" s="53"/>
      <c r="BD3" s="53"/>
      <c r="BE3" s="53"/>
      <c r="BF3" s="53"/>
      <c r="BG3" s="53"/>
      <c r="BH3" s="53"/>
      <c r="BI3" s="53"/>
      <c r="BJ3" s="53"/>
      <c r="BK3" s="53"/>
      <c r="BL3" s="53"/>
      <c r="BM3" s="53"/>
      <c r="BN3" s="53"/>
      <c r="BO3" s="51"/>
    </row>
    <row r="4" spans="1:67" x14ac:dyDescent="0.3">
      <c r="A4" s="53"/>
      <c r="B4" s="53"/>
      <c r="C4" s="53"/>
      <c r="D4" s="53"/>
      <c r="E4" s="53"/>
      <c r="F4" s="53"/>
      <c r="G4" s="53"/>
      <c r="H4" s="53"/>
      <c r="I4" s="53"/>
      <c r="J4" s="53"/>
      <c r="K4" s="53"/>
      <c r="L4" s="53"/>
      <c r="M4" s="53"/>
      <c r="N4" s="53"/>
      <c r="O4" s="53"/>
      <c r="P4" s="53"/>
      <c r="Q4" s="53"/>
      <c r="R4" s="53"/>
      <c r="S4" s="53"/>
      <c r="T4" s="53"/>
      <c r="U4" s="53"/>
      <c r="V4" s="53"/>
      <c r="W4" s="53"/>
      <c r="X4" s="53"/>
      <c r="Y4" s="53"/>
      <c r="Z4" s="53"/>
      <c r="AA4" s="53"/>
      <c r="AB4" s="53"/>
      <c r="AC4" s="53"/>
      <c r="AD4" s="53"/>
      <c r="AE4" s="53"/>
      <c r="AF4" s="53"/>
      <c r="AG4" s="53"/>
      <c r="AH4" s="53"/>
      <c r="AI4" s="53"/>
      <c r="AJ4" s="53"/>
      <c r="AK4" s="53"/>
      <c r="AL4" s="53"/>
      <c r="AM4" s="53"/>
      <c r="AN4" s="53"/>
      <c r="AO4" s="53"/>
      <c r="AP4" s="53"/>
      <c r="AQ4" s="53"/>
      <c r="AR4" s="53"/>
      <c r="AS4" s="53"/>
      <c r="AT4" s="53"/>
      <c r="AU4" s="53"/>
      <c r="AV4" s="53"/>
      <c r="AW4" s="53"/>
      <c r="AX4" s="53"/>
      <c r="AY4" s="53"/>
      <c r="AZ4" s="53"/>
      <c r="BA4" s="53"/>
      <c r="BB4" s="53"/>
      <c r="BC4" s="53"/>
      <c r="BD4" s="53"/>
      <c r="BE4" s="53"/>
      <c r="BF4" s="53"/>
      <c r="BG4" s="53"/>
      <c r="BH4" s="53"/>
      <c r="BI4" s="53"/>
      <c r="BJ4" s="53"/>
      <c r="BK4" s="53"/>
      <c r="BL4" s="53"/>
      <c r="BM4" s="53"/>
      <c r="BN4" s="53"/>
      <c r="BO4" s="51"/>
    </row>
    <row r="5" spans="1:67" x14ac:dyDescent="0.3">
      <c r="A5" s="53"/>
      <c r="B5" s="53"/>
      <c r="C5" s="53"/>
      <c r="D5" s="53"/>
      <c r="E5" s="53"/>
      <c r="F5" s="53"/>
      <c r="G5" s="53"/>
      <c r="H5" s="53"/>
      <c r="I5" s="53"/>
      <c r="J5" s="53"/>
      <c r="K5" s="53"/>
      <c r="L5" s="53"/>
      <c r="M5" s="53"/>
      <c r="N5" s="53"/>
      <c r="O5" s="53"/>
      <c r="P5" s="53"/>
      <c r="Q5" s="53"/>
      <c r="R5" s="53"/>
      <c r="S5" s="53"/>
      <c r="T5" s="53"/>
      <c r="U5" s="53"/>
      <c r="V5" s="53"/>
      <c r="W5" s="53"/>
      <c r="X5" s="53"/>
      <c r="Y5" s="53"/>
      <c r="Z5" s="53"/>
      <c r="AA5" s="53"/>
      <c r="AB5" s="53"/>
      <c r="AC5" s="53"/>
      <c r="AD5" s="53"/>
      <c r="AE5" s="54"/>
      <c r="AF5" s="53"/>
      <c r="AG5" s="53"/>
      <c r="AH5" s="53"/>
      <c r="AI5" s="53"/>
      <c r="AJ5" s="53"/>
      <c r="AK5" s="53"/>
      <c r="AL5" s="53"/>
      <c r="AM5" s="53"/>
      <c r="AN5" s="53"/>
      <c r="AO5" s="53"/>
      <c r="AP5" s="53"/>
      <c r="AQ5" s="53"/>
      <c r="AR5" s="53"/>
      <c r="AS5" s="53"/>
      <c r="AT5" s="53"/>
      <c r="AU5" s="53"/>
      <c r="AV5" s="53"/>
      <c r="AW5" s="53"/>
      <c r="AX5" s="53"/>
      <c r="AY5" s="53"/>
      <c r="AZ5" s="53"/>
      <c r="BA5" s="53"/>
      <c r="BB5" s="53"/>
      <c r="BC5" s="53"/>
      <c r="BD5" s="53"/>
      <c r="BE5" s="53"/>
      <c r="BF5" s="53"/>
      <c r="BG5" s="53"/>
      <c r="BH5" s="53"/>
      <c r="BI5" s="53"/>
      <c r="BJ5" s="54">
        <f>GETPIVOTDATA("OutstandingPrincipal",'PIVOT TABLES'!$A$183)</f>
        <v>99301530</v>
      </c>
      <c r="BK5" s="53"/>
      <c r="BL5" s="53"/>
      <c r="BM5" s="53"/>
      <c r="BN5" s="53"/>
      <c r="BO5" s="51"/>
    </row>
    <row r="6" spans="1:67" x14ac:dyDescent="0.3">
      <c r="A6" s="53"/>
      <c r="B6" s="53"/>
      <c r="C6" s="53"/>
      <c r="D6" s="53"/>
      <c r="E6" s="53"/>
      <c r="F6" s="53"/>
      <c r="G6" s="53"/>
      <c r="H6" s="53"/>
      <c r="I6" s="53"/>
      <c r="J6" s="53"/>
      <c r="K6" s="53"/>
      <c r="L6" s="53"/>
      <c r="M6" s="53"/>
      <c r="N6" s="53"/>
      <c r="O6" s="53"/>
      <c r="P6" s="53"/>
      <c r="Q6" s="53"/>
      <c r="R6" s="53"/>
      <c r="S6" s="53"/>
      <c r="T6" s="53"/>
      <c r="U6" s="53"/>
      <c r="V6" s="53"/>
      <c r="W6" s="53"/>
      <c r="X6" s="53"/>
      <c r="Y6" s="53"/>
      <c r="Z6" s="53"/>
      <c r="AA6" s="53"/>
      <c r="AB6" s="53"/>
      <c r="AC6" s="53"/>
      <c r="AD6" s="53"/>
      <c r="AE6" s="53"/>
      <c r="AF6" s="53"/>
      <c r="AG6" s="53"/>
      <c r="AH6" s="53"/>
      <c r="AI6" s="53"/>
      <c r="AJ6" s="53"/>
      <c r="AK6" s="53"/>
      <c r="AL6" s="53"/>
      <c r="AM6" s="53"/>
      <c r="AN6" s="53"/>
      <c r="AO6" s="53"/>
      <c r="AP6" s="53"/>
      <c r="AQ6" s="53"/>
      <c r="AR6" s="53"/>
      <c r="AS6" s="53"/>
      <c r="AT6" s="53"/>
      <c r="AU6" s="53"/>
      <c r="AV6" s="53"/>
      <c r="AW6" s="53"/>
      <c r="AX6" s="53"/>
      <c r="AY6" s="53"/>
      <c r="AZ6" s="53"/>
      <c r="BA6" s="53"/>
      <c r="BB6" s="53"/>
      <c r="BC6" s="53"/>
      <c r="BD6" s="53"/>
      <c r="BE6" s="53"/>
      <c r="BF6" s="53"/>
      <c r="BG6" s="53"/>
      <c r="BH6" s="53"/>
      <c r="BI6" s="53"/>
      <c r="BJ6" s="55">
        <f>GETPIVOTDATA("LoanID",'PIVOT TABLES'!$A$191,"LoanStatus","Overdue")</f>
        <v>0.185</v>
      </c>
      <c r="BK6" s="53"/>
      <c r="BL6" s="53"/>
      <c r="BM6" s="53"/>
      <c r="BN6" s="53"/>
      <c r="BO6" s="51"/>
    </row>
    <row r="7" spans="1:67" x14ac:dyDescent="0.3">
      <c r="A7" s="53"/>
      <c r="B7" s="53"/>
      <c r="C7" s="53"/>
      <c r="D7" s="53"/>
      <c r="E7" s="53"/>
      <c r="F7" s="53"/>
      <c r="G7" s="53"/>
      <c r="H7" s="53"/>
      <c r="I7" s="53"/>
      <c r="J7" s="53"/>
      <c r="K7" s="53"/>
      <c r="L7" s="53"/>
      <c r="M7" s="53"/>
      <c r="N7" s="53"/>
      <c r="O7" s="53"/>
      <c r="P7" s="53"/>
      <c r="Q7" s="53"/>
      <c r="R7" s="53"/>
      <c r="S7" s="53"/>
      <c r="T7" s="53"/>
      <c r="U7" s="53"/>
      <c r="V7" s="53"/>
      <c r="W7" s="53"/>
      <c r="X7" s="53"/>
      <c r="Y7" s="53"/>
      <c r="Z7" s="53"/>
      <c r="AA7" s="53"/>
      <c r="AB7" s="53"/>
      <c r="AC7" s="53"/>
      <c r="AD7" s="53"/>
      <c r="AE7" s="53"/>
      <c r="AF7" s="53"/>
      <c r="AG7" s="53"/>
      <c r="AH7" s="53"/>
      <c r="AI7" s="53"/>
      <c r="AJ7" s="53"/>
      <c r="AK7" s="53"/>
      <c r="AL7" s="53"/>
      <c r="AM7" s="53"/>
      <c r="AN7" s="53"/>
      <c r="AO7" s="53"/>
      <c r="AP7" s="53"/>
      <c r="AQ7" s="53"/>
      <c r="AR7" s="53"/>
      <c r="AS7" s="53"/>
      <c r="AT7" s="53"/>
      <c r="AU7" s="53"/>
      <c r="AV7" s="53"/>
      <c r="AW7" s="53"/>
      <c r="AX7" s="53"/>
      <c r="AY7" s="53"/>
      <c r="AZ7" s="53"/>
      <c r="BA7" s="53"/>
      <c r="BB7" s="53"/>
      <c r="BC7" s="53"/>
      <c r="BD7" s="53"/>
      <c r="BE7" s="53"/>
      <c r="BF7" s="53"/>
      <c r="BG7" s="53"/>
      <c r="BH7" s="53"/>
      <c r="BI7" s="53"/>
      <c r="BJ7" s="56">
        <f>GETPIVOTDATA("LoanID",'PIVOT TABLES'!$A$191,"LoanStatus","NPA")</f>
        <v>0.08</v>
      </c>
      <c r="BK7" s="53"/>
      <c r="BL7" s="53"/>
      <c r="BM7" s="53"/>
      <c r="BN7" s="53"/>
      <c r="BO7" s="51"/>
    </row>
    <row r="8" spans="1:67" x14ac:dyDescent="0.3">
      <c r="A8" s="53"/>
      <c r="B8" s="53"/>
      <c r="C8" s="53"/>
      <c r="D8" s="53"/>
      <c r="E8" s="53"/>
      <c r="F8" s="53"/>
      <c r="G8" s="53"/>
      <c r="H8" s="53"/>
      <c r="I8" s="53"/>
      <c r="J8" s="53"/>
      <c r="K8" s="53"/>
      <c r="L8" s="53"/>
      <c r="M8" s="53"/>
      <c r="N8" s="53"/>
      <c r="O8" s="53"/>
      <c r="P8" s="53"/>
      <c r="Q8" s="53"/>
      <c r="R8" s="53"/>
      <c r="S8" s="53"/>
      <c r="T8" s="53"/>
      <c r="U8" s="53"/>
      <c r="V8" s="53"/>
      <c r="W8" s="53"/>
      <c r="X8" s="53"/>
      <c r="Y8" s="53"/>
      <c r="Z8" s="53"/>
      <c r="AA8" s="53"/>
      <c r="AB8" s="53"/>
      <c r="AC8" s="53"/>
      <c r="AD8" s="53"/>
      <c r="AE8" s="53"/>
      <c r="AF8" s="53"/>
      <c r="AG8" s="53"/>
      <c r="AH8" s="53"/>
      <c r="AI8" s="53"/>
      <c r="AJ8" s="53"/>
      <c r="AK8" s="53"/>
      <c r="AL8" s="53"/>
      <c r="AM8" s="53"/>
      <c r="AN8" s="53"/>
      <c r="AO8" s="53"/>
      <c r="AP8" s="53"/>
      <c r="AQ8" s="53"/>
      <c r="AR8" s="53"/>
      <c r="AS8" s="53"/>
      <c r="AT8" s="53"/>
      <c r="AU8" s="53"/>
      <c r="AV8" s="53"/>
      <c r="AW8" s="53"/>
      <c r="AX8" s="53"/>
      <c r="AY8" s="53"/>
      <c r="AZ8" s="53"/>
      <c r="BA8" s="53"/>
      <c r="BB8" s="53"/>
      <c r="BC8" s="53"/>
      <c r="BD8" s="53"/>
      <c r="BE8" s="53"/>
      <c r="BF8" s="53"/>
      <c r="BG8" s="53"/>
      <c r="BH8" s="53"/>
      <c r="BI8" s="53"/>
      <c r="BJ8" s="53">
        <f>GETPIVOTDATA("LoanID",'PIVOT TABLES'!$A$187)</f>
        <v>200</v>
      </c>
      <c r="BK8" s="53"/>
      <c r="BL8" s="53"/>
      <c r="BM8" s="53"/>
      <c r="BN8" s="53"/>
      <c r="BO8" s="51"/>
    </row>
    <row r="9" spans="1:67" x14ac:dyDescent="0.3">
      <c r="A9" s="53"/>
      <c r="B9" s="53"/>
      <c r="C9" s="53"/>
      <c r="D9" s="53"/>
      <c r="E9" s="53"/>
      <c r="F9" s="53"/>
      <c r="G9" s="53"/>
      <c r="H9" s="53"/>
      <c r="I9" s="53"/>
      <c r="J9" s="53"/>
      <c r="K9" s="53"/>
      <c r="L9" s="53"/>
      <c r="M9" s="53"/>
      <c r="N9" s="53"/>
      <c r="O9" s="53"/>
      <c r="P9" s="53"/>
      <c r="Q9" s="53"/>
      <c r="R9" s="53"/>
      <c r="S9" s="53"/>
      <c r="T9" s="53"/>
      <c r="U9" s="53"/>
      <c r="V9" s="53"/>
      <c r="W9" s="53"/>
      <c r="X9" s="53"/>
      <c r="Y9" s="53"/>
      <c r="Z9" s="53"/>
      <c r="AA9" s="53"/>
      <c r="AB9" s="53"/>
      <c r="AC9" s="53"/>
      <c r="AD9" s="53"/>
      <c r="AE9" s="53"/>
      <c r="AF9" s="53"/>
      <c r="AG9" s="53"/>
      <c r="AH9" s="53"/>
      <c r="AI9" s="53"/>
      <c r="AJ9" s="53"/>
      <c r="AK9" s="53"/>
      <c r="AL9" s="53"/>
      <c r="AM9" s="53"/>
      <c r="AN9" s="53"/>
      <c r="AO9" s="53"/>
      <c r="AP9" s="53"/>
      <c r="AQ9" s="53"/>
      <c r="AR9" s="53"/>
      <c r="AS9" s="53"/>
      <c r="AT9" s="53"/>
      <c r="AU9" s="53"/>
      <c r="AV9" s="53"/>
      <c r="AW9" s="53"/>
      <c r="AX9" s="53"/>
      <c r="AY9" s="53"/>
      <c r="AZ9" s="53"/>
      <c r="BA9" s="53"/>
      <c r="BB9" s="53"/>
      <c r="BC9" s="53"/>
      <c r="BD9" s="53"/>
      <c r="BE9" s="53"/>
      <c r="BF9" s="53"/>
      <c r="BG9" s="53"/>
      <c r="BH9" s="53"/>
      <c r="BI9" s="53"/>
      <c r="BJ9" s="54">
        <f>GETPIVOTDATA("LoanAmount",'PIVOT TABLES'!$A$197)</f>
        <v>109375000</v>
      </c>
      <c r="BK9" s="53"/>
      <c r="BL9" s="53"/>
      <c r="BM9" s="53"/>
      <c r="BN9" s="53"/>
      <c r="BO9" s="51"/>
    </row>
    <row r="10" spans="1:67" x14ac:dyDescent="0.3">
      <c r="A10" s="53"/>
      <c r="B10" s="53"/>
      <c r="C10" s="53"/>
      <c r="D10" s="53"/>
      <c r="E10" s="53"/>
      <c r="F10" s="53"/>
      <c r="G10" s="53"/>
      <c r="H10" s="53"/>
      <c r="I10" s="53"/>
      <c r="J10" s="53"/>
      <c r="K10" s="53"/>
      <c r="L10" s="53"/>
      <c r="M10" s="53"/>
      <c r="N10" s="53"/>
      <c r="O10" s="53"/>
      <c r="P10" s="53"/>
      <c r="Q10" s="53"/>
      <c r="R10" s="53"/>
      <c r="S10" s="53"/>
      <c r="T10" s="53"/>
      <c r="U10" s="53"/>
      <c r="V10" s="53"/>
      <c r="W10" s="53"/>
      <c r="X10" s="53"/>
      <c r="Y10" s="53"/>
      <c r="Z10" s="53"/>
      <c r="AA10" s="53"/>
      <c r="AB10" s="53"/>
      <c r="AC10" s="53"/>
      <c r="AD10" s="53"/>
      <c r="AE10" s="53"/>
      <c r="AF10" s="53"/>
      <c r="AG10" s="53"/>
      <c r="AH10" s="53"/>
      <c r="AI10" s="53"/>
      <c r="AJ10" s="53"/>
      <c r="AK10" s="53"/>
      <c r="AL10" s="53"/>
      <c r="AM10" s="53"/>
      <c r="AN10" s="53"/>
      <c r="AO10" s="53"/>
      <c r="AP10" s="53"/>
      <c r="AQ10" s="53"/>
      <c r="AR10" s="53"/>
      <c r="AS10" s="53"/>
      <c r="AT10" s="53"/>
      <c r="AU10" s="53"/>
      <c r="AV10" s="53"/>
      <c r="AW10" s="53"/>
      <c r="AX10" s="53"/>
      <c r="AY10" s="53"/>
      <c r="AZ10" s="53"/>
      <c r="BA10" s="53"/>
      <c r="BB10" s="53"/>
      <c r="BC10" s="53"/>
      <c r="BD10" s="53"/>
      <c r="BE10" s="53"/>
      <c r="BF10" s="53"/>
      <c r="BG10" s="53"/>
      <c r="BH10" s="53"/>
      <c r="BI10" s="53"/>
      <c r="BJ10" s="53"/>
      <c r="BK10" s="53"/>
      <c r="BL10" s="53"/>
      <c r="BM10" s="53"/>
      <c r="BN10" s="53"/>
      <c r="BO10" s="51"/>
    </row>
    <row r="11" spans="1:67" x14ac:dyDescent="0.3">
      <c r="A11" s="53"/>
      <c r="B11" s="53"/>
      <c r="C11" s="53"/>
      <c r="D11" s="53"/>
      <c r="E11" s="53"/>
      <c r="F11" s="53"/>
      <c r="G11" s="53"/>
      <c r="H11" s="53"/>
      <c r="I11" s="53"/>
      <c r="J11" s="53"/>
      <c r="K11" s="53"/>
      <c r="L11" s="53"/>
      <c r="M11" s="53"/>
      <c r="N11" s="53"/>
      <c r="O11" s="53"/>
      <c r="P11" s="53"/>
      <c r="Q11" s="53"/>
      <c r="R11" s="53"/>
      <c r="S11" s="53"/>
      <c r="T11" s="53"/>
      <c r="U11" s="53"/>
      <c r="V11" s="53"/>
      <c r="W11" s="53"/>
      <c r="X11" s="53"/>
      <c r="Y11" s="53"/>
      <c r="Z11" s="53"/>
      <c r="AA11" s="53"/>
      <c r="AB11" s="53"/>
      <c r="AC11" s="53"/>
      <c r="AD11" s="53"/>
      <c r="AE11" s="53"/>
      <c r="AF11" s="53"/>
      <c r="AG11" s="53"/>
      <c r="AH11" s="53"/>
      <c r="AI11" s="53"/>
      <c r="AJ11" s="53"/>
      <c r="AK11" s="53"/>
      <c r="AL11" s="53"/>
      <c r="AM11" s="53"/>
      <c r="AN11" s="53"/>
      <c r="AO11" s="53"/>
      <c r="AP11" s="53"/>
      <c r="AQ11" s="53"/>
      <c r="AR11" s="53"/>
      <c r="AS11" s="53"/>
      <c r="AT11" s="53"/>
      <c r="AU11" s="53"/>
      <c r="AV11" s="53"/>
      <c r="AW11" s="53"/>
      <c r="AX11" s="53"/>
      <c r="AY11" s="53"/>
      <c r="AZ11" s="53"/>
      <c r="BA11" s="53"/>
      <c r="BB11" s="53"/>
      <c r="BC11" s="53"/>
      <c r="BD11" s="53"/>
      <c r="BE11" s="53"/>
      <c r="BF11" s="53"/>
      <c r="BG11" s="53"/>
      <c r="BH11" s="53"/>
      <c r="BI11" s="53"/>
      <c r="BJ11" s="53"/>
      <c r="BK11" s="53"/>
      <c r="BL11" s="53"/>
      <c r="BM11" s="53"/>
      <c r="BN11" s="53"/>
      <c r="BO11" s="51"/>
    </row>
    <row r="12" spans="1:67" x14ac:dyDescent="0.3">
      <c r="A12" s="53"/>
      <c r="B12" s="53"/>
      <c r="C12" s="53"/>
      <c r="D12" s="53"/>
      <c r="E12" s="53"/>
      <c r="F12" s="53"/>
      <c r="G12" s="53"/>
      <c r="H12" s="53"/>
      <c r="I12" s="53"/>
      <c r="J12" s="53"/>
      <c r="K12" s="53"/>
      <c r="L12" s="53"/>
      <c r="M12" s="53"/>
      <c r="N12" s="53"/>
      <c r="O12" s="53"/>
      <c r="P12" s="53"/>
      <c r="Q12" s="53"/>
      <c r="R12" s="53"/>
      <c r="S12" s="53"/>
      <c r="T12" s="53"/>
      <c r="U12" s="53"/>
      <c r="V12" s="53"/>
      <c r="W12" s="53"/>
      <c r="X12" s="53"/>
      <c r="Y12" s="53"/>
      <c r="Z12" s="53"/>
      <c r="AA12" s="53"/>
      <c r="AB12" s="53"/>
      <c r="AC12" s="53"/>
      <c r="AD12" s="53"/>
      <c r="AE12" s="53"/>
      <c r="AF12" s="53"/>
      <c r="AG12" s="53"/>
      <c r="AH12" s="53"/>
      <c r="AI12" s="53"/>
      <c r="AJ12" s="53"/>
      <c r="AK12" s="53"/>
      <c r="AL12" s="53"/>
      <c r="AM12" s="53"/>
      <c r="AN12" s="53"/>
      <c r="AO12" s="53"/>
      <c r="AP12" s="53"/>
      <c r="AQ12" s="53"/>
      <c r="AR12" s="53"/>
      <c r="AS12" s="53"/>
      <c r="AT12" s="53"/>
      <c r="AU12" s="53"/>
      <c r="AV12" s="53"/>
      <c r="AW12" s="53"/>
      <c r="AX12" s="53"/>
      <c r="AY12" s="53"/>
      <c r="AZ12" s="53"/>
      <c r="BA12" s="53"/>
      <c r="BB12" s="53"/>
      <c r="BC12" s="53"/>
      <c r="BD12" s="53"/>
      <c r="BE12" s="53"/>
      <c r="BF12" s="53"/>
      <c r="BG12" s="53"/>
      <c r="BH12" s="53"/>
      <c r="BI12" s="53"/>
      <c r="BJ12" s="53"/>
      <c r="BK12" s="53"/>
      <c r="BL12" s="53"/>
      <c r="BM12" s="53"/>
      <c r="BN12" s="53"/>
      <c r="BO12" s="51"/>
    </row>
    <row r="13" spans="1:67" x14ac:dyDescent="0.3">
      <c r="A13" s="53"/>
      <c r="B13" s="53"/>
      <c r="C13" s="53"/>
      <c r="D13" s="53"/>
      <c r="E13" s="53"/>
      <c r="F13" s="53"/>
      <c r="G13" s="53"/>
      <c r="H13" s="53"/>
      <c r="I13" s="53"/>
      <c r="J13" s="53"/>
      <c r="K13" s="53"/>
      <c r="L13" s="53"/>
      <c r="M13" s="53"/>
      <c r="N13" s="53"/>
      <c r="O13" s="53"/>
      <c r="P13" s="53"/>
      <c r="Q13" s="53"/>
      <c r="R13" s="53"/>
      <c r="S13" s="53"/>
      <c r="T13" s="53"/>
      <c r="U13" s="53"/>
      <c r="V13" s="53"/>
      <c r="W13" s="53"/>
      <c r="X13" s="53"/>
      <c r="Y13" s="53"/>
      <c r="Z13" s="53"/>
      <c r="AA13" s="53"/>
      <c r="AB13" s="53"/>
      <c r="AC13" s="53"/>
      <c r="AD13" s="53"/>
      <c r="AE13" s="53"/>
      <c r="AF13" s="53"/>
      <c r="AG13" s="53"/>
      <c r="AH13" s="53"/>
      <c r="AI13" s="53"/>
      <c r="AJ13" s="53"/>
      <c r="AK13" s="53"/>
      <c r="AL13" s="53"/>
      <c r="AM13" s="53"/>
      <c r="AN13" s="53"/>
      <c r="AO13" s="53"/>
      <c r="AP13" s="53"/>
      <c r="AQ13" s="53"/>
      <c r="AR13" s="53"/>
      <c r="AS13" s="53"/>
      <c r="AT13" s="53"/>
      <c r="AU13" s="53"/>
      <c r="AV13" s="53"/>
      <c r="AW13" s="53"/>
      <c r="AX13" s="53"/>
      <c r="AY13" s="53"/>
      <c r="AZ13" s="53"/>
      <c r="BA13" s="53"/>
      <c r="BB13" s="53"/>
      <c r="BC13" s="53"/>
      <c r="BD13" s="53"/>
      <c r="BE13" s="53"/>
      <c r="BF13" s="53"/>
      <c r="BG13" s="53"/>
      <c r="BH13" s="53"/>
      <c r="BI13" s="53"/>
      <c r="BJ13" s="53"/>
      <c r="BK13" s="53"/>
      <c r="BL13" s="53"/>
      <c r="BM13" s="53"/>
      <c r="BN13" s="53"/>
      <c r="BO13" s="51"/>
    </row>
    <row r="14" spans="1:67" x14ac:dyDescent="0.3">
      <c r="A14" s="53"/>
      <c r="B14" s="53"/>
      <c r="C14" s="53"/>
      <c r="D14" s="53"/>
      <c r="E14" s="53"/>
      <c r="F14" s="53"/>
      <c r="G14" s="53"/>
      <c r="H14" s="53"/>
      <c r="I14" s="53"/>
      <c r="J14" s="53"/>
      <c r="K14" s="53"/>
      <c r="L14" s="53"/>
      <c r="M14" s="53"/>
      <c r="N14" s="53"/>
      <c r="O14" s="53"/>
      <c r="P14" s="53"/>
      <c r="Q14" s="53"/>
      <c r="R14" s="53"/>
      <c r="S14" s="53"/>
      <c r="T14" s="53"/>
      <c r="U14" s="53"/>
      <c r="V14" s="53"/>
      <c r="W14" s="53"/>
      <c r="X14" s="53"/>
      <c r="Y14" s="53"/>
      <c r="Z14" s="53"/>
      <c r="AA14" s="53"/>
      <c r="AB14" s="53"/>
      <c r="AC14" s="53"/>
      <c r="AD14" s="53"/>
      <c r="AE14" s="53"/>
      <c r="AF14" s="53"/>
      <c r="AG14" s="53"/>
      <c r="AH14" s="53"/>
      <c r="AI14" s="53"/>
      <c r="AJ14" s="53"/>
      <c r="AK14" s="53"/>
      <c r="AL14" s="53"/>
      <c r="AM14" s="53"/>
      <c r="AN14" s="53"/>
      <c r="AO14" s="53"/>
      <c r="AP14" s="53"/>
      <c r="AQ14" s="53"/>
      <c r="AR14" s="53"/>
      <c r="AS14" s="53"/>
      <c r="AT14" s="53"/>
      <c r="AU14" s="53"/>
      <c r="AV14" s="53"/>
      <c r="AW14" s="53"/>
      <c r="AX14" s="53"/>
      <c r="AY14" s="53"/>
      <c r="AZ14" s="53"/>
      <c r="BA14" s="53"/>
      <c r="BB14" s="53"/>
      <c r="BC14" s="53"/>
      <c r="BD14" s="53"/>
      <c r="BE14" s="53"/>
      <c r="BF14" s="53"/>
      <c r="BG14" s="53"/>
      <c r="BH14" s="53"/>
      <c r="BI14" s="53"/>
      <c r="BJ14" s="53"/>
      <c r="BK14" s="53"/>
      <c r="BL14" s="53"/>
      <c r="BM14" s="53"/>
      <c r="BN14" s="53"/>
      <c r="BO14" s="51"/>
    </row>
    <row r="15" spans="1:67" x14ac:dyDescent="0.3">
      <c r="A15" s="53"/>
      <c r="B15" s="53"/>
      <c r="C15" s="53"/>
      <c r="D15" s="53"/>
      <c r="E15" s="53"/>
      <c r="F15" s="53"/>
      <c r="G15" s="53"/>
      <c r="H15" s="53"/>
      <c r="I15" s="53"/>
      <c r="J15" s="53"/>
      <c r="K15" s="53"/>
      <c r="L15" s="53"/>
      <c r="M15" s="53"/>
      <c r="N15" s="53"/>
      <c r="O15" s="53"/>
      <c r="P15" s="53"/>
      <c r="Q15" s="53"/>
      <c r="R15" s="53"/>
      <c r="S15" s="53"/>
      <c r="T15" s="53"/>
      <c r="U15" s="53"/>
      <c r="V15" s="53"/>
      <c r="W15" s="53"/>
      <c r="X15" s="53"/>
      <c r="Y15" s="53"/>
      <c r="Z15" s="53"/>
      <c r="AA15" s="53"/>
      <c r="AB15" s="53"/>
      <c r="AC15" s="53"/>
      <c r="AD15" s="53"/>
      <c r="AE15" s="53"/>
      <c r="AF15" s="53"/>
      <c r="AG15" s="53"/>
      <c r="AH15" s="53"/>
      <c r="AI15" s="53"/>
      <c r="AJ15" s="53"/>
      <c r="AK15" s="53"/>
      <c r="AL15" s="53"/>
      <c r="AM15" s="53"/>
      <c r="AN15" s="53"/>
      <c r="AO15" s="53"/>
      <c r="AP15" s="53"/>
      <c r="AQ15" s="53"/>
      <c r="AR15" s="53"/>
      <c r="AS15" s="53"/>
      <c r="AT15" s="53"/>
      <c r="AU15" s="53"/>
      <c r="AV15" s="53"/>
      <c r="AW15" s="53"/>
      <c r="AX15" s="53"/>
      <c r="AY15" s="53"/>
      <c r="AZ15" s="53"/>
      <c r="BA15" s="53"/>
      <c r="BB15" s="53"/>
      <c r="BC15" s="53"/>
      <c r="BD15" s="53"/>
      <c r="BE15" s="53"/>
      <c r="BF15" s="53"/>
      <c r="BG15" s="53"/>
      <c r="BH15" s="53"/>
      <c r="BI15" s="53"/>
      <c r="BJ15" s="53"/>
      <c r="BK15" s="53"/>
      <c r="BL15" s="53"/>
      <c r="BM15" s="53"/>
      <c r="BN15" s="53"/>
      <c r="BO15" s="51"/>
    </row>
    <row r="16" spans="1:67" x14ac:dyDescent="0.3">
      <c r="A16" s="53"/>
      <c r="B16" s="53"/>
      <c r="C16" s="53"/>
      <c r="D16" s="53"/>
      <c r="E16" s="53"/>
      <c r="F16" s="53"/>
      <c r="G16" s="53"/>
      <c r="H16" s="53"/>
      <c r="I16" s="53"/>
      <c r="J16" s="53"/>
      <c r="K16" s="53"/>
      <c r="L16" s="53"/>
      <c r="M16" s="53"/>
      <c r="N16" s="53"/>
      <c r="O16" s="53"/>
      <c r="P16" s="53"/>
      <c r="Q16" s="53"/>
      <c r="R16" s="53"/>
      <c r="S16" s="53"/>
      <c r="T16" s="53"/>
      <c r="U16" s="53"/>
      <c r="V16" s="53"/>
      <c r="W16" s="53"/>
      <c r="X16" s="53"/>
      <c r="Y16" s="53"/>
      <c r="Z16" s="53"/>
      <c r="AA16" s="53"/>
      <c r="AB16" s="53"/>
      <c r="AC16" s="53"/>
      <c r="AD16" s="53"/>
      <c r="AE16" s="53"/>
      <c r="AF16" s="53"/>
      <c r="AG16" s="53"/>
      <c r="AH16" s="53"/>
      <c r="AI16" s="53"/>
      <c r="AJ16" s="53"/>
      <c r="AK16" s="53"/>
      <c r="AL16" s="53"/>
      <c r="AM16" s="53"/>
      <c r="AN16" s="53"/>
      <c r="AO16" s="53"/>
      <c r="AP16" s="53"/>
      <c r="AQ16" s="53"/>
      <c r="AR16" s="53"/>
      <c r="AS16" s="53"/>
      <c r="AT16" s="53"/>
      <c r="AU16" s="53"/>
      <c r="AV16" s="53"/>
      <c r="AW16" s="53"/>
      <c r="AX16" s="53"/>
      <c r="AY16" s="53"/>
      <c r="AZ16" s="53"/>
      <c r="BA16" s="53"/>
      <c r="BB16" s="53"/>
      <c r="BC16" s="53"/>
      <c r="BD16" s="53"/>
      <c r="BE16" s="53"/>
      <c r="BF16" s="53"/>
      <c r="BG16" s="53"/>
      <c r="BH16" s="53"/>
      <c r="BI16" s="53"/>
      <c r="BJ16" s="53"/>
      <c r="BK16" s="53"/>
      <c r="BL16" s="53"/>
      <c r="BM16" s="53"/>
      <c r="BN16" s="53"/>
      <c r="BO16" s="51"/>
    </row>
    <row r="17" spans="1:67" x14ac:dyDescent="0.3">
      <c r="A17" s="53"/>
      <c r="B17" s="53"/>
      <c r="C17" s="53"/>
      <c r="D17" s="53"/>
      <c r="E17" s="53"/>
      <c r="F17" s="53"/>
      <c r="G17" s="53"/>
      <c r="H17" s="53"/>
      <c r="I17" s="53"/>
      <c r="J17" s="53"/>
      <c r="K17" s="53"/>
      <c r="L17" s="53"/>
      <c r="M17" s="53"/>
      <c r="N17" s="53"/>
      <c r="O17" s="53"/>
      <c r="P17" s="53"/>
      <c r="Q17" s="53"/>
      <c r="R17" s="53"/>
      <c r="S17" s="53"/>
      <c r="T17" s="53"/>
      <c r="U17" s="53"/>
      <c r="V17" s="53"/>
      <c r="W17" s="53"/>
      <c r="X17" s="53"/>
      <c r="Y17" s="53"/>
      <c r="Z17" s="53"/>
      <c r="AA17" s="53"/>
      <c r="AB17" s="53"/>
      <c r="AC17" s="53"/>
      <c r="AD17" s="53"/>
      <c r="AE17" s="53"/>
      <c r="AF17" s="53"/>
      <c r="AG17" s="53"/>
      <c r="AH17" s="53"/>
      <c r="AI17" s="53"/>
      <c r="AJ17" s="53"/>
      <c r="AK17" s="53"/>
      <c r="AL17" s="53"/>
      <c r="AM17" s="53"/>
      <c r="AN17" s="53"/>
      <c r="AO17" s="53"/>
      <c r="AP17" s="53"/>
      <c r="AQ17" s="53"/>
      <c r="AR17" s="53"/>
      <c r="AS17" s="53"/>
      <c r="AT17" s="53"/>
      <c r="AU17" s="53"/>
      <c r="AV17" s="53"/>
      <c r="AW17" s="53"/>
      <c r="AX17" s="53"/>
      <c r="AY17" s="53"/>
      <c r="AZ17" s="53"/>
      <c r="BA17" s="53"/>
      <c r="BB17" s="53"/>
      <c r="BC17" s="53"/>
      <c r="BD17" s="53"/>
      <c r="BE17" s="53"/>
      <c r="BF17" s="53"/>
      <c r="BG17" s="53"/>
      <c r="BH17" s="53"/>
      <c r="BI17" s="53"/>
      <c r="BJ17" s="53"/>
      <c r="BK17" s="53"/>
      <c r="BL17" s="53"/>
      <c r="BM17" s="53"/>
      <c r="BN17" s="53"/>
      <c r="BO17" s="51"/>
    </row>
    <row r="18" spans="1:67" x14ac:dyDescent="0.3">
      <c r="A18" s="53"/>
      <c r="B18" s="53"/>
      <c r="C18" s="53"/>
      <c r="D18" s="53"/>
      <c r="E18" s="53"/>
      <c r="F18" s="53"/>
      <c r="G18" s="53"/>
      <c r="H18" s="53"/>
      <c r="I18" s="53"/>
      <c r="J18" s="53"/>
      <c r="K18" s="53"/>
      <c r="L18" s="53"/>
      <c r="M18" s="53"/>
      <c r="N18" s="53"/>
      <c r="O18" s="53"/>
      <c r="P18" s="53"/>
      <c r="Q18" s="53"/>
      <c r="R18" s="53"/>
      <c r="S18" s="53"/>
      <c r="T18" s="53"/>
      <c r="U18" s="53"/>
      <c r="V18" s="53"/>
      <c r="W18" s="53"/>
      <c r="X18" s="53"/>
      <c r="Y18" s="53"/>
      <c r="Z18" s="53"/>
      <c r="AA18" s="53"/>
      <c r="AB18" s="53"/>
      <c r="AC18" s="53"/>
      <c r="AD18" s="53"/>
      <c r="AE18" s="53"/>
      <c r="AF18" s="53"/>
      <c r="AG18" s="53"/>
      <c r="AH18" s="53"/>
      <c r="AI18" s="53"/>
      <c r="AJ18" s="53"/>
      <c r="AK18" s="53"/>
      <c r="AL18" s="53"/>
      <c r="AM18" s="53"/>
      <c r="AN18" s="53"/>
      <c r="AO18" s="53"/>
      <c r="AP18" s="53"/>
      <c r="AQ18" s="53"/>
      <c r="AR18" s="53"/>
      <c r="AS18" s="53"/>
      <c r="AT18" s="53"/>
      <c r="AU18" s="53"/>
      <c r="AV18" s="53"/>
      <c r="AW18" s="53"/>
      <c r="AX18" s="53"/>
      <c r="AY18" s="53"/>
      <c r="AZ18" s="53"/>
      <c r="BA18" s="53"/>
      <c r="BB18" s="53"/>
      <c r="BC18" s="53"/>
      <c r="BD18" s="53"/>
      <c r="BE18" s="53"/>
      <c r="BF18" s="53"/>
      <c r="BG18" s="53"/>
      <c r="BH18" s="53"/>
      <c r="BI18" s="53"/>
      <c r="BJ18" s="53"/>
      <c r="BK18" s="53"/>
      <c r="BL18" s="53"/>
      <c r="BM18" s="53"/>
      <c r="BN18" s="53"/>
      <c r="BO18" s="51"/>
    </row>
    <row r="19" spans="1:67" x14ac:dyDescent="0.3">
      <c r="A19" s="53"/>
      <c r="B19" s="53"/>
      <c r="C19" s="53"/>
      <c r="D19" s="53"/>
      <c r="E19" s="53"/>
      <c r="F19" s="53"/>
      <c r="G19" s="53"/>
      <c r="H19" s="53"/>
      <c r="I19" s="53"/>
      <c r="J19" s="53"/>
      <c r="K19" s="53"/>
      <c r="L19" s="53"/>
      <c r="M19" s="53"/>
      <c r="N19" s="53"/>
      <c r="O19" s="53"/>
      <c r="P19" s="53"/>
      <c r="Q19" s="53"/>
      <c r="R19" s="53"/>
      <c r="S19" s="53"/>
      <c r="T19" s="53"/>
      <c r="U19" s="53"/>
      <c r="V19" s="53"/>
      <c r="W19" s="53"/>
      <c r="X19" s="53"/>
      <c r="Y19" s="53"/>
      <c r="Z19" s="53"/>
      <c r="AA19" s="53"/>
      <c r="AB19" s="53"/>
      <c r="AC19" s="53"/>
      <c r="AD19" s="53"/>
      <c r="AE19" s="53"/>
      <c r="AF19" s="53"/>
      <c r="AG19" s="53"/>
      <c r="AH19" s="53"/>
      <c r="AI19" s="53"/>
      <c r="AJ19" s="53"/>
      <c r="AK19" s="53"/>
      <c r="AL19" s="53"/>
      <c r="AM19" s="53"/>
      <c r="AN19" s="53"/>
      <c r="AO19" s="53"/>
      <c r="AP19" s="53"/>
      <c r="AQ19" s="53"/>
      <c r="AR19" s="53"/>
      <c r="AS19" s="53"/>
      <c r="AT19" s="53"/>
      <c r="AU19" s="53"/>
      <c r="AV19" s="53"/>
      <c r="AW19" s="53"/>
      <c r="AX19" s="53"/>
      <c r="AY19" s="53"/>
      <c r="AZ19" s="53"/>
      <c r="BA19" s="53"/>
      <c r="BB19" s="53"/>
      <c r="BC19" s="53"/>
      <c r="BD19" s="53"/>
      <c r="BE19" s="53"/>
      <c r="BF19" s="53"/>
      <c r="BG19" s="53"/>
      <c r="BH19" s="53"/>
      <c r="BI19" s="53"/>
      <c r="BJ19" s="53"/>
      <c r="BK19" s="53"/>
      <c r="BL19" s="53"/>
      <c r="BM19" s="53"/>
      <c r="BN19" s="53"/>
      <c r="BO19" s="51"/>
    </row>
    <row r="20" spans="1:67" x14ac:dyDescent="0.3">
      <c r="A20" s="53"/>
      <c r="B20" s="53"/>
      <c r="C20" s="53"/>
      <c r="D20" s="53"/>
      <c r="E20" s="53"/>
      <c r="F20" s="53"/>
      <c r="G20" s="53"/>
      <c r="H20" s="53"/>
      <c r="I20" s="53"/>
      <c r="J20" s="53"/>
      <c r="K20" s="53"/>
      <c r="L20" s="53"/>
      <c r="M20" s="53"/>
      <c r="N20" s="53"/>
      <c r="O20" s="53"/>
      <c r="P20" s="53"/>
      <c r="Q20" s="53"/>
      <c r="R20" s="53"/>
      <c r="S20" s="53"/>
      <c r="T20" s="53"/>
      <c r="U20" s="53"/>
      <c r="V20" s="53"/>
      <c r="W20" s="53"/>
      <c r="X20" s="53"/>
      <c r="Y20" s="53"/>
      <c r="Z20" s="53"/>
      <c r="AA20" s="53"/>
      <c r="AB20" s="53"/>
      <c r="AC20" s="53"/>
      <c r="AD20" s="53"/>
      <c r="AE20" s="53"/>
      <c r="AF20" s="53"/>
      <c r="AG20" s="53"/>
      <c r="AH20" s="53"/>
      <c r="AI20" s="53"/>
      <c r="AJ20" s="53"/>
      <c r="AK20" s="53"/>
      <c r="AL20" s="53"/>
      <c r="AM20" s="53"/>
      <c r="AN20" s="53"/>
      <c r="AO20" s="53"/>
      <c r="AP20" s="53"/>
      <c r="AQ20" s="53"/>
      <c r="AR20" s="53"/>
      <c r="AS20" s="53"/>
      <c r="AT20" s="53"/>
      <c r="AU20" s="53"/>
      <c r="AV20" s="53"/>
      <c r="AW20" s="53"/>
      <c r="AX20" s="53"/>
      <c r="AY20" s="53"/>
      <c r="AZ20" s="53"/>
      <c r="BA20" s="53"/>
      <c r="BB20" s="53"/>
      <c r="BC20" s="53"/>
      <c r="BD20" s="53"/>
      <c r="BE20" s="53"/>
      <c r="BF20" s="53"/>
      <c r="BG20" s="53"/>
      <c r="BH20" s="53"/>
      <c r="BI20" s="53"/>
      <c r="BJ20" s="53"/>
      <c r="BK20" s="53"/>
      <c r="BL20" s="53"/>
      <c r="BM20" s="53"/>
      <c r="BN20" s="53"/>
      <c r="BO20" s="51"/>
    </row>
    <row r="21" spans="1:67" x14ac:dyDescent="0.3">
      <c r="A21" s="53"/>
      <c r="B21" s="53"/>
      <c r="C21" s="53"/>
      <c r="D21" s="53"/>
      <c r="E21" s="53"/>
      <c r="F21" s="53"/>
      <c r="G21" s="53"/>
      <c r="H21" s="53"/>
      <c r="I21" s="53"/>
      <c r="J21" s="53"/>
      <c r="K21" s="53"/>
      <c r="L21" s="53"/>
      <c r="M21" s="53"/>
      <c r="N21" s="53"/>
      <c r="O21" s="53"/>
      <c r="P21" s="53"/>
      <c r="Q21" s="53"/>
      <c r="R21" s="53"/>
      <c r="S21" s="53"/>
      <c r="T21" s="53"/>
      <c r="U21" s="53"/>
      <c r="V21" s="53"/>
      <c r="W21" s="53"/>
      <c r="X21" s="53"/>
      <c r="Y21" s="53"/>
      <c r="Z21" s="53"/>
      <c r="AA21" s="53"/>
      <c r="AB21" s="53"/>
      <c r="AC21" s="53"/>
      <c r="AD21" s="53"/>
      <c r="AE21" s="53"/>
      <c r="AF21" s="53"/>
      <c r="AG21" s="53"/>
      <c r="AH21" s="53"/>
      <c r="AI21" s="53"/>
      <c r="AJ21" s="53"/>
      <c r="AK21" s="53"/>
      <c r="AL21" s="53"/>
      <c r="AM21" s="53"/>
      <c r="AN21" s="53"/>
      <c r="AO21" s="53"/>
      <c r="AP21" s="53"/>
      <c r="AQ21" s="53"/>
      <c r="AR21" s="53"/>
      <c r="AS21" s="53"/>
      <c r="AT21" s="53"/>
      <c r="AU21" s="53"/>
      <c r="AV21" s="53"/>
      <c r="AW21" s="53"/>
      <c r="AX21" s="53"/>
      <c r="AY21" s="53"/>
      <c r="AZ21" s="53"/>
      <c r="BA21" s="53"/>
      <c r="BB21" s="53"/>
      <c r="BC21" s="53"/>
      <c r="BD21" s="53"/>
      <c r="BE21" s="53"/>
      <c r="BF21" s="53"/>
      <c r="BG21" s="53"/>
      <c r="BH21" s="53"/>
      <c r="BI21" s="53"/>
      <c r="BJ21" s="53"/>
      <c r="BK21" s="53"/>
      <c r="BL21" s="53"/>
      <c r="BM21" s="53"/>
      <c r="BN21" s="53"/>
      <c r="BO21" s="51"/>
    </row>
    <row r="22" spans="1:67" x14ac:dyDescent="0.3">
      <c r="A22" s="53"/>
      <c r="B22" s="53"/>
      <c r="C22" s="53"/>
      <c r="D22" s="53"/>
      <c r="E22" s="53"/>
      <c r="F22" s="53"/>
      <c r="G22" s="53"/>
      <c r="H22" s="53"/>
      <c r="I22" s="53"/>
      <c r="J22" s="53"/>
      <c r="K22" s="53"/>
      <c r="L22" s="53"/>
      <c r="M22" s="53"/>
      <c r="N22" s="53"/>
      <c r="O22" s="53"/>
      <c r="P22" s="53"/>
      <c r="Q22" s="53"/>
      <c r="R22" s="53"/>
      <c r="S22" s="53"/>
      <c r="T22" s="53"/>
      <c r="U22" s="53"/>
      <c r="V22" s="53"/>
      <c r="W22" s="53"/>
      <c r="X22" s="53"/>
      <c r="Y22" s="53"/>
      <c r="Z22" s="53"/>
      <c r="AA22" s="53"/>
      <c r="AB22" s="53"/>
      <c r="AC22" s="53"/>
      <c r="AD22" s="53"/>
      <c r="AE22" s="53"/>
      <c r="AF22" s="53"/>
      <c r="AG22" s="53"/>
      <c r="AH22" s="53"/>
      <c r="AI22" s="53"/>
      <c r="AJ22" s="53"/>
      <c r="AK22" s="53"/>
      <c r="AL22" s="53"/>
      <c r="AM22" s="53"/>
      <c r="AN22" s="53"/>
      <c r="AO22" s="53"/>
      <c r="AP22" s="53"/>
      <c r="AQ22" s="53"/>
      <c r="AR22" s="53"/>
      <c r="AS22" s="53"/>
      <c r="AT22" s="53"/>
      <c r="AU22" s="53"/>
      <c r="AV22" s="53"/>
      <c r="AW22" s="53"/>
      <c r="AX22" s="53"/>
      <c r="AY22" s="53"/>
      <c r="AZ22" s="53"/>
      <c r="BA22" s="53"/>
      <c r="BB22" s="53"/>
      <c r="BC22" s="53"/>
      <c r="BD22" s="53"/>
      <c r="BE22" s="53"/>
      <c r="BF22" s="53"/>
      <c r="BG22" s="53"/>
      <c r="BH22" s="53"/>
      <c r="BI22" s="53"/>
      <c r="BJ22" s="53"/>
      <c r="BK22" s="53"/>
      <c r="BL22" s="53"/>
      <c r="BM22" s="53"/>
      <c r="BN22" s="53"/>
      <c r="BO22" s="51"/>
    </row>
    <row r="23" spans="1:67" x14ac:dyDescent="0.3">
      <c r="A23" s="53"/>
      <c r="B23" s="53"/>
      <c r="C23" s="53"/>
      <c r="D23" s="53"/>
      <c r="E23" s="53"/>
      <c r="F23" s="53"/>
      <c r="G23" s="53"/>
      <c r="H23" s="53"/>
      <c r="I23" s="53"/>
      <c r="J23" s="53"/>
      <c r="K23" s="53"/>
      <c r="L23" s="53"/>
      <c r="M23" s="53"/>
      <c r="N23" s="53"/>
      <c r="O23" s="53"/>
      <c r="P23" s="53"/>
      <c r="Q23" s="53"/>
      <c r="R23" s="53"/>
      <c r="S23" s="53"/>
      <c r="T23" s="53"/>
      <c r="U23" s="53"/>
      <c r="V23" s="53"/>
      <c r="W23" s="53"/>
      <c r="X23" s="53"/>
      <c r="Y23" s="53"/>
      <c r="Z23" s="53"/>
      <c r="AA23" s="53"/>
      <c r="AB23" s="53"/>
      <c r="AC23" s="53"/>
      <c r="AD23" s="53"/>
      <c r="AE23" s="53"/>
      <c r="AF23" s="53"/>
      <c r="AG23" s="53"/>
      <c r="AH23" s="53"/>
      <c r="AI23" s="53"/>
      <c r="AJ23" s="53"/>
      <c r="AK23" s="53"/>
      <c r="AL23" s="53"/>
      <c r="AM23" s="53"/>
      <c r="AN23" s="53"/>
      <c r="AO23" s="53"/>
      <c r="AP23" s="53"/>
      <c r="AQ23" s="53"/>
      <c r="AR23" s="53"/>
      <c r="AS23" s="53"/>
      <c r="AT23" s="53"/>
      <c r="AU23" s="53"/>
      <c r="AV23" s="53"/>
      <c r="AW23" s="53"/>
      <c r="AX23" s="53"/>
      <c r="AY23" s="53"/>
      <c r="AZ23" s="53"/>
      <c r="BA23" s="53"/>
      <c r="BB23" s="53"/>
      <c r="BC23" s="53"/>
      <c r="BD23" s="53"/>
      <c r="BE23" s="53"/>
      <c r="BF23" s="53"/>
      <c r="BG23" s="53"/>
      <c r="BH23" s="53"/>
      <c r="BI23" s="53"/>
      <c r="BJ23" s="53"/>
      <c r="BK23" s="53"/>
      <c r="BL23" s="53"/>
      <c r="BM23" s="53"/>
      <c r="BN23" s="53"/>
      <c r="BO23" s="51"/>
    </row>
    <row r="24" spans="1:67" x14ac:dyDescent="0.3">
      <c r="A24" s="53"/>
      <c r="B24" s="53"/>
      <c r="C24" s="53"/>
      <c r="D24" s="53"/>
      <c r="E24" s="53"/>
      <c r="F24" s="53"/>
      <c r="G24" s="53"/>
      <c r="H24" s="53"/>
      <c r="I24" s="53"/>
      <c r="J24" s="53"/>
      <c r="K24" s="53"/>
      <c r="L24" s="53"/>
      <c r="M24" s="53"/>
      <c r="N24" s="53"/>
      <c r="O24" s="53"/>
      <c r="P24" s="53"/>
      <c r="Q24" s="53"/>
      <c r="R24" s="53"/>
      <c r="S24" s="53"/>
      <c r="T24" s="53"/>
      <c r="U24" s="53"/>
      <c r="V24" s="53"/>
      <c r="W24" s="53"/>
      <c r="X24" s="53"/>
      <c r="Y24" s="53"/>
      <c r="Z24" s="53"/>
      <c r="AA24" s="53"/>
      <c r="AB24" s="53"/>
      <c r="AC24" s="53"/>
      <c r="AD24" s="53"/>
      <c r="AE24" s="53"/>
      <c r="AF24" s="53"/>
      <c r="AG24" s="53"/>
      <c r="AH24" s="53"/>
      <c r="AI24" s="53"/>
      <c r="AJ24" s="53"/>
      <c r="AK24" s="53"/>
      <c r="AL24" s="53"/>
      <c r="AM24" s="53"/>
      <c r="AN24" s="53"/>
      <c r="AO24" s="53"/>
      <c r="AP24" s="53"/>
      <c r="AQ24" s="53"/>
      <c r="AR24" s="53"/>
      <c r="AS24" s="53"/>
      <c r="AT24" s="53"/>
      <c r="AU24" s="53"/>
      <c r="AV24" s="53"/>
      <c r="AW24" s="53"/>
      <c r="AX24" s="53"/>
      <c r="AY24" s="53"/>
      <c r="AZ24" s="53"/>
      <c r="BA24" s="53"/>
      <c r="BB24" s="53"/>
      <c r="BC24" s="53"/>
      <c r="BD24" s="53"/>
      <c r="BE24" s="53"/>
      <c r="BF24" s="53"/>
      <c r="BG24" s="53"/>
      <c r="BH24" s="53"/>
      <c r="BI24" s="53"/>
      <c r="BJ24" s="53"/>
      <c r="BK24" s="53"/>
      <c r="BL24" s="53"/>
      <c r="BM24" s="53"/>
      <c r="BN24" s="53"/>
      <c r="BO24" s="51"/>
    </row>
    <row r="25" spans="1:67" x14ac:dyDescent="0.3">
      <c r="A25" s="53"/>
      <c r="B25" s="53"/>
      <c r="C25" s="53"/>
      <c r="D25" s="53"/>
      <c r="E25" s="53"/>
      <c r="F25" s="53"/>
      <c r="G25" s="53"/>
      <c r="H25" s="53"/>
      <c r="I25" s="53"/>
      <c r="J25" s="53"/>
      <c r="K25" s="53"/>
      <c r="L25" s="53"/>
      <c r="M25" s="53"/>
      <c r="N25" s="53"/>
      <c r="O25" s="53"/>
      <c r="P25" s="53"/>
      <c r="Q25" s="53"/>
      <c r="R25" s="53"/>
      <c r="S25" s="53"/>
      <c r="T25" s="53"/>
      <c r="U25" s="53"/>
      <c r="V25" s="53"/>
      <c r="W25" s="53"/>
      <c r="X25" s="53"/>
      <c r="Y25" s="53"/>
      <c r="Z25" s="53"/>
      <c r="AA25" s="53"/>
      <c r="AB25" s="53"/>
      <c r="AC25" s="53"/>
      <c r="AD25" s="53"/>
      <c r="AE25" s="53"/>
      <c r="AF25" s="53"/>
      <c r="AG25" s="53"/>
      <c r="AH25" s="53"/>
      <c r="AI25" s="53"/>
      <c r="AJ25" s="53"/>
      <c r="AK25" s="53"/>
      <c r="AL25" s="53"/>
      <c r="AM25" s="53"/>
      <c r="AN25" s="53"/>
      <c r="AO25" s="53"/>
      <c r="AP25" s="53"/>
      <c r="AQ25" s="53"/>
      <c r="AR25" s="53"/>
      <c r="AS25" s="53"/>
      <c r="AT25" s="53"/>
      <c r="AU25" s="53"/>
      <c r="AV25" s="53"/>
      <c r="AW25" s="53"/>
      <c r="AX25" s="53"/>
      <c r="AY25" s="53"/>
      <c r="AZ25" s="53"/>
      <c r="BA25" s="53"/>
      <c r="BB25" s="53"/>
      <c r="BC25" s="53"/>
      <c r="BD25" s="53"/>
      <c r="BE25" s="53"/>
      <c r="BF25" s="53"/>
      <c r="BG25" s="53"/>
      <c r="BH25" s="53"/>
      <c r="BI25" s="53"/>
      <c r="BJ25" s="53"/>
      <c r="BK25" s="53"/>
      <c r="BL25" s="53"/>
      <c r="BM25" s="53"/>
      <c r="BN25" s="53"/>
      <c r="BO25" s="51"/>
    </row>
    <row r="26" spans="1:67" x14ac:dyDescent="0.3">
      <c r="A26" s="53"/>
      <c r="B26" s="53"/>
      <c r="C26" s="53"/>
      <c r="D26" s="53"/>
      <c r="E26" s="53"/>
      <c r="F26" s="53"/>
      <c r="G26" s="53"/>
      <c r="H26" s="53"/>
      <c r="I26" s="53"/>
      <c r="J26" s="53"/>
      <c r="K26" s="53"/>
      <c r="L26" s="57"/>
      <c r="M26" s="53"/>
      <c r="N26" s="53"/>
      <c r="O26" s="53"/>
      <c r="P26" s="53"/>
      <c r="Q26" s="53"/>
      <c r="R26" s="53"/>
      <c r="S26" s="53"/>
      <c r="T26" s="53"/>
      <c r="U26" s="53"/>
      <c r="V26" s="53"/>
      <c r="W26" s="53"/>
      <c r="X26" s="53"/>
      <c r="Y26" s="53"/>
      <c r="Z26" s="53"/>
      <c r="AA26" s="53"/>
      <c r="AB26" s="53"/>
      <c r="AC26" s="53"/>
      <c r="AD26" s="53"/>
      <c r="AE26" s="53"/>
      <c r="AF26" s="53"/>
      <c r="AG26" s="53"/>
      <c r="AH26" s="53"/>
      <c r="AI26" s="53"/>
      <c r="AJ26" s="53"/>
      <c r="AK26" s="53"/>
      <c r="AL26" s="53"/>
      <c r="AM26" s="53"/>
      <c r="AN26" s="53"/>
      <c r="AO26" s="53"/>
      <c r="AP26" s="53"/>
      <c r="AQ26" s="53"/>
      <c r="AR26" s="53"/>
      <c r="AS26" s="53"/>
      <c r="AT26" s="53"/>
      <c r="AU26" s="53"/>
      <c r="AV26" s="53"/>
      <c r="AW26" s="53"/>
      <c r="AX26" s="53"/>
      <c r="AY26" s="53"/>
      <c r="AZ26" s="53"/>
      <c r="BA26" s="53"/>
      <c r="BB26" s="53"/>
      <c r="BC26" s="53"/>
      <c r="BD26" s="53"/>
      <c r="BE26" s="53"/>
      <c r="BF26" s="53"/>
      <c r="BG26" s="53"/>
      <c r="BH26" s="53"/>
      <c r="BI26" s="53"/>
      <c r="BJ26" s="53"/>
      <c r="BK26" s="53"/>
      <c r="BL26" s="53"/>
      <c r="BM26" s="53"/>
      <c r="BN26" s="53"/>
      <c r="BO26" s="51"/>
    </row>
    <row r="27" spans="1:67" x14ac:dyDescent="0.3">
      <c r="A27" s="53"/>
      <c r="B27" s="53"/>
      <c r="C27" s="53"/>
      <c r="D27" s="53"/>
      <c r="E27" s="53"/>
      <c r="F27" s="53"/>
      <c r="G27" s="53"/>
      <c r="H27" s="53"/>
      <c r="I27" s="53"/>
      <c r="J27" s="53"/>
      <c r="K27" s="53"/>
      <c r="L27" s="53"/>
      <c r="M27" s="53"/>
      <c r="N27" s="53"/>
      <c r="O27" s="53"/>
      <c r="P27" s="53"/>
      <c r="Q27" s="53"/>
      <c r="R27" s="53"/>
      <c r="S27" s="53"/>
      <c r="T27" s="53"/>
      <c r="U27" s="53"/>
      <c r="V27" s="53"/>
      <c r="W27" s="53"/>
      <c r="X27" s="53"/>
      <c r="Y27" s="53"/>
      <c r="Z27" s="53"/>
      <c r="AA27" s="53"/>
      <c r="AB27" s="53"/>
      <c r="AC27" s="53"/>
      <c r="AD27" s="53"/>
      <c r="AE27" s="53"/>
      <c r="AF27" s="53"/>
      <c r="AG27" s="53"/>
      <c r="AH27" s="53"/>
      <c r="AI27" s="53"/>
      <c r="AJ27" s="53"/>
      <c r="AK27" s="53"/>
      <c r="AL27" s="53"/>
      <c r="AM27" s="53"/>
      <c r="AN27" s="53"/>
      <c r="AO27" s="53"/>
      <c r="AP27" s="53"/>
      <c r="AQ27" s="53"/>
      <c r="AR27" s="53"/>
      <c r="AS27" s="53"/>
      <c r="AT27" s="53"/>
      <c r="AU27" s="53"/>
      <c r="AV27" s="53"/>
      <c r="AW27" s="53"/>
      <c r="AX27" s="53"/>
      <c r="AY27" s="53"/>
      <c r="AZ27" s="53"/>
      <c r="BA27" s="53"/>
      <c r="BB27" s="53"/>
      <c r="BC27" s="53"/>
      <c r="BD27" s="53"/>
      <c r="BE27" s="53"/>
      <c r="BF27" s="53"/>
      <c r="BG27" s="53"/>
      <c r="BH27" s="53"/>
      <c r="BI27" s="53"/>
      <c r="BJ27" s="53"/>
      <c r="BK27" s="53"/>
      <c r="BL27" s="53"/>
      <c r="BM27" s="53"/>
      <c r="BN27" s="53"/>
      <c r="BO27" s="51"/>
    </row>
    <row r="28" spans="1:67" x14ac:dyDescent="0.3">
      <c r="A28" s="53"/>
      <c r="B28" s="53"/>
      <c r="C28" s="53"/>
      <c r="D28" s="53"/>
      <c r="E28" s="53"/>
      <c r="F28" s="53"/>
      <c r="G28" s="53"/>
      <c r="H28" s="53"/>
      <c r="I28" s="53"/>
      <c r="J28" s="53"/>
      <c r="K28" s="53"/>
      <c r="L28" s="53"/>
      <c r="M28" s="53"/>
      <c r="N28" s="53"/>
      <c r="O28" s="53"/>
      <c r="P28" s="53"/>
      <c r="Q28" s="53"/>
      <c r="R28" s="53"/>
      <c r="S28" s="53"/>
      <c r="T28" s="53"/>
      <c r="U28" s="53"/>
      <c r="V28" s="53"/>
      <c r="W28" s="53"/>
      <c r="X28" s="53"/>
      <c r="Y28" s="53"/>
      <c r="Z28" s="53"/>
      <c r="AA28" s="53"/>
      <c r="AB28" s="53"/>
      <c r="AC28" s="53"/>
      <c r="AD28" s="53"/>
      <c r="AE28" s="53"/>
      <c r="AF28" s="53"/>
      <c r="AG28" s="53"/>
      <c r="AH28" s="53"/>
      <c r="AI28" s="53"/>
      <c r="AJ28" s="53"/>
      <c r="AK28" s="53"/>
      <c r="AL28" s="53"/>
      <c r="AM28" s="53"/>
      <c r="AN28" s="53"/>
      <c r="AO28" s="53"/>
      <c r="AP28" s="53"/>
      <c r="AQ28" s="53"/>
      <c r="AR28" s="53"/>
      <c r="AS28" s="53"/>
      <c r="AT28" s="53"/>
      <c r="AU28" s="53"/>
      <c r="AV28" s="53"/>
      <c r="AW28" s="53"/>
      <c r="AX28" s="53"/>
      <c r="AY28" s="53"/>
      <c r="AZ28" s="53"/>
      <c r="BA28" s="53"/>
      <c r="BB28" s="53"/>
      <c r="BC28" s="53"/>
      <c r="BD28" s="53"/>
      <c r="BE28" s="53"/>
      <c r="BF28" s="53"/>
      <c r="BG28" s="53"/>
      <c r="BH28" s="53"/>
      <c r="BI28" s="53"/>
      <c r="BJ28" s="53"/>
      <c r="BK28" s="53"/>
      <c r="BL28" s="53"/>
      <c r="BM28" s="53"/>
      <c r="BN28" s="53"/>
      <c r="BO28" s="51"/>
    </row>
    <row r="29" spans="1:67" x14ac:dyDescent="0.3">
      <c r="A29" s="53"/>
      <c r="B29" s="53"/>
      <c r="C29" s="53"/>
      <c r="D29" s="53"/>
      <c r="E29" s="53"/>
      <c r="F29" s="53"/>
      <c r="G29" s="53"/>
      <c r="H29" s="53"/>
      <c r="I29" s="53"/>
      <c r="J29" s="53"/>
      <c r="K29" s="53"/>
      <c r="L29" s="53"/>
      <c r="M29" s="53"/>
      <c r="N29" s="53"/>
      <c r="O29" s="53"/>
      <c r="P29" s="53"/>
      <c r="Q29" s="53"/>
      <c r="R29" s="53"/>
      <c r="S29" s="53"/>
      <c r="T29" s="53"/>
      <c r="U29" s="53"/>
      <c r="V29" s="53"/>
      <c r="W29" s="53"/>
      <c r="X29" s="53"/>
      <c r="Y29" s="53"/>
      <c r="Z29" s="53"/>
      <c r="AA29" s="53"/>
      <c r="AB29" s="53"/>
      <c r="AC29" s="53"/>
      <c r="AD29" s="53"/>
      <c r="AE29" s="53"/>
      <c r="AF29" s="53"/>
      <c r="AG29" s="53"/>
      <c r="AH29" s="53"/>
      <c r="AI29" s="53"/>
      <c r="AJ29" s="53"/>
      <c r="AK29" s="53"/>
      <c r="AL29" s="53"/>
      <c r="AM29" s="53"/>
      <c r="AN29" s="53"/>
      <c r="AO29" s="53"/>
      <c r="AP29" s="53"/>
      <c r="AQ29" s="53"/>
      <c r="AR29" s="53"/>
      <c r="AS29" s="53"/>
      <c r="AT29" s="53"/>
      <c r="AU29" s="53"/>
      <c r="AV29" s="53"/>
      <c r="AW29" s="53"/>
      <c r="AX29" s="53"/>
      <c r="AY29" s="53"/>
      <c r="AZ29" s="53"/>
      <c r="BA29" s="53"/>
      <c r="BB29" s="53"/>
      <c r="BC29" s="53"/>
      <c r="BD29" s="53"/>
      <c r="BE29" s="53"/>
      <c r="BF29" s="53"/>
      <c r="BG29" s="53"/>
      <c r="BH29" s="53"/>
      <c r="BI29" s="53"/>
      <c r="BJ29" s="53"/>
      <c r="BK29" s="53"/>
      <c r="BL29" s="53"/>
      <c r="BM29" s="53"/>
      <c r="BN29" s="53"/>
      <c r="BO29" s="51"/>
    </row>
    <row r="30" spans="1:67" x14ac:dyDescent="0.3">
      <c r="A30" s="53"/>
      <c r="B30" s="53"/>
      <c r="C30" s="53"/>
      <c r="D30" s="53"/>
      <c r="E30" s="53"/>
      <c r="F30" s="53"/>
      <c r="G30" s="53"/>
      <c r="H30" s="53"/>
      <c r="I30" s="53"/>
      <c r="J30" s="53"/>
      <c r="K30" s="53"/>
      <c r="L30" s="53"/>
      <c r="M30" s="53"/>
      <c r="N30" s="53"/>
      <c r="O30" s="53"/>
      <c r="P30" s="53"/>
      <c r="Q30" s="53"/>
      <c r="R30" s="53"/>
      <c r="S30" s="53"/>
      <c r="T30" s="56"/>
      <c r="U30" s="53"/>
      <c r="V30" s="58"/>
      <c r="W30" s="53"/>
      <c r="X30" s="53"/>
      <c r="Y30" s="53"/>
      <c r="Z30" s="53"/>
      <c r="AA30" s="53"/>
      <c r="AB30" s="53"/>
      <c r="AC30" s="53"/>
      <c r="AD30" s="53"/>
      <c r="AE30" s="53"/>
      <c r="AF30" s="53"/>
      <c r="AG30" s="53"/>
      <c r="AH30" s="53"/>
      <c r="AI30" s="53"/>
      <c r="AJ30" s="53"/>
      <c r="AK30" s="53"/>
      <c r="AL30" s="53"/>
      <c r="AM30" s="53"/>
      <c r="AN30" s="53"/>
      <c r="AO30" s="53"/>
      <c r="AP30" s="53"/>
      <c r="AQ30" s="53"/>
      <c r="AR30" s="53"/>
      <c r="AS30" s="53"/>
      <c r="AT30" s="53"/>
      <c r="AU30" s="53"/>
      <c r="AV30" s="53"/>
      <c r="AW30" s="53"/>
      <c r="AX30" s="53"/>
      <c r="AY30" s="53"/>
      <c r="AZ30" s="53"/>
      <c r="BA30" s="53"/>
      <c r="BB30" s="53"/>
      <c r="BC30" s="53"/>
      <c r="BD30" s="53"/>
      <c r="BE30" s="53"/>
      <c r="BF30" s="53"/>
      <c r="BG30" s="53"/>
      <c r="BH30" s="53"/>
      <c r="BI30" s="53"/>
      <c r="BJ30" s="53"/>
      <c r="BK30" s="53"/>
      <c r="BL30" s="53"/>
      <c r="BM30" s="53"/>
      <c r="BN30" s="53"/>
      <c r="BO30" s="51"/>
    </row>
    <row r="31" spans="1:67" x14ac:dyDescent="0.3">
      <c r="A31" s="53"/>
      <c r="B31" s="53"/>
      <c r="C31" s="53"/>
      <c r="D31" s="53"/>
      <c r="E31" s="53"/>
      <c r="F31" s="53"/>
      <c r="G31" s="53"/>
      <c r="H31" s="53"/>
      <c r="I31" s="53"/>
      <c r="J31" s="53"/>
      <c r="K31" s="53"/>
      <c r="L31" s="53"/>
      <c r="M31" s="53"/>
      <c r="N31" s="53"/>
      <c r="O31" s="53"/>
      <c r="P31" s="53"/>
      <c r="Q31" s="53"/>
      <c r="R31" s="53"/>
      <c r="S31" s="53"/>
      <c r="T31" s="53"/>
      <c r="U31" s="53"/>
      <c r="V31" s="53"/>
      <c r="W31" s="53"/>
      <c r="X31" s="53"/>
      <c r="Y31" s="53"/>
      <c r="Z31" s="53"/>
      <c r="AA31" s="53"/>
      <c r="AB31" s="53"/>
      <c r="AC31" s="53"/>
      <c r="AD31" s="53"/>
      <c r="AE31" s="53"/>
      <c r="AF31" s="53"/>
      <c r="AG31" s="53"/>
      <c r="AH31" s="53"/>
      <c r="AI31" s="53"/>
      <c r="AJ31" s="53"/>
      <c r="AK31" s="53"/>
      <c r="AL31" s="53"/>
      <c r="AM31" s="53"/>
      <c r="AN31" s="53"/>
      <c r="AO31" s="53"/>
      <c r="AP31" s="53"/>
      <c r="AQ31" s="53"/>
      <c r="AR31" s="53"/>
      <c r="AS31" s="53"/>
      <c r="AT31" s="53"/>
      <c r="AU31" s="53"/>
      <c r="AV31" s="53"/>
      <c r="AW31" s="53"/>
      <c r="AX31" s="53"/>
      <c r="AY31" s="53"/>
      <c r="AZ31" s="53"/>
      <c r="BA31" s="53"/>
      <c r="BB31" s="53"/>
      <c r="BC31" s="53"/>
      <c r="BD31" s="53"/>
      <c r="BE31" s="53"/>
      <c r="BF31" s="53"/>
      <c r="BG31" s="53"/>
      <c r="BH31" s="53"/>
      <c r="BI31" s="53"/>
      <c r="BJ31" s="53"/>
      <c r="BK31" s="53"/>
      <c r="BL31" s="53"/>
      <c r="BM31" s="53"/>
      <c r="BN31" s="53"/>
      <c r="BO31" s="51"/>
    </row>
    <row r="32" spans="1:67" x14ac:dyDescent="0.3">
      <c r="A32" s="53"/>
      <c r="B32" s="53"/>
      <c r="C32" s="53"/>
      <c r="D32" s="53"/>
      <c r="E32" s="53"/>
      <c r="F32" s="53"/>
      <c r="G32" s="53"/>
      <c r="H32" s="53"/>
      <c r="I32" s="53"/>
      <c r="J32" s="53"/>
      <c r="K32" s="53"/>
      <c r="L32" s="53"/>
      <c r="M32" s="53"/>
      <c r="N32" s="53"/>
      <c r="O32" s="53"/>
      <c r="P32" s="53"/>
      <c r="Q32" s="53"/>
      <c r="R32" s="53"/>
      <c r="S32" s="53"/>
      <c r="T32" s="53"/>
      <c r="U32" s="53"/>
      <c r="V32" s="53"/>
      <c r="W32" s="53"/>
      <c r="X32" s="53"/>
      <c r="Y32" s="53"/>
      <c r="Z32" s="53"/>
      <c r="AA32" s="53"/>
      <c r="AB32" s="53"/>
      <c r="AC32" s="53"/>
      <c r="AD32" s="53"/>
      <c r="AE32" s="53"/>
      <c r="AF32" s="53"/>
      <c r="AG32" s="53"/>
      <c r="AH32" s="53"/>
      <c r="AI32" s="53"/>
      <c r="AJ32" s="53"/>
      <c r="AK32" s="53"/>
      <c r="AL32" s="53"/>
      <c r="AM32" s="53"/>
      <c r="AN32" s="53"/>
      <c r="AO32" s="53"/>
      <c r="AP32" s="53"/>
      <c r="AQ32" s="53"/>
      <c r="AR32" s="53"/>
      <c r="AS32" s="53"/>
      <c r="AT32" s="53"/>
      <c r="AU32" s="53"/>
      <c r="AV32" s="53"/>
      <c r="AW32" s="53"/>
      <c r="AX32" s="53"/>
      <c r="AY32" s="53"/>
      <c r="AZ32" s="53"/>
      <c r="BA32" s="53"/>
      <c r="BB32" s="53"/>
      <c r="BC32" s="53"/>
      <c r="BD32" s="53"/>
      <c r="BE32" s="53"/>
      <c r="BF32" s="53"/>
      <c r="BG32" s="53"/>
      <c r="BH32" s="53"/>
      <c r="BI32" s="53"/>
      <c r="BJ32" s="53"/>
      <c r="BK32" s="53"/>
      <c r="BL32" s="53"/>
      <c r="BM32" s="53"/>
      <c r="BN32" s="53"/>
      <c r="BO32" s="51"/>
    </row>
    <row r="33" spans="1:67" x14ac:dyDescent="0.3">
      <c r="A33" s="53"/>
      <c r="B33" s="53"/>
      <c r="C33" s="53"/>
      <c r="D33" s="53"/>
      <c r="E33" s="53"/>
      <c r="F33" s="53"/>
      <c r="G33" s="53"/>
      <c r="H33" s="53"/>
      <c r="I33" s="53"/>
      <c r="J33" s="53"/>
      <c r="K33" s="53"/>
      <c r="L33" s="53"/>
      <c r="M33" s="53"/>
      <c r="N33" s="53"/>
      <c r="O33" s="53"/>
      <c r="P33" s="53"/>
      <c r="Q33" s="53"/>
      <c r="R33" s="53"/>
      <c r="S33" s="53"/>
      <c r="T33" s="53"/>
      <c r="U33" s="53"/>
      <c r="V33" s="53"/>
      <c r="W33" s="53"/>
      <c r="X33" s="53"/>
      <c r="Y33" s="53"/>
      <c r="Z33" s="53"/>
      <c r="AA33" s="53"/>
      <c r="AB33" s="53"/>
      <c r="AC33" s="53"/>
      <c r="AD33" s="53"/>
      <c r="AE33" s="53"/>
      <c r="AF33" s="53"/>
      <c r="AG33" s="53"/>
      <c r="AH33" s="53"/>
      <c r="AI33" s="53"/>
      <c r="AJ33" s="53"/>
      <c r="AK33" s="53"/>
      <c r="AL33" s="53"/>
      <c r="AM33" s="53"/>
      <c r="AN33" s="53"/>
      <c r="AO33" s="53"/>
      <c r="AP33" s="53"/>
      <c r="AQ33" s="53"/>
      <c r="AR33" s="53"/>
      <c r="AS33" s="53"/>
      <c r="AT33" s="53"/>
      <c r="AU33" s="53"/>
      <c r="AV33" s="53"/>
      <c r="AW33" s="53"/>
      <c r="AX33" s="53"/>
      <c r="AY33" s="53"/>
      <c r="AZ33" s="53"/>
      <c r="BA33" s="53"/>
      <c r="BB33" s="53"/>
      <c r="BC33" s="53"/>
      <c r="BD33" s="53"/>
      <c r="BE33" s="53"/>
      <c r="BF33" s="53"/>
      <c r="BG33" s="53"/>
      <c r="BH33" s="53"/>
      <c r="BI33" s="53"/>
      <c r="BJ33" s="53"/>
      <c r="BK33" s="53"/>
      <c r="BL33" s="53"/>
      <c r="BM33" s="53"/>
      <c r="BN33" s="53"/>
      <c r="BO33" s="51"/>
    </row>
    <row r="34" spans="1:67" x14ac:dyDescent="0.3">
      <c r="A34" s="53"/>
      <c r="B34" s="53"/>
      <c r="C34" s="53"/>
      <c r="D34" s="53"/>
      <c r="E34" s="53"/>
      <c r="F34" s="53"/>
      <c r="G34" s="53"/>
      <c r="H34" s="53"/>
      <c r="I34" s="53"/>
      <c r="J34" s="53"/>
      <c r="K34" s="53"/>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3"/>
      <c r="AR34" s="53"/>
      <c r="AS34" s="53"/>
      <c r="AT34" s="53"/>
      <c r="AU34" s="53"/>
      <c r="AV34" s="53"/>
      <c r="AW34" s="53"/>
      <c r="AX34" s="53"/>
      <c r="AY34" s="53"/>
      <c r="AZ34" s="53"/>
      <c r="BA34" s="53"/>
      <c r="BB34" s="53"/>
      <c r="BC34" s="53"/>
      <c r="BD34" s="53"/>
      <c r="BE34" s="53"/>
      <c r="BF34" s="53"/>
      <c r="BG34" s="53"/>
      <c r="BH34" s="53"/>
      <c r="BI34" s="53"/>
      <c r="BJ34" s="53"/>
      <c r="BK34" s="53"/>
      <c r="BL34" s="53"/>
      <c r="BM34" s="53"/>
      <c r="BN34" s="53"/>
      <c r="BO34" s="51"/>
    </row>
    <row r="35" spans="1:67" x14ac:dyDescent="0.3">
      <c r="A35" s="53"/>
      <c r="B35" s="53"/>
      <c r="C35" s="53"/>
      <c r="D35" s="53"/>
      <c r="E35" s="53"/>
      <c r="F35" s="53"/>
      <c r="G35" s="53"/>
      <c r="H35" s="53"/>
      <c r="I35" s="53"/>
      <c r="J35" s="53"/>
      <c r="K35" s="53"/>
      <c r="L35" s="53"/>
      <c r="M35" s="53"/>
      <c r="N35" s="53"/>
      <c r="O35" s="53"/>
      <c r="P35" s="53"/>
      <c r="Q35" s="53"/>
      <c r="R35" s="53"/>
      <c r="S35" s="53"/>
      <c r="T35" s="53"/>
      <c r="U35" s="53"/>
      <c r="V35" s="53"/>
      <c r="W35" s="53"/>
      <c r="X35" s="53"/>
      <c r="Y35" s="53"/>
      <c r="Z35" s="53"/>
      <c r="AA35" s="53"/>
      <c r="AB35" s="53"/>
      <c r="AC35" s="53"/>
      <c r="AD35" s="53"/>
      <c r="AE35" s="53"/>
      <c r="AF35" s="53"/>
      <c r="AG35" s="53"/>
      <c r="AH35" s="53"/>
      <c r="AI35" s="53"/>
      <c r="AJ35" s="53"/>
      <c r="AK35" s="53"/>
      <c r="AL35" s="53"/>
      <c r="AM35" s="53"/>
      <c r="AN35" s="53"/>
      <c r="AO35" s="53"/>
      <c r="AP35" s="53"/>
      <c r="AQ35" s="53"/>
      <c r="AR35" s="53"/>
      <c r="AS35" s="53"/>
      <c r="AT35" s="53"/>
      <c r="AU35" s="53"/>
      <c r="AV35" s="53"/>
      <c r="AW35" s="53"/>
      <c r="AX35" s="53"/>
      <c r="AY35" s="53"/>
      <c r="AZ35" s="53"/>
      <c r="BA35" s="53"/>
      <c r="BB35" s="53"/>
      <c r="BC35" s="53"/>
      <c r="BD35" s="53"/>
      <c r="BE35" s="53"/>
      <c r="BF35" s="53"/>
      <c r="BG35" s="53"/>
      <c r="BH35" s="53"/>
      <c r="BI35" s="53"/>
      <c r="BJ35" s="53"/>
      <c r="BK35" s="53"/>
      <c r="BL35" s="53"/>
      <c r="BM35" s="53"/>
      <c r="BN35" s="53"/>
      <c r="BO35" s="51"/>
    </row>
    <row r="36" spans="1:67" x14ac:dyDescent="0.3">
      <c r="A36" s="53"/>
      <c r="B36" s="53"/>
      <c r="C36" s="53"/>
      <c r="D36" s="53"/>
      <c r="E36" s="53"/>
      <c r="F36" s="53"/>
      <c r="G36" s="53"/>
      <c r="H36" s="53"/>
      <c r="I36" s="53"/>
      <c r="J36" s="53"/>
      <c r="K36" s="53"/>
      <c r="L36" s="53"/>
      <c r="M36" s="53"/>
      <c r="N36" s="53"/>
      <c r="O36" s="53"/>
      <c r="P36" s="53"/>
      <c r="Q36" s="53"/>
      <c r="R36" s="53"/>
      <c r="S36" s="53"/>
      <c r="T36" s="53"/>
      <c r="U36" s="53"/>
      <c r="V36" s="53"/>
      <c r="W36" s="53"/>
      <c r="X36" s="53"/>
      <c r="Y36" s="53"/>
      <c r="Z36" s="53"/>
      <c r="AA36" s="53"/>
      <c r="AB36" s="53"/>
      <c r="AC36" s="53"/>
      <c r="AD36" s="53"/>
      <c r="AE36" s="53"/>
      <c r="AF36" s="53"/>
      <c r="AG36" s="53"/>
      <c r="AH36" s="53"/>
      <c r="AI36" s="53"/>
      <c r="AJ36" s="53"/>
      <c r="AK36" s="53"/>
      <c r="AL36" s="53"/>
      <c r="AM36" s="53"/>
      <c r="AN36" s="53"/>
      <c r="AO36" s="53"/>
      <c r="AP36" s="53"/>
      <c r="AQ36" s="53"/>
      <c r="AR36" s="53"/>
      <c r="AS36" s="53"/>
      <c r="AT36" s="53"/>
      <c r="AU36" s="53"/>
      <c r="AV36" s="53"/>
      <c r="AW36" s="53"/>
      <c r="AX36" s="53"/>
      <c r="AY36" s="53"/>
      <c r="AZ36" s="53"/>
      <c r="BA36" s="53"/>
      <c r="BB36" s="53"/>
      <c r="BC36" s="53"/>
      <c r="BD36" s="53"/>
      <c r="BE36" s="53"/>
      <c r="BF36" s="53"/>
      <c r="BG36" s="53"/>
      <c r="BH36" s="53"/>
      <c r="BI36" s="53"/>
      <c r="BJ36" s="53"/>
      <c r="BK36" s="53"/>
      <c r="BL36" s="53"/>
      <c r="BM36" s="53"/>
      <c r="BN36" s="53"/>
      <c r="BO36" s="51"/>
    </row>
    <row r="37" spans="1:67" x14ac:dyDescent="0.3">
      <c r="A37" s="53"/>
      <c r="B37" s="53"/>
      <c r="C37" s="53"/>
      <c r="D37" s="53"/>
      <c r="E37" s="53"/>
      <c r="F37" s="53"/>
      <c r="G37" s="53"/>
      <c r="H37" s="53"/>
      <c r="I37" s="53"/>
      <c r="J37" s="53"/>
      <c r="K37" s="53"/>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3"/>
      <c r="AR37" s="53"/>
      <c r="AS37" s="53"/>
      <c r="AT37" s="53"/>
      <c r="AU37" s="53"/>
      <c r="AV37" s="53"/>
      <c r="AW37" s="53"/>
      <c r="AX37" s="53"/>
      <c r="AY37" s="53"/>
      <c r="AZ37" s="53"/>
      <c r="BA37" s="53"/>
      <c r="BB37" s="53"/>
      <c r="BC37" s="53"/>
      <c r="BD37" s="53"/>
      <c r="BE37" s="53"/>
      <c r="BF37" s="53"/>
      <c r="BG37" s="53"/>
      <c r="BH37" s="53"/>
      <c r="BI37" s="53"/>
      <c r="BJ37" s="53"/>
      <c r="BK37" s="53"/>
      <c r="BL37" s="53"/>
      <c r="BM37" s="53"/>
      <c r="BN37" s="53"/>
      <c r="BO37" s="51"/>
    </row>
    <row r="38" spans="1:67" x14ac:dyDescent="0.3">
      <c r="A38" s="53"/>
      <c r="B38" s="53"/>
      <c r="C38" s="53"/>
      <c r="D38" s="53"/>
      <c r="E38" s="53"/>
      <c r="F38" s="53"/>
      <c r="G38" s="53"/>
      <c r="H38" s="53"/>
      <c r="I38" s="53"/>
      <c r="J38" s="53"/>
      <c r="K38" s="53"/>
      <c r="L38" s="53"/>
      <c r="M38" s="53"/>
      <c r="N38" s="53"/>
      <c r="O38" s="53"/>
      <c r="P38" s="53"/>
      <c r="Q38" s="53"/>
      <c r="R38" s="53"/>
      <c r="S38" s="53"/>
      <c r="T38" s="53"/>
      <c r="U38" s="53"/>
      <c r="V38" s="53"/>
      <c r="W38" s="53"/>
      <c r="X38" s="53"/>
      <c r="Y38" s="53"/>
      <c r="Z38" s="53"/>
      <c r="AA38" s="53"/>
      <c r="AB38" s="53"/>
      <c r="AC38" s="53"/>
      <c r="AD38" s="53"/>
      <c r="AE38" s="53"/>
      <c r="AF38" s="53"/>
      <c r="AG38" s="53"/>
      <c r="AH38" s="53"/>
      <c r="AI38" s="53"/>
      <c r="AJ38" s="53"/>
      <c r="AK38" s="53"/>
      <c r="AL38" s="53"/>
      <c r="AM38" s="53"/>
      <c r="AN38" s="53"/>
      <c r="AO38" s="53"/>
      <c r="AP38" s="53"/>
      <c r="AQ38" s="53"/>
      <c r="AR38" s="53"/>
      <c r="AS38" s="53"/>
      <c r="AT38" s="53"/>
      <c r="AU38" s="53"/>
      <c r="AV38" s="53"/>
      <c r="AW38" s="53"/>
      <c r="AX38" s="53"/>
      <c r="AY38" s="53"/>
      <c r="AZ38" s="53"/>
      <c r="BA38" s="53"/>
      <c r="BB38" s="53"/>
      <c r="BC38" s="53"/>
      <c r="BD38" s="53"/>
      <c r="BE38" s="53"/>
      <c r="BF38" s="53"/>
      <c r="BG38" s="53"/>
      <c r="BH38" s="53"/>
      <c r="BI38" s="53"/>
      <c r="BJ38" s="53"/>
      <c r="BK38" s="53"/>
      <c r="BL38" s="53"/>
      <c r="BM38" s="53"/>
      <c r="BN38" s="53"/>
      <c r="BO38" s="51"/>
    </row>
    <row r="39" spans="1:67" x14ac:dyDescent="0.3">
      <c r="A39" s="53"/>
      <c r="B39" s="53"/>
      <c r="C39" s="53"/>
      <c r="D39" s="53"/>
      <c r="E39" s="53"/>
      <c r="F39" s="53"/>
      <c r="G39" s="53"/>
      <c r="H39" s="53"/>
      <c r="I39" s="53"/>
      <c r="J39" s="53"/>
      <c r="K39" s="53"/>
      <c r="L39" s="53"/>
      <c r="M39" s="53"/>
      <c r="N39" s="53"/>
      <c r="O39" s="53"/>
      <c r="P39" s="53"/>
      <c r="Q39" s="53"/>
      <c r="R39" s="53"/>
      <c r="S39" s="53"/>
      <c r="T39" s="53"/>
      <c r="U39" s="53"/>
      <c r="V39" s="53"/>
      <c r="W39" s="53"/>
      <c r="X39" s="53"/>
      <c r="Y39" s="53"/>
      <c r="Z39" s="53"/>
      <c r="AA39" s="53"/>
      <c r="AB39" s="53"/>
      <c r="AC39" s="53"/>
      <c r="AD39" s="53"/>
      <c r="AE39" s="53"/>
      <c r="AF39" s="53"/>
      <c r="AG39" s="53"/>
      <c r="AH39" s="53"/>
      <c r="AI39" s="53"/>
      <c r="AJ39" s="53"/>
      <c r="AK39" s="53"/>
      <c r="AL39" s="53"/>
      <c r="AM39" s="53"/>
      <c r="AN39" s="53"/>
      <c r="AO39" s="53"/>
      <c r="AP39" s="53"/>
      <c r="AQ39" s="53"/>
      <c r="AR39" s="53"/>
      <c r="AS39" s="53"/>
      <c r="AT39" s="53"/>
      <c r="AU39" s="53"/>
      <c r="AV39" s="53"/>
      <c r="AW39" s="53"/>
      <c r="AX39" s="53"/>
      <c r="AY39" s="53"/>
      <c r="AZ39" s="53"/>
      <c r="BA39" s="53"/>
      <c r="BB39" s="53"/>
      <c r="BC39" s="53"/>
      <c r="BD39" s="53"/>
      <c r="BE39" s="53"/>
      <c r="BF39" s="53"/>
      <c r="BG39" s="53"/>
      <c r="BH39" s="53"/>
      <c r="BI39" s="53"/>
      <c r="BJ39" s="53"/>
      <c r="BK39" s="53"/>
      <c r="BL39" s="53"/>
      <c r="BM39" s="53"/>
      <c r="BN39" s="53"/>
      <c r="BO39" s="51"/>
    </row>
    <row r="40" spans="1:67" x14ac:dyDescent="0.3">
      <c r="A40" s="53"/>
      <c r="B40" s="53"/>
      <c r="C40" s="53"/>
      <c r="D40" s="53"/>
      <c r="E40" s="53"/>
      <c r="F40" s="53"/>
      <c r="G40" s="53"/>
      <c r="H40" s="53"/>
      <c r="I40" s="53"/>
      <c r="J40" s="53"/>
      <c r="K40" s="53"/>
      <c r="L40" s="53"/>
      <c r="M40" s="53"/>
      <c r="N40" s="53"/>
      <c r="O40" s="53"/>
      <c r="P40" s="53"/>
      <c r="Q40" s="53"/>
      <c r="R40" s="53"/>
      <c r="S40" s="53"/>
      <c r="T40" s="53"/>
      <c r="U40" s="53"/>
      <c r="V40" s="53"/>
      <c r="W40" s="53"/>
      <c r="X40" s="53"/>
      <c r="Y40" s="53"/>
      <c r="Z40" s="53"/>
      <c r="AA40" s="53"/>
      <c r="AB40" s="53"/>
      <c r="AC40" s="53"/>
      <c r="AD40" s="53"/>
      <c r="AE40" s="53"/>
      <c r="AF40" s="53"/>
      <c r="AG40" s="53"/>
      <c r="AH40" s="53"/>
      <c r="AI40" s="53"/>
      <c r="AJ40" s="53"/>
      <c r="AK40" s="53"/>
      <c r="AL40" s="53"/>
      <c r="AM40" s="53"/>
      <c r="AN40" s="53"/>
      <c r="AO40" s="53"/>
      <c r="AP40" s="53"/>
      <c r="AQ40" s="53"/>
      <c r="AR40" s="53"/>
      <c r="AS40" s="53"/>
      <c r="AT40" s="53"/>
      <c r="AU40" s="53"/>
      <c r="AV40" s="53"/>
      <c r="AW40" s="53"/>
      <c r="AX40" s="53"/>
      <c r="AY40" s="53"/>
      <c r="AZ40" s="53"/>
      <c r="BA40" s="53"/>
      <c r="BB40" s="53"/>
      <c r="BC40" s="53"/>
      <c r="BD40" s="53"/>
      <c r="BE40" s="53"/>
      <c r="BF40" s="53"/>
      <c r="BG40" s="53"/>
      <c r="BH40" s="53"/>
      <c r="BI40" s="53"/>
      <c r="BJ40" s="53"/>
      <c r="BK40" s="53"/>
      <c r="BL40" s="53"/>
      <c r="BM40" s="53"/>
      <c r="BN40" s="53"/>
      <c r="BO40" s="51"/>
    </row>
    <row r="41" spans="1:67" x14ac:dyDescent="0.3">
      <c r="A41" s="53"/>
      <c r="B41" s="53"/>
      <c r="C41" s="53"/>
      <c r="D41" s="53"/>
      <c r="E41" s="53"/>
      <c r="F41" s="53"/>
      <c r="G41" s="53"/>
      <c r="H41" s="53"/>
      <c r="I41" s="53"/>
      <c r="J41" s="53"/>
      <c r="K41" s="53"/>
      <c r="L41" s="53"/>
      <c r="M41" s="53"/>
      <c r="N41" s="53"/>
      <c r="O41" s="53"/>
      <c r="P41" s="53"/>
      <c r="Q41" s="53"/>
      <c r="R41" s="53"/>
      <c r="S41" s="53"/>
      <c r="T41" s="53"/>
      <c r="U41" s="53"/>
      <c r="V41" s="53"/>
      <c r="W41" s="53"/>
      <c r="X41" s="53"/>
      <c r="Y41" s="53"/>
      <c r="Z41" s="53"/>
      <c r="AA41" s="53"/>
      <c r="AB41" s="53"/>
      <c r="AC41" s="53"/>
      <c r="AD41" s="53"/>
      <c r="AE41" s="53"/>
      <c r="AF41" s="53"/>
      <c r="AG41" s="53"/>
      <c r="AH41" s="53"/>
      <c r="AI41" s="53"/>
      <c r="AJ41" s="53"/>
      <c r="AK41" s="53"/>
      <c r="AL41" s="53"/>
      <c r="AM41" s="53"/>
      <c r="AN41" s="53"/>
      <c r="AO41" s="53"/>
      <c r="AP41" s="53"/>
      <c r="AQ41" s="53"/>
      <c r="AR41" s="53"/>
      <c r="AS41" s="53"/>
      <c r="AT41" s="53"/>
      <c r="AU41" s="53"/>
      <c r="AV41" s="53"/>
      <c r="AW41" s="53"/>
      <c r="AX41" s="53"/>
      <c r="AY41" s="53"/>
      <c r="AZ41" s="53"/>
      <c r="BA41" s="53"/>
      <c r="BB41" s="53"/>
      <c r="BC41" s="53"/>
      <c r="BD41" s="53"/>
      <c r="BE41" s="53"/>
      <c r="BF41" s="53"/>
      <c r="BG41" s="53"/>
      <c r="BH41" s="53"/>
      <c r="BI41" s="53"/>
      <c r="BJ41" s="53"/>
      <c r="BK41" s="53"/>
      <c r="BL41" s="53"/>
      <c r="BM41" s="53"/>
      <c r="BN41" s="53"/>
      <c r="BO41" s="51"/>
    </row>
    <row r="42" spans="1:67" x14ac:dyDescent="0.3">
      <c r="A42" s="53"/>
      <c r="B42" s="53"/>
      <c r="C42" s="53"/>
      <c r="D42" s="53"/>
      <c r="E42" s="53"/>
      <c r="F42" s="53"/>
      <c r="G42" s="53"/>
      <c r="H42" s="53"/>
      <c r="I42" s="53"/>
      <c r="J42" s="53"/>
      <c r="K42" s="53"/>
      <c r="L42" s="53"/>
      <c r="M42" s="53"/>
      <c r="N42" s="53"/>
      <c r="O42" s="53"/>
      <c r="P42" s="53"/>
      <c r="Q42" s="53"/>
      <c r="R42" s="53"/>
      <c r="S42" s="53"/>
      <c r="T42" s="53"/>
      <c r="U42" s="53"/>
      <c r="V42" s="53"/>
      <c r="W42" s="53"/>
      <c r="X42" s="53"/>
      <c r="Y42" s="53"/>
      <c r="Z42" s="53"/>
      <c r="AA42" s="53"/>
      <c r="AB42" s="53"/>
      <c r="AC42" s="53"/>
      <c r="AD42" s="53"/>
      <c r="AE42" s="53"/>
      <c r="AF42" s="53"/>
      <c r="AG42" s="53"/>
      <c r="AH42" s="53"/>
      <c r="AI42" s="53"/>
      <c r="AJ42" s="53"/>
      <c r="AK42" s="53"/>
      <c r="AL42" s="53"/>
      <c r="AM42" s="53"/>
      <c r="AN42" s="53"/>
      <c r="AO42" s="53"/>
      <c r="AP42" s="53"/>
      <c r="AQ42" s="53"/>
      <c r="AR42" s="53"/>
      <c r="AS42" s="53"/>
      <c r="AT42" s="53"/>
      <c r="AU42" s="53"/>
      <c r="AV42" s="53"/>
      <c r="AW42" s="53"/>
      <c r="AX42" s="53"/>
      <c r="AY42" s="53"/>
      <c r="AZ42" s="53"/>
      <c r="BA42" s="53"/>
      <c r="BB42" s="53"/>
      <c r="BC42" s="53"/>
      <c r="BD42" s="53"/>
      <c r="BE42" s="53"/>
      <c r="BF42" s="53"/>
      <c r="BG42" s="53"/>
      <c r="BH42" s="53"/>
      <c r="BI42" s="53"/>
      <c r="BJ42" s="53"/>
      <c r="BK42" s="53"/>
      <c r="BL42" s="53"/>
      <c r="BM42" s="53"/>
      <c r="BN42" s="53"/>
      <c r="BO42" s="51"/>
    </row>
    <row r="43" spans="1:67" x14ac:dyDescent="0.3">
      <c r="A43" s="53"/>
      <c r="B43" s="53"/>
      <c r="C43" s="53"/>
      <c r="D43" s="53"/>
      <c r="E43" s="53"/>
      <c r="F43" s="53"/>
      <c r="G43" s="53"/>
      <c r="H43" s="53"/>
      <c r="I43" s="53"/>
      <c r="J43" s="53"/>
      <c r="K43" s="53"/>
      <c r="L43" s="53"/>
      <c r="M43" s="53"/>
      <c r="N43" s="53"/>
      <c r="O43" s="53"/>
      <c r="P43" s="53"/>
      <c r="Q43" s="53"/>
      <c r="R43" s="53"/>
      <c r="S43" s="53"/>
      <c r="T43" s="53"/>
      <c r="U43" s="53"/>
      <c r="V43" s="53"/>
      <c r="W43" s="53"/>
      <c r="X43" s="53"/>
      <c r="Y43" s="53"/>
      <c r="Z43" s="53"/>
      <c r="AA43" s="53"/>
      <c r="AB43" s="53"/>
      <c r="AC43" s="53"/>
      <c r="AD43" s="53"/>
      <c r="AE43" s="53"/>
      <c r="AF43" s="53"/>
      <c r="AG43" s="53"/>
      <c r="AH43" s="53"/>
      <c r="AI43" s="53"/>
      <c r="AJ43" s="53"/>
      <c r="AK43" s="53"/>
      <c r="AL43" s="53"/>
      <c r="AM43" s="53"/>
      <c r="AN43" s="53"/>
      <c r="AO43" s="53"/>
      <c r="AP43" s="53"/>
      <c r="AQ43" s="53"/>
      <c r="AR43" s="53"/>
      <c r="AS43" s="53"/>
      <c r="AT43" s="53"/>
      <c r="AU43" s="53"/>
      <c r="AV43" s="53"/>
      <c r="AW43" s="53"/>
      <c r="AX43" s="53"/>
      <c r="AY43" s="53"/>
      <c r="AZ43" s="53"/>
      <c r="BA43" s="53"/>
      <c r="BB43" s="53"/>
      <c r="BC43" s="53"/>
      <c r="BD43" s="53"/>
      <c r="BE43" s="53"/>
      <c r="BF43" s="53"/>
      <c r="BG43" s="53"/>
      <c r="BH43" s="53"/>
      <c r="BI43" s="53"/>
      <c r="BJ43" s="53"/>
      <c r="BK43" s="53"/>
      <c r="BL43" s="53"/>
      <c r="BM43" s="53"/>
      <c r="BN43" s="53"/>
      <c r="BO43" s="51"/>
    </row>
    <row r="44" spans="1:67" x14ac:dyDescent="0.3">
      <c r="A44" s="53"/>
      <c r="B44" s="53"/>
      <c r="C44" s="53"/>
      <c r="D44" s="53"/>
      <c r="E44" s="53"/>
      <c r="F44" s="53"/>
      <c r="G44" s="53"/>
      <c r="H44" s="53"/>
      <c r="I44" s="53"/>
      <c r="J44" s="53"/>
      <c r="K44" s="53"/>
      <c r="L44" s="53"/>
      <c r="M44" s="53"/>
      <c r="N44" s="53"/>
      <c r="O44" s="53"/>
      <c r="P44" s="53"/>
      <c r="Q44" s="53"/>
      <c r="R44" s="53"/>
      <c r="S44" s="53"/>
      <c r="T44" s="53"/>
      <c r="U44" s="53"/>
      <c r="V44" s="53"/>
      <c r="W44" s="53"/>
      <c r="X44" s="53"/>
      <c r="Y44" s="53"/>
      <c r="Z44" s="53"/>
      <c r="AA44" s="53"/>
      <c r="AB44" s="53"/>
      <c r="AC44" s="53"/>
      <c r="AD44" s="53"/>
      <c r="AE44" s="53"/>
      <c r="AF44" s="53"/>
      <c r="AG44" s="53"/>
      <c r="AH44" s="53"/>
      <c r="AI44" s="53"/>
      <c r="AJ44" s="53"/>
      <c r="AK44" s="53"/>
      <c r="AL44" s="53"/>
      <c r="AM44" s="53"/>
      <c r="AN44" s="53"/>
      <c r="AO44" s="53"/>
      <c r="AP44" s="53"/>
      <c r="AQ44" s="53"/>
      <c r="AR44" s="53"/>
      <c r="AS44" s="53"/>
      <c r="AT44" s="53"/>
      <c r="AU44" s="53"/>
      <c r="AV44" s="53"/>
      <c r="AW44" s="53"/>
      <c r="AX44" s="53"/>
      <c r="AY44" s="53"/>
      <c r="AZ44" s="53"/>
      <c r="BA44" s="53"/>
      <c r="BB44" s="53"/>
      <c r="BC44" s="53"/>
      <c r="BD44" s="53"/>
      <c r="BE44" s="53"/>
      <c r="BF44" s="53"/>
      <c r="BG44" s="53"/>
      <c r="BH44" s="53"/>
      <c r="BI44" s="53"/>
      <c r="BJ44" s="53"/>
      <c r="BK44" s="53"/>
      <c r="BL44" s="53"/>
      <c r="BM44" s="53"/>
      <c r="BN44" s="53"/>
      <c r="BO44" s="51"/>
    </row>
    <row r="45" spans="1:67" x14ac:dyDescent="0.3">
      <c r="A45" s="53"/>
      <c r="B45" s="53"/>
      <c r="C45" s="53"/>
      <c r="D45" s="53"/>
      <c r="E45" s="53"/>
      <c r="F45" s="53"/>
      <c r="G45" s="53"/>
      <c r="H45" s="53"/>
      <c r="I45" s="53"/>
      <c r="J45" s="53"/>
      <c r="K45" s="53"/>
      <c r="L45" s="53"/>
      <c r="M45" s="53"/>
      <c r="N45" s="53"/>
      <c r="O45" s="53"/>
      <c r="P45" s="53"/>
      <c r="Q45" s="53"/>
      <c r="R45" s="53"/>
      <c r="S45" s="53"/>
      <c r="T45" s="53"/>
      <c r="U45" s="53"/>
      <c r="V45" s="53"/>
      <c r="W45" s="53"/>
      <c r="X45" s="53"/>
      <c r="Y45" s="53"/>
      <c r="Z45" s="53"/>
      <c r="AA45" s="53"/>
      <c r="AB45" s="53"/>
      <c r="AC45" s="53"/>
      <c r="AD45" s="53"/>
      <c r="AE45" s="53"/>
      <c r="AF45" s="53"/>
      <c r="AG45" s="53"/>
      <c r="AH45" s="53"/>
      <c r="AI45" s="53"/>
      <c r="AJ45" s="53"/>
      <c r="AK45" s="53"/>
      <c r="AL45" s="53"/>
      <c r="AM45" s="53"/>
      <c r="AN45" s="53"/>
      <c r="AO45" s="53"/>
      <c r="AP45" s="53"/>
      <c r="AQ45" s="53"/>
      <c r="AR45" s="53"/>
      <c r="AS45" s="53"/>
      <c r="AT45" s="53"/>
      <c r="AU45" s="53"/>
      <c r="AV45" s="53"/>
      <c r="AW45" s="53"/>
      <c r="AX45" s="53"/>
      <c r="AY45" s="53"/>
      <c r="AZ45" s="53"/>
      <c r="BA45" s="53"/>
      <c r="BB45" s="53"/>
      <c r="BC45" s="53"/>
      <c r="BD45" s="53"/>
      <c r="BE45" s="53"/>
      <c r="BF45" s="53"/>
      <c r="BG45" s="53"/>
      <c r="BH45" s="53"/>
      <c r="BI45" s="53"/>
      <c r="BJ45" s="53"/>
      <c r="BK45" s="53"/>
      <c r="BL45" s="53"/>
      <c r="BM45" s="53"/>
      <c r="BN45" s="53"/>
      <c r="BO45" s="51"/>
    </row>
    <row r="46" spans="1:67" x14ac:dyDescent="0.3">
      <c r="A46" s="53"/>
      <c r="B46" s="53"/>
      <c r="C46" s="53"/>
      <c r="D46" s="53"/>
      <c r="E46" s="53"/>
      <c r="F46" s="53"/>
      <c r="G46" s="53"/>
      <c r="H46" s="53"/>
      <c r="I46" s="53"/>
      <c r="J46" s="53"/>
      <c r="K46" s="53"/>
      <c r="L46" s="53"/>
      <c r="M46" s="53"/>
      <c r="N46" s="53"/>
      <c r="O46" s="53"/>
      <c r="P46" s="53"/>
      <c r="Q46" s="53"/>
      <c r="R46" s="53"/>
      <c r="S46" s="53"/>
      <c r="T46" s="53"/>
      <c r="U46" s="53"/>
      <c r="V46" s="53"/>
      <c r="W46" s="53"/>
      <c r="X46" s="53"/>
      <c r="Y46" s="53"/>
      <c r="Z46" s="53"/>
      <c r="AA46" s="53"/>
      <c r="AB46" s="53"/>
      <c r="AC46" s="53"/>
      <c r="AD46" s="53"/>
      <c r="AE46" s="53"/>
      <c r="AF46" s="53"/>
      <c r="AG46" s="53"/>
      <c r="AH46" s="53"/>
      <c r="AI46" s="53"/>
      <c r="AJ46" s="53"/>
      <c r="AK46" s="53"/>
      <c r="AL46" s="53"/>
      <c r="AM46" s="53"/>
      <c r="AN46" s="53"/>
      <c r="AO46" s="53"/>
      <c r="AP46" s="53"/>
      <c r="AQ46" s="53"/>
      <c r="AR46" s="53"/>
      <c r="AS46" s="53"/>
      <c r="AT46" s="53"/>
      <c r="AU46" s="53"/>
      <c r="AV46" s="53"/>
      <c r="AW46" s="53"/>
      <c r="AX46" s="53"/>
      <c r="AY46" s="53"/>
      <c r="AZ46" s="53"/>
      <c r="BA46" s="53"/>
      <c r="BB46" s="53"/>
      <c r="BC46" s="53"/>
      <c r="BD46" s="53"/>
      <c r="BE46" s="53"/>
      <c r="BF46" s="53"/>
      <c r="BG46" s="53"/>
      <c r="BH46" s="53"/>
      <c r="BI46" s="53"/>
      <c r="BJ46" s="53"/>
      <c r="BK46" s="53"/>
      <c r="BL46" s="53"/>
      <c r="BM46" s="53"/>
      <c r="BN46" s="53"/>
      <c r="BO46" s="51"/>
    </row>
    <row r="47" spans="1:67" x14ac:dyDescent="0.3">
      <c r="A47" s="53"/>
      <c r="B47" s="53"/>
      <c r="C47" s="53"/>
      <c r="D47" s="53"/>
      <c r="E47" s="53"/>
      <c r="F47" s="53"/>
      <c r="G47" s="53"/>
      <c r="H47" s="53"/>
      <c r="I47" s="53"/>
      <c r="J47" s="53"/>
      <c r="K47" s="53"/>
      <c r="L47" s="53"/>
      <c r="M47" s="53"/>
      <c r="N47" s="53"/>
      <c r="O47" s="53"/>
      <c r="P47" s="53"/>
      <c r="Q47" s="53"/>
      <c r="R47" s="53"/>
      <c r="S47" s="53"/>
      <c r="T47" s="53"/>
      <c r="U47" s="53"/>
      <c r="V47" s="53"/>
      <c r="W47" s="53"/>
      <c r="X47" s="53"/>
      <c r="Y47" s="53"/>
      <c r="Z47" s="53"/>
      <c r="AA47" s="53"/>
      <c r="AB47" s="53"/>
      <c r="AC47" s="53"/>
      <c r="AD47" s="53"/>
      <c r="AE47" s="53"/>
      <c r="AF47" s="53"/>
      <c r="AG47" s="53"/>
      <c r="AH47" s="53"/>
      <c r="AI47" s="53"/>
      <c r="AJ47" s="53"/>
      <c r="AK47" s="53"/>
      <c r="AL47" s="53"/>
      <c r="AM47" s="53"/>
      <c r="AN47" s="53"/>
      <c r="AO47" s="53"/>
      <c r="AP47" s="53"/>
      <c r="AQ47" s="53"/>
      <c r="AR47" s="53"/>
      <c r="AS47" s="53"/>
      <c r="AT47" s="53"/>
      <c r="AU47" s="53"/>
      <c r="AV47" s="53"/>
      <c r="AW47" s="53"/>
      <c r="AX47" s="53"/>
      <c r="AY47" s="53"/>
      <c r="AZ47" s="53"/>
      <c r="BA47" s="53"/>
      <c r="BB47" s="53"/>
      <c r="BC47" s="53"/>
      <c r="BD47" s="53"/>
      <c r="BE47" s="53"/>
      <c r="BF47" s="53"/>
      <c r="BG47" s="53"/>
      <c r="BH47" s="53"/>
      <c r="BI47" s="53"/>
      <c r="BJ47" s="53"/>
      <c r="BK47" s="53"/>
      <c r="BL47" s="53"/>
      <c r="BM47" s="53"/>
      <c r="BN47" s="53"/>
      <c r="BO47" s="51"/>
    </row>
    <row r="48" spans="1:67" x14ac:dyDescent="0.3">
      <c r="A48" s="53"/>
      <c r="B48" s="53"/>
      <c r="C48" s="53"/>
      <c r="D48" s="53"/>
      <c r="E48" s="53"/>
      <c r="F48" s="53"/>
      <c r="G48" s="53"/>
      <c r="H48" s="53"/>
      <c r="I48" s="53"/>
      <c r="J48" s="53"/>
      <c r="K48" s="53"/>
      <c r="L48" s="53"/>
      <c r="M48" s="53"/>
      <c r="N48" s="53"/>
      <c r="O48" s="53"/>
      <c r="P48" s="53"/>
      <c r="Q48" s="53"/>
      <c r="R48" s="53"/>
      <c r="S48" s="53"/>
      <c r="T48" s="53"/>
      <c r="U48" s="53"/>
      <c r="V48" s="53"/>
      <c r="W48" s="53"/>
      <c r="X48" s="53"/>
      <c r="Y48" s="53"/>
      <c r="Z48" s="53"/>
      <c r="AA48" s="53"/>
      <c r="AB48" s="53"/>
      <c r="AC48" s="53"/>
      <c r="AD48" s="53"/>
      <c r="AE48" s="53"/>
      <c r="AF48" s="53"/>
      <c r="AG48" s="53"/>
      <c r="AH48" s="53"/>
      <c r="AI48" s="53"/>
      <c r="AJ48" s="53"/>
      <c r="AK48" s="53"/>
      <c r="AL48" s="53"/>
      <c r="AM48" s="53"/>
      <c r="AN48" s="53"/>
      <c r="AO48" s="53"/>
      <c r="AP48" s="53"/>
      <c r="AQ48" s="53"/>
      <c r="AR48" s="53"/>
      <c r="AS48" s="53"/>
      <c r="AT48" s="53"/>
      <c r="AU48" s="53"/>
      <c r="AV48" s="53"/>
      <c r="AW48" s="53"/>
      <c r="AX48" s="53"/>
      <c r="AY48" s="53"/>
      <c r="AZ48" s="53"/>
      <c r="BA48" s="53"/>
      <c r="BB48" s="53"/>
      <c r="BC48" s="53"/>
      <c r="BD48" s="53"/>
      <c r="BE48" s="53"/>
      <c r="BF48" s="53"/>
      <c r="BG48" s="53"/>
      <c r="BH48" s="53"/>
      <c r="BI48" s="53"/>
      <c r="BJ48" s="53"/>
      <c r="BK48" s="53"/>
      <c r="BL48" s="53"/>
      <c r="BM48" s="53"/>
      <c r="BN48" s="53"/>
      <c r="BO48" s="51"/>
    </row>
    <row r="49" spans="1:67" x14ac:dyDescent="0.3">
      <c r="A49" s="53"/>
      <c r="B49" s="53"/>
      <c r="C49" s="53"/>
      <c r="D49" s="53"/>
      <c r="E49" s="53"/>
      <c r="F49" s="53"/>
      <c r="G49" s="53"/>
      <c r="H49" s="53"/>
      <c r="I49" s="53"/>
      <c r="J49" s="53"/>
      <c r="K49" s="53"/>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3"/>
      <c r="AR49" s="53"/>
      <c r="AS49" s="53"/>
      <c r="AT49" s="53"/>
      <c r="AU49" s="53"/>
      <c r="AV49" s="53"/>
      <c r="AW49" s="53"/>
      <c r="AX49" s="53"/>
      <c r="AY49" s="53"/>
      <c r="AZ49" s="53"/>
      <c r="BA49" s="53"/>
      <c r="BB49" s="53"/>
      <c r="BC49" s="53"/>
      <c r="BD49" s="53"/>
      <c r="BE49" s="53"/>
      <c r="BF49" s="53"/>
      <c r="BG49" s="53"/>
      <c r="BH49" s="53"/>
      <c r="BI49" s="53"/>
      <c r="BJ49" s="53"/>
      <c r="BK49" s="53"/>
      <c r="BL49" s="53"/>
      <c r="BM49" s="53"/>
      <c r="BN49" s="53"/>
      <c r="BO49" s="51"/>
    </row>
    <row r="50" spans="1:67" x14ac:dyDescent="0.3">
      <c r="A50" s="53"/>
      <c r="B50" s="53"/>
      <c r="C50" s="53"/>
      <c r="D50" s="53"/>
      <c r="E50" s="53"/>
      <c r="F50" s="53"/>
      <c r="G50" s="53"/>
      <c r="H50" s="53"/>
      <c r="I50" s="53"/>
      <c r="J50" s="53"/>
      <c r="K50" s="53"/>
      <c r="L50" s="53"/>
      <c r="M50" s="53"/>
      <c r="N50" s="53"/>
      <c r="O50" s="53"/>
      <c r="P50" s="53"/>
      <c r="Q50" s="53"/>
      <c r="R50" s="53"/>
      <c r="S50" s="53"/>
      <c r="T50" s="53"/>
      <c r="U50" s="53"/>
      <c r="V50" s="53"/>
      <c r="W50" s="53"/>
      <c r="X50" s="53"/>
      <c r="Y50" s="53"/>
      <c r="Z50" s="53"/>
      <c r="AA50" s="53"/>
      <c r="AB50" s="53"/>
      <c r="AC50" s="53"/>
      <c r="AD50" s="53"/>
      <c r="AE50" s="53"/>
      <c r="AF50" s="53"/>
      <c r="AG50" s="53"/>
      <c r="AH50" s="53"/>
      <c r="AI50" s="53"/>
      <c r="AJ50" s="53"/>
      <c r="AK50" s="53"/>
      <c r="AL50" s="53"/>
      <c r="AM50" s="53"/>
      <c r="AN50" s="53"/>
      <c r="AO50" s="53"/>
      <c r="AP50" s="53"/>
      <c r="AQ50" s="53"/>
      <c r="AR50" s="53"/>
      <c r="AS50" s="53"/>
      <c r="AT50" s="53"/>
      <c r="AU50" s="53"/>
      <c r="AV50" s="53"/>
      <c r="AW50" s="53"/>
      <c r="AX50" s="53"/>
      <c r="AY50" s="53"/>
      <c r="AZ50" s="53"/>
      <c r="BA50" s="53"/>
      <c r="BB50" s="53"/>
      <c r="BC50" s="53"/>
      <c r="BD50" s="53"/>
      <c r="BE50" s="53"/>
      <c r="BF50" s="53"/>
      <c r="BG50" s="53"/>
      <c r="BH50" s="53"/>
      <c r="BI50" s="53"/>
      <c r="BJ50" s="53"/>
      <c r="BK50" s="53"/>
      <c r="BL50" s="53"/>
      <c r="BM50" s="53"/>
      <c r="BN50" s="53"/>
      <c r="BO50" s="51"/>
    </row>
    <row r="51" spans="1:67" x14ac:dyDescent="0.3">
      <c r="A51" s="53"/>
      <c r="B51" s="53"/>
      <c r="C51" s="53"/>
      <c r="D51" s="53"/>
      <c r="E51" s="53"/>
      <c r="F51" s="53"/>
      <c r="G51" s="53"/>
      <c r="H51" s="53"/>
      <c r="I51" s="53"/>
      <c r="J51" s="53"/>
      <c r="K51" s="53"/>
      <c r="L51" s="53"/>
      <c r="M51" s="53"/>
      <c r="N51" s="53"/>
      <c r="O51" s="53"/>
      <c r="P51" s="53"/>
      <c r="Q51" s="53"/>
      <c r="R51" s="53"/>
      <c r="S51" s="53"/>
      <c r="T51" s="53"/>
      <c r="U51" s="53"/>
      <c r="V51" s="53"/>
      <c r="W51" s="53"/>
      <c r="X51" s="53"/>
      <c r="Y51" s="53"/>
      <c r="Z51" s="53"/>
      <c r="AA51" s="53"/>
      <c r="AB51" s="53"/>
      <c r="AC51" s="53"/>
      <c r="AD51" s="53"/>
      <c r="AE51" s="53"/>
      <c r="AF51" s="53"/>
      <c r="AG51" s="53"/>
      <c r="AH51" s="53"/>
      <c r="AI51" s="53"/>
      <c r="AJ51" s="53"/>
      <c r="AK51" s="53"/>
      <c r="AL51" s="53"/>
      <c r="AM51" s="53"/>
      <c r="AN51" s="53"/>
      <c r="AO51" s="53"/>
      <c r="AP51" s="53"/>
      <c r="AQ51" s="53"/>
      <c r="AR51" s="53"/>
      <c r="AS51" s="53"/>
      <c r="AT51" s="53"/>
      <c r="AU51" s="53"/>
      <c r="AV51" s="53"/>
      <c r="AW51" s="53"/>
      <c r="AX51" s="53"/>
      <c r="AY51" s="53"/>
      <c r="AZ51" s="53"/>
      <c r="BA51" s="53"/>
      <c r="BB51" s="53"/>
      <c r="BC51" s="53"/>
      <c r="BD51" s="53"/>
      <c r="BE51" s="53"/>
      <c r="BF51" s="53"/>
      <c r="BG51" s="53"/>
      <c r="BH51" s="53"/>
      <c r="BI51" s="53"/>
      <c r="BJ51" s="53"/>
      <c r="BK51" s="53"/>
      <c r="BL51" s="53"/>
      <c r="BM51" s="53"/>
      <c r="BN51" s="53"/>
      <c r="BO51" s="51"/>
    </row>
    <row r="52" spans="1:67" x14ac:dyDescent="0.3">
      <c r="A52" s="53"/>
      <c r="B52" s="53"/>
      <c r="C52" s="53"/>
      <c r="D52" s="53"/>
      <c r="E52" s="53"/>
      <c r="F52" s="53"/>
      <c r="G52" s="53"/>
      <c r="H52" s="53"/>
      <c r="I52" s="53"/>
      <c r="J52" s="53"/>
      <c r="K52" s="53"/>
      <c r="L52" s="53"/>
      <c r="M52" s="53"/>
      <c r="N52" s="53"/>
      <c r="O52" s="53"/>
      <c r="P52" s="53"/>
      <c r="Q52" s="5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3"/>
      <c r="AR52" s="53"/>
      <c r="AS52" s="53"/>
      <c r="AT52" s="53"/>
      <c r="AU52" s="53"/>
      <c r="AV52" s="53"/>
      <c r="AW52" s="53"/>
      <c r="AX52" s="53"/>
      <c r="AY52" s="53"/>
      <c r="AZ52" s="53"/>
      <c r="BA52" s="53"/>
      <c r="BB52" s="53"/>
      <c r="BC52" s="53"/>
      <c r="BD52" s="53"/>
      <c r="BE52" s="53"/>
      <c r="BF52" s="53"/>
      <c r="BG52" s="53"/>
      <c r="BH52" s="53"/>
      <c r="BI52" s="53"/>
      <c r="BJ52" s="53"/>
      <c r="BK52" s="53"/>
      <c r="BL52" s="53"/>
      <c r="BM52" s="53"/>
      <c r="BN52" s="53"/>
      <c r="BO52" s="51"/>
    </row>
    <row r="53" spans="1:67" x14ac:dyDescent="0.3">
      <c r="A53" s="53"/>
      <c r="B53" s="53"/>
      <c r="C53" s="53"/>
      <c r="D53" s="53"/>
      <c r="E53" s="53"/>
      <c r="F53" s="53"/>
      <c r="G53" s="53"/>
      <c r="H53" s="53"/>
      <c r="I53" s="53"/>
      <c r="J53" s="53"/>
      <c r="K53" s="53"/>
      <c r="L53" s="53"/>
      <c r="M53" s="53"/>
      <c r="N53" s="53"/>
      <c r="O53" s="53"/>
      <c r="P53" s="53"/>
      <c r="Q53" s="53"/>
      <c r="R53" s="53"/>
      <c r="S53" s="53"/>
      <c r="T53" s="53"/>
      <c r="U53" s="53"/>
      <c r="V53" s="53"/>
      <c r="W53" s="53"/>
      <c r="X53" s="53"/>
      <c r="Y53" s="53"/>
      <c r="Z53" s="53"/>
      <c r="AA53" s="53"/>
      <c r="AB53" s="53"/>
      <c r="AC53" s="53"/>
      <c r="AD53" s="53"/>
      <c r="AE53" s="53"/>
      <c r="AF53" s="53"/>
      <c r="AG53" s="53"/>
      <c r="AH53" s="53"/>
      <c r="AI53" s="53"/>
      <c r="AJ53" s="53"/>
      <c r="AK53" s="53"/>
      <c r="AL53" s="53"/>
      <c r="AM53" s="53"/>
      <c r="AN53" s="53"/>
      <c r="AO53" s="53"/>
      <c r="AP53" s="53"/>
      <c r="AQ53" s="53"/>
      <c r="AR53" s="53"/>
      <c r="AS53" s="53"/>
      <c r="AT53" s="53"/>
      <c r="AU53" s="53"/>
      <c r="AV53" s="53"/>
      <c r="AW53" s="53"/>
      <c r="AX53" s="53"/>
      <c r="AY53" s="53"/>
      <c r="AZ53" s="53"/>
      <c r="BA53" s="53"/>
      <c r="BB53" s="53"/>
      <c r="BC53" s="53"/>
      <c r="BD53" s="53"/>
      <c r="BE53" s="53"/>
      <c r="BF53" s="53"/>
      <c r="BG53" s="53"/>
      <c r="BH53" s="53"/>
      <c r="BI53" s="53"/>
      <c r="BJ53" s="53"/>
      <c r="BK53" s="53"/>
      <c r="BL53" s="53"/>
      <c r="BM53" s="53"/>
      <c r="BN53" s="53"/>
      <c r="BO53" s="51"/>
    </row>
    <row r="54" spans="1:67" x14ac:dyDescent="0.3">
      <c r="A54" s="53"/>
      <c r="B54" s="53"/>
      <c r="C54" s="53"/>
      <c r="D54" s="53"/>
      <c r="E54" s="53"/>
      <c r="F54" s="53"/>
      <c r="G54" s="53"/>
      <c r="H54" s="53"/>
      <c r="I54" s="53"/>
      <c r="J54" s="53"/>
      <c r="K54" s="53"/>
      <c r="L54" s="53"/>
      <c r="M54" s="53"/>
      <c r="N54" s="53"/>
      <c r="O54" s="53"/>
      <c r="P54" s="53"/>
      <c r="Q54" s="53"/>
      <c r="R54" s="53"/>
      <c r="S54" s="53"/>
      <c r="T54" s="53"/>
      <c r="U54" s="53"/>
      <c r="V54" s="53"/>
      <c r="W54" s="53"/>
      <c r="X54" s="53"/>
      <c r="Y54" s="53"/>
      <c r="Z54" s="53"/>
      <c r="AA54" s="53"/>
      <c r="AB54" s="53"/>
      <c r="AC54" s="53"/>
      <c r="AD54" s="53"/>
      <c r="AE54" s="53"/>
      <c r="AF54" s="53"/>
      <c r="AG54" s="53"/>
      <c r="AH54" s="53"/>
      <c r="AI54" s="53"/>
      <c r="AJ54" s="53"/>
      <c r="AK54" s="53"/>
      <c r="AL54" s="53"/>
      <c r="AM54" s="53"/>
      <c r="AN54" s="53"/>
      <c r="AO54" s="53"/>
      <c r="AP54" s="53"/>
      <c r="AQ54" s="53"/>
      <c r="AR54" s="53"/>
      <c r="AS54" s="53"/>
      <c r="AT54" s="53"/>
      <c r="AU54" s="53"/>
      <c r="AV54" s="53"/>
      <c r="AW54" s="53"/>
      <c r="AX54" s="53"/>
      <c r="AY54" s="53"/>
      <c r="AZ54" s="53"/>
      <c r="BA54" s="53"/>
      <c r="BB54" s="53"/>
      <c r="BC54" s="53"/>
      <c r="BD54" s="53"/>
      <c r="BE54" s="53"/>
      <c r="BF54" s="53"/>
      <c r="BG54" s="53"/>
      <c r="BH54" s="53"/>
      <c r="BI54" s="53"/>
      <c r="BJ54" s="53"/>
      <c r="BK54" s="53"/>
      <c r="BL54" s="53"/>
      <c r="BM54" s="53"/>
      <c r="BN54" s="53"/>
      <c r="BO54" s="51"/>
    </row>
    <row r="55" spans="1:67" x14ac:dyDescent="0.3">
      <c r="A55" s="53"/>
      <c r="B55" s="53"/>
      <c r="C55" s="53"/>
      <c r="D55" s="53"/>
      <c r="E55" s="53"/>
      <c r="F55" s="53"/>
      <c r="G55" s="53"/>
      <c r="H55" s="53"/>
      <c r="I55" s="53"/>
      <c r="J55" s="53"/>
      <c r="K55" s="53"/>
      <c r="L55" s="53"/>
      <c r="M55" s="53"/>
      <c r="N55" s="53"/>
      <c r="O55" s="53"/>
      <c r="P55" s="53"/>
      <c r="Q55" s="53"/>
      <c r="R55" s="53"/>
      <c r="S55" s="53"/>
      <c r="T55" s="53"/>
      <c r="U55" s="53"/>
      <c r="V55" s="53"/>
      <c r="W55" s="53"/>
      <c r="X55" s="53"/>
      <c r="Y55" s="53"/>
      <c r="Z55" s="53"/>
      <c r="AA55" s="53"/>
      <c r="AB55" s="53"/>
      <c r="AC55" s="53"/>
      <c r="AD55" s="53"/>
      <c r="AE55" s="53"/>
      <c r="AF55" s="53"/>
      <c r="AG55" s="53"/>
      <c r="AH55" s="53"/>
      <c r="AI55" s="53"/>
      <c r="AJ55" s="53"/>
      <c r="AK55" s="53"/>
      <c r="AL55" s="53"/>
      <c r="AM55" s="53"/>
      <c r="AN55" s="53"/>
      <c r="AO55" s="53"/>
      <c r="AP55" s="53"/>
      <c r="AQ55" s="53"/>
      <c r="AR55" s="53"/>
      <c r="AS55" s="53"/>
      <c r="AT55" s="53"/>
      <c r="AU55" s="53"/>
      <c r="AV55" s="53"/>
      <c r="AW55" s="53"/>
      <c r="AX55" s="53"/>
      <c r="AY55" s="53"/>
      <c r="AZ55" s="53"/>
      <c r="BA55" s="53"/>
      <c r="BB55" s="53"/>
      <c r="BC55" s="53"/>
      <c r="BD55" s="53"/>
      <c r="BE55" s="53"/>
      <c r="BF55" s="53"/>
      <c r="BG55" s="53"/>
      <c r="BH55" s="53"/>
      <c r="BI55" s="53"/>
      <c r="BJ55" s="53"/>
      <c r="BK55" s="53"/>
      <c r="BL55" s="53"/>
      <c r="BM55" s="53"/>
      <c r="BN55" s="53"/>
      <c r="BO55" s="51"/>
    </row>
    <row r="56" spans="1:67" x14ac:dyDescent="0.3">
      <c r="A56" s="53"/>
      <c r="B56" s="53"/>
      <c r="C56" s="53"/>
      <c r="D56" s="53"/>
      <c r="E56" s="53"/>
      <c r="F56" s="53"/>
      <c r="G56" s="53"/>
      <c r="H56" s="53"/>
      <c r="I56" s="53"/>
      <c r="J56" s="53"/>
      <c r="K56" s="53"/>
      <c r="L56" s="53"/>
      <c r="M56" s="53"/>
      <c r="N56" s="53"/>
      <c r="O56" s="53"/>
      <c r="P56" s="53"/>
      <c r="Q56" s="53"/>
      <c r="R56" s="53"/>
      <c r="S56" s="53"/>
      <c r="T56" s="53"/>
      <c r="U56" s="53"/>
      <c r="V56" s="53"/>
      <c r="W56" s="53"/>
      <c r="X56" s="53"/>
      <c r="Y56" s="53"/>
      <c r="Z56" s="53"/>
      <c r="AA56" s="53"/>
      <c r="AB56" s="53"/>
      <c r="AC56" s="53"/>
      <c r="AD56" s="53"/>
      <c r="AE56" s="53"/>
      <c r="AF56" s="53"/>
      <c r="AG56" s="53"/>
      <c r="AH56" s="53"/>
      <c r="AI56" s="53"/>
      <c r="AJ56" s="53"/>
      <c r="AK56" s="53"/>
      <c r="AL56" s="53"/>
      <c r="AM56" s="53"/>
      <c r="AN56" s="53"/>
      <c r="AO56" s="53"/>
      <c r="AP56" s="53"/>
      <c r="AQ56" s="53"/>
      <c r="AR56" s="53"/>
      <c r="AS56" s="53"/>
      <c r="AT56" s="53"/>
      <c r="AU56" s="53"/>
      <c r="AV56" s="53"/>
      <c r="AW56" s="53"/>
      <c r="AX56" s="53"/>
      <c r="AY56" s="53"/>
      <c r="AZ56" s="53"/>
      <c r="BA56" s="53"/>
      <c r="BB56" s="53"/>
      <c r="BC56" s="53"/>
      <c r="BD56" s="53"/>
      <c r="BE56" s="53"/>
      <c r="BF56" s="53"/>
      <c r="BG56" s="53"/>
      <c r="BH56" s="53"/>
      <c r="BI56" s="53"/>
      <c r="BJ56" s="53"/>
      <c r="BK56" s="53"/>
      <c r="BL56" s="53"/>
      <c r="BM56" s="53"/>
      <c r="BN56" s="53"/>
      <c r="BO56" s="51"/>
    </row>
    <row r="57" spans="1:67" x14ac:dyDescent="0.3">
      <c r="A57" s="53"/>
      <c r="B57" s="53"/>
      <c r="C57" s="53"/>
      <c r="D57" s="53"/>
      <c r="E57" s="53"/>
      <c r="F57" s="53"/>
      <c r="G57" s="53"/>
      <c r="H57" s="53"/>
      <c r="I57" s="53"/>
      <c r="J57" s="53"/>
      <c r="K57" s="53"/>
      <c r="L57" s="53"/>
      <c r="M57" s="53"/>
      <c r="N57" s="53"/>
      <c r="O57" s="53"/>
      <c r="P57" s="53"/>
      <c r="Q57" s="53"/>
      <c r="R57" s="53"/>
      <c r="S57" s="53"/>
      <c r="T57" s="53"/>
      <c r="U57" s="53"/>
      <c r="V57" s="53"/>
      <c r="W57" s="53"/>
      <c r="X57" s="53"/>
      <c r="Y57" s="53"/>
      <c r="Z57" s="53"/>
      <c r="AA57" s="53"/>
      <c r="AB57" s="53"/>
      <c r="AC57" s="53"/>
      <c r="AD57" s="53"/>
      <c r="AE57" s="53"/>
      <c r="AF57" s="53"/>
      <c r="AG57" s="53"/>
      <c r="AH57" s="53"/>
      <c r="AI57" s="53"/>
      <c r="AJ57" s="53"/>
      <c r="AK57" s="53"/>
      <c r="AL57" s="53"/>
      <c r="AM57" s="53"/>
      <c r="AN57" s="53"/>
      <c r="AO57" s="53"/>
      <c r="AP57" s="53"/>
      <c r="AQ57" s="53"/>
      <c r="AR57" s="53"/>
      <c r="AS57" s="53"/>
      <c r="AT57" s="53"/>
      <c r="AU57" s="53"/>
      <c r="AV57" s="53"/>
      <c r="AW57" s="53"/>
      <c r="AX57" s="53"/>
      <c r="AY57" s="53"/>
      <c r="AZ57" s="53"/>
      <c r="BA57" s="53"/>
      <c r="BB57" s="53"/>
      <c r="BC57" s="53"/>
      <c r="BD57" s="53"/>
      <c r="BE57" s="53"/>
      <c r="BF57" s="53"/>
      <c r="BG57" s="53"/>
      <c r="BH57" s="53"/>
      <c r="BI57" s="53"/>
      <c r="BJ57" s="53"/>
      <c r="BK57" s="53"/>
      <c r="BL57" s="53"/>
      <c r="BM57" s="53"/>
      <c r="BN57" s="53"/>
      <c r="BO57" s="51"/>
    </row>
    <row r="58" spans="1:67" x14ac:dyDescent="0.3">
      <c r="A58" s="53"/>
      <c r="B58" s="53"/>
      <c r="C58" s="53"/>
      <c r="D58" s="53"/>
      <c r="E58" s="53"/>
      <c r="F58" s="53"/>
      <c r="G58" s="53"/>
      <c r="H58" s="53"/>
      <c r="I58" s="53"/>
      <c r="J58" s="53"/>
      <c r="K58" s="53"/>
      <c r="L58" s="53"/>
      <c r="M58" s="53"/>
      <c r="N58" s="53"/>
      <c r="O58" s="53"/>
      <c r="P58" s="53"/>
      <c r="Q58" s="53"/>
      <c r="R58" s="53"/>
      <c r="S58" s="53"/>
      <c r="T58" s="53"/>
      <c r="U58" s="53"/>
      <c r="V58" s="53"/>
      <c r="W58" s="53"/>
      <c r="X58" s="53"/>
      <c r="Y58" s="53"/>
      <c r="Z58" s="53"/>
      <c r="AA58" s="53"/>
      <c r="AB58" s="53"/>
      <c r="AC58" s="53"/>
      <c r="AD58" s="53"/>
      <c r="AE58" s="53"/>
      <c r="AF58" s="53"/>
      <c r="AG58" s="53"/>
      <c r="AH58" s="53"/>
      <c r="AI58" s="53"/>
      <c r="AJ58" s="53"/>
      <c r="AK58" s="53"/>
      <c r="AL58" s="53"/>
      <c r="AM58" s="53"/>
      <c r="AN58" s="53"/>
      <c r="AO58" s="53"/>
      <c r="AP58" s="53"/>
      <c r="AQ58" s="53"/>
      <c r="AR58" s="53"/>
      <c r="AS58" s="53"/>
      <c r="AT58" s="53"/>
      <c r="AU58" s="53"/>
      <c r="AV58" s="53"/>
      <c r="AW58" s="53"/>
      <c r="AX58" s="53"/>
      <c r="AY58" s="53"/>
      <c r="AZ58" s="53"/>
      <c r="BA58" s="53"/>
      <c r="BB58" s="53"/>
      <c r="BC58" s="53"/>
      <c r="BD58" s="53"/>
      <c r="BE58" s="53"/>
      <c r="BF58" s="53"/>
      <c r="BG58" s="53"/>
      <c r="BH58" s="53"/>
      <c r="BI58" s="53"/>
      <c r="BJ58" s="53"/>
      <c r="BK58" s="53"/>
      <c r="BL58" s="53"/>
      <c r="BM58" s="53"/>
      <c r="BN58" s="53"/>
      <c r="BO58" s="51"/>
    </row>
    <row r="59" spans="1:67" x14ac:dyDescent="0.3">
      <c r="A59" s="53"/>
      <c r="B59" s="53"/>
      <c r="C59" s="53"/>
      <c r="D59" s="53"/>
      <c r="E59" s="53"/>
      <c r="F59" s="53"/>
      <c r="G59" s="53"/>
      <c r="H59" s="53"/>
      <c r="I59" s="53"/>
      <c r="J59" s="53"/>
      <c r="K59" s="53"/>
      <c r="L59" s="53"/>
      <c r="M59" s="53"/>
      <c r="N59" s="53"/>
      <c r="O59" s="53"/>
      <c r="P59" s="53"/>
      <c r="Q59" s="53"/>
      <c r="R59" s="53"/>
      <c r="S59" s="53"/>
      <c r="T59" s="53"/>
      <c r="U59" s="53"/>
      <c r="V59" s="53"/>
      <c r="W59" s="53"/>
      <c r="X59" s="53"/>
      <c r="Y59" s="53"/>
      <c r="Z59" s="53"/>
      <c r="AA59" s="53"/>
      <c r="AB59" s="53"/>
      <c r="AC59" s="53"/>
      <c r="AD59" s="53"/>
      <c r="AE59" s="53"/>
      <c r="AF59" s="53"/>
      <c r="AG59" s="53"/>
      <c r="AH59" s="53"/>
      <c r="AI59" s="53"/>
      <c r="AJ59" s="53"/>
      <c r="AK59" s="53"/>
      <c r="AL59" s="53"/>
      <c r="AM59" s="53"/>
      <c r="AN59" s="53"/>
      <c r="AO59" s="53"/>
      <c r="AP59" s="53"/>
      <c r="AQ59" s="53"/>
      <c r="AR59" s="53"/>
      <c r="AS59" s="53"/>
      <c r="AT59" s="53"/>
      <c r="AU59" s="53"/>
      <c r="AV59" s="53"/>
      <c r="AW59" s="53"/>
      <c r="AX59" s="53"/>
      <c r="AY59" s="53"/>
      <c r="AZ59" s="53"/>
      <c r="BA59" s="53"/>
      <c r="BB59" s="53"/>
      <c r="BC59" s="53"/>
      <c r="BD59" s="53"/>
      <c r="BE59" s="53"/>
      <c r="BF59" s="53"/>
      <c r="BG59" s="53"/>
      <c r="BH59" s="53"/>
      <c r="BI59" s="53"/>
      <c r="BJ59" s="53"/>
      <c r="BK59" s="53"/>
      <c r="BL59" s="53"/>
      <c r="BM59" s="53"/>
      <c r="BN59" s="53"/>
      <c r="BO59" s="51"/>
    </row>
    <row r="60" spans="1:67" x14ac:dyDescent="0.3">
      <c r="A60" s="53"/>
      <c r="B60" s="53"/>
      <c r="C60" s="53"/>
      <c r="D60" s="53"/>
      <c r="E60" s="53"/>
      <c r="F60" s="53"/>
      <c r="G60" s="53"/>
      <c r="H60" s="53"/>
      <c r="I60" s="53"/>
      <c r="J60" s="53"/>
      <c r="K60" s="53"/>
      <c r="L60" s="53"/>
      <c r="M60" s="53"/>
      <c r="N60" s="53"/>
      <c r="O60" s="53"/>
      <c r="P60" s="53"/>
      <c r="Q60" s="53"/>
      <c r="R60" s="53"/>
      <c r="S60" s="53"/>
      <c r="T60" s="53"/>
      <c r="U60" s="53"/>
      <c r="V60" s="53"/>
      <c r="W60" s="53"/>
      <c r="X60" s="53"/>
      <c r="Y60" s="53"/>
      <c r="Z60" s="53"/>
      <c r="AA60" s="53"/>
      <c r="AB60" s="53"/>
      <c r="AC60" s="53"/>
      <c r="AD60" s="53"/>
      <c r="AE60" s="53"/>
      <c r="AF60" s="53"/>
      <c r="AG60" s="53"/>
      <c r="AH60" s="53"/>
      <c r="AI60" s="53"/>
      <c r="AJ60" s="53"/>
      <c r="AK60" s="53"/>
      <c r="AL60" s="53"/>
      <c r="AM60" s="53"/>
      <c r="AN60" s="53"/>
      <c r="AO60" s="53"/>
      <c r="AP60" s="53"/>
      <c r="AQ60" s="53"/>
      <c r="AR60" s="53"/>
      <c r="AS60" s="53"/>
      <c r="AT60" s="53"/>
      <c r="AU60" s="53"/>
      <c r="AV60" s="53"/>
      <c r="AW60" s="53"/>
      <c r="AX60" s="53"/>
      <c r="AY60" s="53"/>
      <c r="AZ60" s="53"/>
      <c r="BA60" s="53"/>
      <c r="BB60" s="53"/>
      <c r="BC60" s="53"/>
      <c r="BD60" s="53"/>
      <c r="BE60" s="53"/>
      <c r="BF60" s="53"/>
      <c r="BG60" s="53"/>
      <c r="BH60" s="53"/>
      <c r="BI60" s="53"/>
      <c r="BJ60" s="53"/>
      <c r="BK60" s="53"/>
      <c r="BL60" s="53"/>
      <c r="BM60" s="53"/>
      <c r="BN60" s="53"/>
      <c r="BO60" s="51"/>
    </row>
    <row r="61" spans="1:67" x14ac:dyDescent="0.3">
      <c r="A61" s="53"/>
      <c r="B61" s="53"/>
      <c r="C61" s="53"/>
      <c r="D61" s="53"/>
      <c r="E61" s="53"/>
      <c r="F61" s="53"/>
      <c r="G61" s="53"/>
      <c r="H61" s="53"/>
      <c r="I61" s="53"/>
      <c r="J61" s="53"/>
      <c r="K61" s="53"/>
      <c r="L61" s="53"/>
      <c r="M61" s="53"/>
      <c r="N61" s="53"/>
      <c r="O61" s="53"/>
      <c r="P61" s="53"/>
      <c r="Q61" s="53"/>
      <c r="R61" s="53"/>
      <c r="S61" s="53"/>
      <c r="T61" s="53"/>
      <c r="U61" s="53"/>
      <c r="V61" s="53"/>
      <c r="W61" s="53"/>
      <c r="X61" s="53"/>
      <c r="Y61" s="53"/>
      <c r="Z61" s="53"/>
      <c r="AA61" s="53"/>
      <c r="AB61" s="53"/>
      <c r="AC61" s="53"/>
      <c r="AD61" s="53"/>
      <c r="AE61" s="53"/>
      <c r="AF61" s="53"/>
      <c r="AG61" s="53"/>
      <c r="AH61" s="53"/>
      <c r="AI61" s="53"/>
      <c r="AJ61" s="53"/>
      <c r="AK61" s="53"/>
      <c r="AL61" s="53"/>
      <c r="AM61" s="53"/>
      <c r="AN61" s="53"/>
      <c r="AO61" s="53"/>
      <c r="AP61" s="53"/>
      <c r="AQ61" s="53"/>
      <c r="AR61" s="53"/>
      <c r="AS61" s="53"/>
      <c r="AT61" s="53"/>
      <c r="AU61" s="53"/>
      <c r="AV61" s="53"/>
      <c r="AW61" s="53"/>
      <c r="AX61" s="53"/>
      <c r="AY61" s="53"/>
      <c r="AZ61" s="53"/>
      <c r="BA61" s="53"/>
      <c r="BB61" s="53"/>
      <c r="BC61" s="53"/>
      <c r="BD61" s="53"/>
      <c r="BE61" s="53"/>
      <c r="BF61" s="53"/>
      <c r="BG61" s="53"/>
      <c r="BH61" s="53"/>
      <c r="BI61" s="53"/>
      <c r="BJ61" s="53"/>
      <c r="BK61" s="53"/>
      <c r="BL61" s="53"/>
      <c r="BM61" s="53"/>
      <c r="BN61" s="53"/>
      <c r="BO61" s="51"/>
    </row>
    <row r="62" spans="1:67" x14ac:dyDescent="0.3">
      <c r="A62" s="53"/>
      <c r="B62" s="53"/>
      <c r="C62" s="53"/>
      <c r="D62" s="53"/>
      <c r="E62" s="53"/>
      <c r="F62" s="53"/>
      <c r="G62" s="53"/>
      <c r="H62" s="53"/>
      <c r="I62" s="53"/>
      <c r="J62" s="53"/>
      <c r="K62" s="53"/>
      <c r="L62" s="53"/>
      <c r="M62" s="53"/>
      <c r="N62" s="53"/>
      <c r="O62" s="53"/>
      <c r="P62" s="53"/>
      <c r="Q62" s="53"/>
      <c r="R62" s="53"/>
      <c r="S62" s="53"/>
      <c r="T62" s="53"/>
      <c r="U62" s="53"/>
      <c r="V62" s="53"/>
      <c r="W62" s="53"/>
      <c r="X62" s="53"/>
      <c r="Y62" s="53"/>
      <c r="Z62" s="53"/>
      <c r="AA62" s="53"/>
      <c r="AB62" s="53"/>
      <c r="AC62" s="53"/>
      <c r="AD62" s="53"/>
      <c r="AE62" s="53"/>
      <c r="AF62" s="53"/>
      <c r="AG62" s="53"/>
      <c r="AH62" s="53"/>
      <c r="AI62" s="53"/>
      <c r="AJ62" s="53"/>
      <c r="AK62" s="53"/>
      <c r="AL62" s="53"/>
      <c r="AM62" s="53"/>
      <c r="AN62" s="53"/>
      <c r="AO62" s="53"/>
      <c r="AP62" s="53"/>
      <c r="AQ62" s="53"/>
      <c r="AR62" s="53"/>
      <c r="AS62" s="53"/>
      <c r="AT62" s="53"/>
      <c r="AU62" s="53"/>
      <c r="AV62" s="53"/>
      <c r="AW62" s="53"/>
      <c r="AX62" s="53"/>
      <c r="AY62" s="53"/>
      <c r="AZ62" s="53"/>
      <c r="BA62" s="53"/>
      <c r="BB62" s="53"/>
      <c r="BC62" s="53"/>
      <c r="BD62" s="53"/>
      <c r="BE62" s="53"/>
      <c r="BF62" s="53"/>
      <c r="BG62" s="53"/>
      <c r="BH62" s="53"/>
      <c r="BI62" s="53"/>
      <c r="BJ62" s="53"/>
      <c r="BK62" s="53"/>
      <c r="BL62" s="53"/>
      <c r="BM62" s="53"/>
      <c r="BN62" s="53"/>
      <c r="BO62" s="51"/>
    </row>
    <row r="63" spans="1:67" x14ac:dyDescent="0.3">
      <c r="A63" s="53"/>
      <c r="B63" s="53"/>
      <c r="C63" s="53"/>
      <c r="D63" s="53"/>
      <c r="E63" s="53"/>
      <c r="F63" s="53"/>
      <c r="G63" s="53"/>
      <c r="H63" s="53"/>
      <c r="I63" s="53"/>
      <c r="J63" s="53"/>
      <c r="K63" s="53"/>
      <c r="L63" s="53"/>
      <c r="M63" s="53"/>
      <c r="N63" s="53"/>
      <c r="O63" s="53"/>
      <c r="P63" s="53"/>
      <c r="Q63" s="53"/>
      <c r="R63" s="53"/>
      <c r="S63" s="53"/>
      <c r="T63" s="53"/>
      <c r="U63" s="53"/>
      <c r="V63" s="53"/>
      <c r="W63" s="53"/>
      <c r="X63" s="53"/>
      <c r="Y63" s="53"/>
      <c r="Z63" s="53"/>
      <c r="AA63" s="53"/>
      <c r="AB63" s="53"/>
      <c r="AC63" s="53"/>
      <c r="AD63" s="53"/>
      <c r="AE63" s="53"/>
      <c r="AF63" s="53"/>
      <c r="AG63" s="53"/>
      <c r="AH63" s="53"/>
      <c r="AI63" s="53"/>
      <c r="AJ63" s="53"/>
      <c r="AK63" s="53"/>
      <c r="AL63" s="53"/>
      <c r="AM63" s="53"/>
      <c r="AN63" s="53"/>
      <c r="AO63" s="53"/>
      <c r="AP63" s="53"/>
      <c r="AQ63" s="53"/>
      <c r="AR63" s="53"/>
      <c r="AS63" s="53"/>
      <c r="AT63" s="53"/>
      <c r="AU63" s="53"/>
      <c r="AV63" s="53"/>
      <c r="AW63" s="53"/>
      <c r="AX63" s="53"/>
      <c r="AY63" s="53"/>
      <c r="AZ63" s="53"/>
      <c r="BA63" s="53"/>
      <c r="BB63" s="53"/>
      <c r="BC63" s="53"/>
      <c r="BD63" s="53"/>
      <c r="BE63" s="53"/>
      <c r="BF63" s="53"/>
      <c r="BG63" s="53"/>
      <c r="BH63" s="53"/>
      <c r="BI63" s="53"/>
      <c r="BJ63" s="53"/>
      <c r="BK63" s="53"/>
      <c r="BL63" s="53"/>
      <c r="BM63" s="53"/>
      <c r="BN63" s="53"/>
      <c r="BO63" s="51"/>
    </row>
    <row r="64" spans="1:67" x14ac:dyDescent="0.3">
      <c r="A64" s="53"/>
      <c r="B64" s="53"/>
      <c r="C64" s="53"/>
      <c r="D64" s="53"/>
      <c r="E64" s="53"/>
      <c r="F64" s="53"/>
      <c r="G64" s="53"/>
      <c r="H64" s="53"/>
      <c r="I64" s="53"/>
      <c r="J64" s="53"/>
      <c r="K64" s="53"/>
      <c r="L64" s="53"/>
      <c r="M64" s="53"/>
      <c r="N64" s="53"/>
      <c r="O64" s="53"/>
      <c r="P64" s="53"/>
      <c r="Q64" s="53"/>
      <c r="R64" s="53"/>
      <c r="S64" s="53"/>
      <c r="T64" s="53"/>
      <c r="U64" s="53"/>
      <c r="V64" s="53"/>
      <c r="W64" s="53"/>
      <c r="X64" s="53"/>
      <c r="Y64" s="53"/>
      <c r="Z64" s="53"/>
      <c r="AA64" s="53"/>
      <c r="AB64" s="53"/>
      <c r="AC64" s="53"/>
      <c r="AD64" s="53"/>
      <c r="AE64" s="53"/>
      <c r="AF64" s="53"/>
      <c r="AG64" s="53"/>
      <c r="AH64" s="53"/>
      <c r="AI64" s="53"/>
      <c r="AJ64" s="53"/>
      <c r="AK64" s="53"/>
      <c r="AL64" s="53"/>
      <c r="AM64" s="53"/>
      <c r="AN64" s="53"/>
      <c r="AO64" s="53"/>
      <c r="AP64" s="53"/>
      <c r="AQ64" s="53"/>
      <c r="AR64" s="53"/>
      <c r="AS64" s="53"/>
      <c r="AT64" s="53"/>
      <c r="AU64" s="53"/>
      <c r="AV64" s="53"/>
      <c r="AW64" s="53"/>
      <c r="AX64" s="53"/>
      <c r="AY64" s="53"/>
      <c r="AZ64" s="53"/>
      <c r="BA64" s="53"/>
      <c r="BB64" s="53"/>
      <c r="BC64" s="53"/>
      <c r="BD64" s="53"/>
      <c r="BE64" s="53"/>
      <c r="BF64" s="53"/>
      <c r="BG64" s="53"/>
      <c r="BH64" s="53"/>
      <c r="BI64" s="53"/>
      <c r="BJ64" s="53"/>
      <c r="BK64" s="53"/>
      <c r="BL64" s="53"/>
      <c r="BM64" s="53"/>
      <c r="BN64" s="53"/>
      <c r="BO64" s="51"/>
    </row>
    <row r="65" spans="1:67" x14ac:dyDescent="0.3">
      <c r="A65" s="53"/>
      <c r="B65" s="53"/>
      <c r="C65" s="53"/>
      <c r="D65" s="53"/>
      <c r="E65" s="53"/>
      <c r="F65" s="53"/>
      <c r="G65" s="53"/>
      <c r="H65" s="53"/>
      <c r="I65" s="53"/>
      <c r="J65" s="53"/>
      <c r="K65" s="53"/>
      <c r="L65" s="53"/>
      <c r="M65" s="53"/>
      <c r="N65" s="53"/>
      <c r="O65" s="53"/>
      <c r="P65" s="53"/>
      <c r="Q65" s="53"/>
      <c r="R65" s="53"/>
      <c r="S65" s="53"/>
      <c r="T65" s="53"/>
      <c r="U65" s="53"/>
      <c r="V65" s="53"/>
      <c r="W65" s="53"/>
      <c r="X65" s="53"/>
      <c r="Y65" s="53"/>
      <c r="Z65" s="53"/>
      <c r="AA65" s="53"/>
      <c r="AB65" s="53"/>
      <c r="AC65" s="53"/>
      <c r="AD65" s="53"/>
      <c r="AE65" s="53"/>
      <c r="AF65" s="53"/>
      <c r="AG65" s="53"/>
      <c r="AH65" s="53"/>
      <c r="AI65" s="53"/>
      <c r="AJ65" s="53"/>
      <c r="AK65" s="53"/>
      <c r="AL65" s="53"/>
      <c r="AM65" s="53"/>
      <c r="AN65" s="53"/>
      <c r="AO65" s="53"/>
      <c r="AP65" s="53"/>
      <c r="AQ65" s="53"/>
      <c r="AR65" s="53"/>
      <c r="AS65" s="53"/>
      <c r="AT65" s="53"/>
      <c r="AU65" s="53"/>
      <c r="AV65" s="53"/>
      <c r="AW65" s="53"/>
      <c r="AX65" s="53"/>
      <c r="AY65" s="53"/>
      <c r="AZ65" s="53"/>
      <c r="BA65" s="53"/>
      <c r="BB65" s="53"/>
      <c r="BC65" s="53"/>
      <c r="BD65" s="53"/>
      <c r="BE65" s="53"/>
      <c r="BF65" s="53"/>
      <c r="BG65" s="53"/>
      <c r="BH65" s="53"/>
      <c r="BI65" s="53"/>
      <c r="BJ65" s="53"/>
      <c r="BK65" s="53"/>
      <c r="BL65" s="53"/>
      <c r="BM65" s="53"/>
      <c r="BN65" s="53"/>
      <c r="BO65" s="51"/>
    </row>
    <row r="66" spans="1:67" x14ac:dyDescent="0.3">
      <c r="A66" s="53"/>
      <c r="B66" s="53"/>
      <c r="C66" s="53"/>
      <c r="D66" s="53"/>
      <c r="E66" s="53"/>
      <c r="F66" s="53"/>
      <c r="G66" s="53"/>
      <c r="H66" s="53"/>
      <c r="I66" s="53"/>
      <c r="J66" s="53"/>
      <c r="K66" s="53"/>
      <c r="L66" s="53"/>
      <c r="M66" s="53"/>
      <c r="N66" s="53"/>
      <c r="O66" s="53"/>
      <c r="P66" s="53"/>
      <c r="Q66" s="53"/>
      <c r="R66" s="53"/>
      <c r="S66" s="53"/>
      <c r="T66" s="53"/>
      <c r="U66" s="53"/>
      <c r="V66" s="53"/>
      <c r="W66" s="53"/>
      <c r="X66" s="53"/>
      <c r="Y66" s="53"/>
      <c r="Z66" s="53"/>
      <c r="AA66" s="53"/>
      <c r="AB66" s="53"/>
      <c r="AC66" s="53"/>
      <c r="AD66" s="53"/>
      <c r="AE66" s="53"/>
      <c r="AF66" s="53"/>
      <c r="AG66" s="53"/>
      <c r="AH66" s="53"/>
      <c r="AI66" s="53"/>
      <c r="AJ66" s="53"/>
      <c r="AK66" s="53"/>
      <c r="AL66" s="53"/>
      <c r="AM66" s="53"/>
      <c r="AN66" s="53"/>
      <c r="AO66" s="53"/>
      <c r="AP66" s="53"/>
      <c r="AQ66" s="53"/>
      <c r="AR66" s="53"/>
      <c r="AS66" s="53"/>
      <c r="AT66" s="53"/>
      <c r="AU66" s="53"/>
      <c r="AV66" s="53"/>
      <c r="AW66" s="53"/>
      <c r="AX66" s="53"/>
      <c r="AY66" s="53"/>
      <c r="AZ66" s="53"/>
      <c r="BA66" s="53"/>
      <c r="BB66" s="53"/>
      <c r="BC66" s="53"/>
      <c r="BD66" s="53"/>
      <c r="BE66" s="53"/>
      <c r="BF66" s="53"/>
      <c r="BG66" s="53"/>
      <c r="BH66" s="53"/>
      <c r="BI66" s="53"/>
      <c r="BJ66" s="53"/>
      <c r="BK66" s="53"/>
      <c r="BL66" s="53"/>
      <c r="BM66" s="53"/>
      <c r="BN66" s="53"/>
      <c r="BO66" s="51"/>
    </row>
    <row r="67" spans="1:67" x14ac:dyDescent="0.3">
      <c r="A67" s="53"/>
      <c r="B67" s="53"/>
      <c r="C67" s="53"/>
      <c r="D67" s="53"/>
      <c r="E67" s="53"/>
      <c r="F67" s="53"/>
      <c r="G67" s="53"/>
      <c r="H67" s="53"/>
      <c r="I67" s="53"/>
      <c r="J67" s="53"/>
      <c r="K67" s="53"/>
      <c r="L67" s="53"/>
      <c r="M67" s="53"/>
      <c r="N67" s="53"/>
      <c r="O67" s="53"/>
      <c r="P67" s="53"/>
      <c r="Q67" s="53"/>
      <c r="R67" s="53"/>
      <c r="S67" s="53"/>
      <c r="T67" s="53"/>
      <c r="U67" s="53"/>
      <c r="V67" s="53"/>
      <c r="W67" s="53"/>
      <c r="X67" s="53"/>
      <c r="Y67" s="53"/>
      <c r="Z67" s="53"/>
      <c r="AA67" s="53"/>
      <c r="AB67" s="53"/>
      <c r="AC67" s="53"/>
      <c r="AD67" s="53"/>
      <c r="AE67" s="53"/>
      <c r="AF67" s="53"/>
      <c r="AG67" s="53"/>
      <c r="AH67" s="53"/>
      <c r="AI67" s="53"/>
      <c r="AJ67" s="53"/>
      <c r="AK67" s="53"/>
      <c r="AL67" s="53"/>
      <c r="AM67" s="53"/>
      <c r="AN67" s="53"/>
      <c r="AO67" s="53"/>
      <c r="AP67" s="53"/>
      <c r="AQ67" s="53"/>
      <c r="AR67" s="53"/>
      <c r="AS67" s="53"/>
      <c r="AT67" s="53"/>
      <c r="AU67" s="53"/>
      <c r="AV67" s="53"/>
      <c r="AW67" s="53"/>
      <c r="AX67" s="53"/>
      <c r="AY67" s="53"/>
      <c r="AZ67" s="53"/>
      <c r="BA67" s="53"/>
      <c r="BB67" s="53"/>
      <c r="BC67" s="53"/>
      <c r="BD67" s="53"/>
      <c r="BE67" s="53"/>
      <c r="BF67" s="53"/>
      <c r="BG67" s="53"/>
      <c r="BH67" s="53"/>
      <c r="BI67" s="53"/>
      <c r="BJ67" s="53"/>
      <c r="BK67" s="53"/>
      <c r="BL67" s="53"/>
      <c r="BM67" s="53"/>
      <c r="BN67" s="53"/>
      <c r="BO67" s="51"/>
    </row>
    <row r="68" spans="1:67" x14ac:dyDescent="0.3">
      <c r="A68" s="53"/>
      <c r="B68" s="53"/>
      <c r="C68" s="53"/>
      <c r="D68" s="53"/>
      <c r="E68" s="53"/>
      <c r="F68" s="53"/>
      <c r="G68" s="53"/>
      <c r="H68" s="53"/>
      <c r="I68" s="53"/>
      <c r="J68" s="53"/>
      <c r="K68" s="53"/>
      <c r="L68" s="53"/>
      <c r="M68" s="53"/>
      <c r="N68" s="53"/>
      <c r="O68" s="53"/>
      <c r="P68" s="53"/>
      <c r="Q68" s="53"/>
      <c r="R68" s="53"/>
      <c r="S68" s="53"/>
      <c r="T68" s="53"/>
      <c r="U68" s="53"/>
      <c r="V68" s="53"/>
      <c r="W68" s="53"/>
      <c r="X68" s="53"/>
      <c r="Y68" s="53"/>
      <c r="Z68" s="53"/>
      <c r="AA68" s="53"/>
      <c r="AB68" s="53"/>
      <c r="AC68" s="53"/>
      <c r="AD68" s="53"/>
      <c r="AE68" s="53"/>
      <c r="AF68" s="53"/>
      <c r="AG68" s="53"/>
      <c r="AH68" s="53"/>
      <c r="AI68" s="53"/>
      <c r="AJ68" s="53"/>
      <c r="AK68" s="53"/>
      <c r="AL68" s="53"/>
      <c r="AM68" s="53"/>
      <c r="AN68" s="53"/>
      <c r="AO68" s="53"/>
      <c r="AP68" s="53"/>
      <c r="AQ68" s="53"/>
      <c r="AR68" s="53"/>
      <c r="AS68" s="53"/>
      <c r="AT68" s="53"/>
      <c r="AU68" s="53"/>
      <c r="AV68" s="53"/>
      <c r="AW68" s="53"/>
      <c r="AX68" s="53"/>
      <c r="AY68" s="53"/>
      <c r="AZ68" s="53"/>
      <c r="BA68" s="53"/>
      <c r="BB68" s="53"/>
      <c r="BC68" s="53"/>
      <c r="BD68" s="53"/>
      <c r="BE68" s="53"/>
      <c r="BF68" s="53"/>
      <c r="BG68" s="53"/>
      <c r="BH68" s="53"/>
      <c r="BI68" s="53"/>
      <c r="BJ68" s="53"/>
      <c r="BK68" s="53"/>
      <c r="BL68" s="53"/>
      <c r="BM68" s="53"/>
      <c r="BN68" s="53"/>
      <c r="BO68" s="51"/>
    </row>
    <row r="69" spans="1:67" x14ac:dyDescent="0.3">
      <c r="A69" s="53"/>
      <c r="B69" s="53"/>
      <c r="C69" s="53"/>
      <c r="D69" s="53"/>
      <c r="E69" s="53"/>
      <c r="F69" s="53"/>
      <c r="G69" s="53"/>
      <c r="H69" s="53"/>
      <c r="I69" s="53"/>
      <c r="J69" s="53"/>
      <c r="K69" s="53"/>
      <c r="L69" s="53"/>
      <c r="M69" s="53"/>
      <c r="N69" s="53"/>
      <c r="O69" s="53"/>
      <c r="P69" s="53"/>
      <c r="Q69" s="53"/>
      <c r="R69" s="53"/>
      <c r="S69" s="53"/>
      <c r="T69" s="53"/>
      <c r="U69" s="53"/>
      <c r="V69" s="53"/>
      <c r="W69" s="53"/>
      <c r="X69" s="53"/>
      <c r="Y69" s="53"/>
      <c r="Z69" s="53"/>
      <c r="AA69" s="53"/>
      <c r="AB69" s="53"/>
      <c r="AC69" s="53"/>
      <c r="AD69" s="53"/>
      <c r="AE69" s="53"/>
      <c r="AF69" s="53"/>
      <c r="AG69" s="53"/>
      <c r="AH69" s="53"/>
      <c r="AI69" s="53"/>
      <c r="AJ69" s="53"/>
      <c r="AK69" s="53"/>
      <c r="AL69" s="53"/>
      <c r="AM69" s="53"/>
      <c r="AN69" s="53"/>
      <c r="AO69" s="53"/>
      <c r="AP69" s="53"/>
      <c r="AQ69" s="53"/>
      <c r="AR69" s="53"/>
      <c r="AS69" s="53"/>
      <c r="AT69" s="53"/>
      <c r="AU69" s="53"/>
      <c r="AV69" s="53"/>
      <c r="AW69" s="53"/>
      <c r="AX69" s="53"/>
      <c r="AY69" s="53"/>
      <c r="AZ69" s="53"/>
      <c r="BA69" s="53"/>
      <c r="BB69" s="53"/>
      <c r="BC69" s="53"/>
      <c r="BD69" s="53"/>
      <c r="BE69" s="53"/>
      <c r="BF69" s="53"/>
      <c r="BG69" s="53"/>
      <c r="BH69" s="53"/>
      <c r="BI69" s="53"/>
      <c r="BJ69" s="53"/>
      <c r="BK69" s="53"/>
      <c r="BL69" s="53"/>
      <c r="BM69" s="53"/>
      <c r="BN69" s="53"/>
      <c r="BO69" s="51"/>
    </row>
    <row r="70" spans="1:67" x14ac:dyDescent="0.3">
      <c r="A70" s="53"/>
      <c r="B70" s="53"/>
      <c r="C70" s="53"/>
      <c r="D70" s="53"/>
      <c r="E70" s="53"/>
      <c r="F70" s="53"/>
      <c r="G70" s="53"/>
      <c r="H70" s="53"/>
      <c r="I70" s="53"/>
      <c r="J70" s="53"/>
      <c r="K70" s="53"/>
      <c r="L70" s="53"/>
      <c r="M70" s="53"/>
      <c r="N70" s="53"/>
      <c r="O70" s="53"/>
      <c r="P70" s="53"/>
      <c r="Q70" s="53"/>
      <c r="R70" s="53"/>
      <c r="S70" s="53"/>
      <c r="T70" s="53"/>
      <c r="U70" s="53"/>
      <c r="V70" s="53"/>
      <c r="W70" s="53"/>
      <c r="X70" s="53"/>
      <c r="Y70" s="53"/>
      <c r="Z70" s="53"/>
      <c r="AA70" s="53"/>
      <c r="AB70" s="53"/>
      <c r="AC70" s="53"/>
      <c r="AD70" s="53"/>
      <c r="AE70" s="53"/>
      <c r="AF70" s="53"/>
      <c r="AG70" s="53"/>
      <c r="AH70" s="53"/>
      <c r="AI70" s="53"/>
      <c r="AJ70" s="53"/>
      <c r="AK70" s="53"/>
      <c r="AL70" s="53"/>
      <c r="AM70" s="53"/>
      <c r="AN70" s="53"/>
      <c r="AO70" s="53"/>
      <c r="AP70" s="53"/>
      <c r="AQ70" s="53"/>
      <c r="AR70" s="53"/>
      <c r="AS70" s="53"/>
      <c r="AT70" s="53"/>
      <c r="AU70" s="53"/>
      <c r="AV70" s="53"/>
      <c r="AW70" s="53"/>
      <c r="AX70" s="53"/>
      <c r="AY70" s="53"/>
      <c r="AZ70" s="53"/>
      <c r="BA70" s="53"/>
      <c r="BB70" s="53"/>
      <c r="BC70" s="53"/>
      <c r="BD70" s="53"/>
      <c r="BE70" s="53"/>
      <c r="BF70" s="53"/>
      <c r="BG70" s="53"/>
      <c r="BH70" s="53"/>
      <c r="BI70" s="53"/>
      <c r="BJ70" s="53"/>
      <c r="BK70" s="53"/>
      <c r="BL70" s="53"/>
      <c r="BM70" s="53"/>
      <c r="BN70" s="53"/>
      <c r="BO70" s="51"/>
    </row>
    <row r="71" spans="1:67" x14ac:dyDescent="0.3">
      <c r="A71" s="53"/>
      <c r="B71" s="53"/>
      <c r="C71" s="53"/>
      <c r="D71" s="53"/>
      <c r="E71" s="53"/>
      <c r="F71" s="53"/>
      <c r="G71" s="53"/>
      <c r="H71" s="53"/>
      <c r="I71" s="53"/>
      <c r="J71" s="53"/>
      <c r="K71" s="53"/>
      <c r="L71" s="53"/>
      <c r="M71" s="53"/>
      <c r="N71" s="53"/>
      <c r="O71" s="53"/>
      <c r="P71" s="53"/>
      <c r="Q71" s="53"/>
      <c r="R71" s="53"/>
      <c r="S71" s="53"/>
      <c r="T71" s="53"/>
      <c r="U71" s="53"/>
      <c r="V71" s="53"/>
      <c r="W71" s="53"/>
      <c r="X71" s="53"/>
      <c r="Y71" s="53"/>
      <c r="Z71" s="53"/>
      <c r="AA71" s="53"/>
      <c r="AB71" s="53"/>
      <c r="AC71" s="53"/>
      <c r="AD71" s="53"/>
      <c r="AE71" s="53"/>
      <c r="AF71" s="53"/>
      <c r="AG71" s="53"/>
      <c r="AH71" s="53"/>
      <c r="AI71" s="53"/>
      <c r="AJ71" s="53"/>
      <c r="AK71" s="53"/>
      <c r="AL71" s="53"/>
      <c r="AM71" s="53"/>
      <c r="AN71" s="53"/>
      <c r="AO71" s="53"/>
      <c r="AP71" s="53"/>
      <c r="AQ71" s="53"/>
      <c r="AR71" s="53"/>
      <c r="AS71" s="53"/>
      <c r="AT71" s="53"/>
      <c r="AU71" s="53"/>
      <c r="AV71" s="53"/>
      <c r="AW71" s="53"/>
      <c r="AX71" s="53"/>
      <c r="AY71" s="53"/>
      <c r="AZ71" s="53"/>
      <c r="BA71" s="53"/>
      <c r="BB71" s="53"/>
      <c r="BC71" s="53"/>
      <c r="BD71" s="53"/>
      <c r="BE71" s="53"/>
      <c r="BF71" s="53"/>
      <c r="BG71" s="53"/>
      <c r="BH71" s="53"/>
      <c r="BI71" s="53"/>
      <c r="BJ71" s="53"/>
      <c r="BK71" s="53"/>
      <c r="BL71" s="53"/>
      <c r="BM71" s="53"/>
      <c r="BN71" s="53"/>
      <c r="BO71" s="51"/>
    </row>
    <row r="72" spans="1:67" x14ac:dyDescent="0.3">
      <c r="A72" s="53"/>
      <c r="B72" s="53"/>
      <c r="C72" s="53"/>
      <c r="D72" s="53"/>
      <c r="E72" s="53"/>
      <c r="F72" s="53"/>
      <c r="G72" s="53"/>
      <c r="H72" s="53"/>
      <c r="I72" s="53"/>
      <c r="J72" s="53"/>
      <c r="K72" s="53"/>
      <c r="L72" s="53"/>
      <c r="M72" s="53"/>
      <c r="N72" s="53"/>
      <c r="O72" s="53"/>
      <c r="P72" s="53"/>
      <c r="Q72" s="53"/>
      <c r="R72" s="53"/>
      <c r="S72" s="53"/>
      <c r="T72" s="53"/>
      <c r="U72" s="53"/>
      <c r="V72" s="53"/>
      <c r="W72" s="53"/>
      <c r="X72" s="53"/>
      <c r="Y72" s="53"/>
      <c r="Z72" s="53"/>
      <c r="AA72" s="53"/>
      <c r="AB72" s="53"/>
      <c r="AC72" s="53"/>
      <c r="AD72" s="53"/>
      <c r="AE72" s="53"/>
      <c r="AF72" s="53"/>
      <c r="AG72" s="53"/>
      <c r="AH72" s="53"/>
      <c r="AI72" s="53"/>
      <c r="AJ72" s="53"/>
      <c r="AK72" s="53"/>
      <c r="AL72" s="53"/>
      <c r="AM72" s="53"/>
      <c r="AN72" s="53"/>
      <c r="AO72" s="53"/>
      <c r="AP72" s="53"/>
      <c r="AQ72" s="53"/>
      <c r="AR72" s="53"/>
      <c r="AS72" s="53"/>
      <c r="AT72" s="53"/>
      <c r="AU72" s="53"/>
      <c r="AV72" s="53"/>
      <c r="AW72" s="53"/>
      <c r="AX72" s="53"/>
      <c r="AY72" s="53"/>
      <c r="AZ72" s="53"/>
      <c r="BA72" s="53"/>
      <c r="BB72" s="53"/>
      <c r="BC72" s="53"/>
      <c r="BD72" s="53"/>
      <c r="BE72" s="53"/>
      <c r="BF72" s="53"/>
      <c r="BG72" s="53"/>
      <c r="BH72" s="53"/>
      <c r="BI72" s="53"/>
      <c r="BJ72" s="53"/>
      <c r="BK72" s="53"/>
      <c r="BL72" s="53"/>
      <c r="BM72" s="53"/>
      <c r="BN72" s="53"/>
      <c r="BO72" s="51"/>
    </row>
    <row r="73" spans="1:67" x14ac:dyDescent="0.3">
      <c r="A73" s="53"/>
      <c r="B73" s="53"/>
      <c r="C73" s="53"/>
      <c r="D73" s="53"/>
      <c r="E73" s="53"/>
      <c r="F73" s="53"/>
      <c r="G73" s="53"/>
      <c r="H73" s="53"/>
      <c r="I73" s="53"/>
      <c r="J73" s="53"/>
      <c r="K73" s="53"/>
      <c r="L73" s="53"/>
      <c r="M73" s="53"/>
      <c r="N73" s="53"/>
      <c r="O73" s="53"/>
      <c r="P73" s="53"/>
      <c r="Q73" s="53"/>
      <c r="R73" s="53"/>
      <c r="S73" s="53"/>
      <c r="T73" s="53"/>
      <c r="U73" s="53"/>
      <c r="V73" s="53"/>
      <c r="W73" s="53"/>
      <c r="X73" s="53"/>
      <c r="Y73" s="53"/>
      <c r="Z73" s="53"/>
      <c r="AA73" s="53"/>
      <c r="AB73" s="53"/>
      <c r="AC73" s="53"/>
      <c r="AD73" s="53"/>
      <c r="AE73" s="53"/>
      <c r="AF73" s="53"/>
      <c r="AG73" s="53"/>
      <c r="AH73" s="53"/>
      <c r="AI73" s="53"/>
      <c r="AJ73" s="53"/>
      <c r="AK73" s="53"/>
      <c r="AL73" s="53"/>
      <c r="AM73" s="53"/>
      <c r="AN73" s="53"/>
      <c r="AO73" s="53"/>
      <c r="AP73" s="53"/>
      <c r="AQ73" s="53"/>
      <c r="AR73" s="53"/>
      <c r="AS73" s="53"/>
      <c r="AT73" s="53"/>
      <c r="AU73" s="53"/>
      <c r="AV73" s="53"/>
      <c r="AW73" s="53"/>
      <c r="AX73" s="53"/>
      <c r="AY73" s="53"/>
      <c r="AZ73" s="53"/>
      <c r="BA73" s="53"/>
      <c r="BB73" s="53"/>
      <c r="BC73" s="53"/>
      <c r="BD73" s="53"/>
      <c r="BE73" s="53"/>
      <c r="BF73" s="53"/>
      <c r="BG73" s="53"/>
      <c r="BH73" s="53"/>
      <c r="BI73" s="53"/>
      <c r="BJ73" s="53"/>
      <c r="BK73" s="53"/>
      <c r="BL73" s="53"/>
      <c r="BM73" s="53"/>
      <c r="BN73" s="53"/>
      <c r="BO73" s="51"/>
    </row>
    <row r="74" spans="1:67" x14ac:dyDescent="0.3">
      <c r="A74" s="53"/>
      <c r="B74" s="53"/>
      <c r="C74" s="53"/>
      <c r="D74" s="53"/>
      <c r="E74" s="53"/>
      <c r="F74" s="53"/>
      <c r="G74" s="53"/>
      <c r="H74" s="53"/>
      <c r="I74" s="53"/>
      <c r="J74" s="53"/>
      <c r="K74" s="53"/>
      <c r="L74" s="53"/>
      <c r="M74" s="53"/>
      <c r="N74" s="53"/>
      <c r="O74" s="53"/>
      <c r="P74" s="53"/>
      <c r="Q74" s="53"/>
      <c r="R74" s="53"/>
      <c r="S74" s="53"/>
      <c r="T74" s="53"/>
      <c r="U74" s="53"/>
      <c r="V74" s="53"/>
      <c r="W74" s="53"/>
      <c r="X74" s="53"/>
      <c r="Y74" s="53"/>
      <c r="Z74" s="53"/>
      <c r="AA74" s="53"/>
      <c r="AB74" s="53"/>
      <c r="AC74" s="53"/>
      <c r="AD74" s="53"/>
      <c r="AE74" s="53"/>
      <c r="AF74" s="53"/>
      <c r="AG74" s="53"/>
      <c r="AH74" s="53"/>
      <c r="AI74" s="53"/>
      <c r="AJ74" s="53"/>
      <c r="AK74" s="53"/>
      <c r="AL74" s="53"/>
      <c r="AM74" s="53"/>
      <c r="AN74" s="53"/>
      <c r="AO74" s="53"/>
      <c r="AP74" s="53"/>
      <c r="AQ74" s="53"/>
      <c r="AR74" s="53"/>
      <c r="AS74" s="53"/>
      <c r="AT74" s="53"/>
      <c r="AU74" s="53"/>
      <c r="AV74" s="53"/>
      <c r="AW74" s="53"/>
      <c r="AX74" s="53"/>
      <c r="AY74" s="53"/>
      <c r="AZ74" s="53"/>
      <c r="BA74" s="53"/>
      <c r="BB74" s="53"/>
      <c r="BC74" s="53"/>
      <c r="BD74" s="53"/>
      <c r="BE74" s="53"/>
      <c r="BF74" s="53"/>
      <c r="BG74" s="53"/>
      <c r="BH74" s="53"/>
      <c r="BI74" s="53"/>
      <c r="BJ74" s="53"/>
      <c r="BK74" s="53"/>
      <c r="BL74" s="53"/>
      <c r="BM74" s="53"/>
      <c r="BN74" s="53"/>
      <c r="BO74" s="51"/>
    </row>
    <row r="75" spans="1:67" x14ac:dyDescent="0.3">
      <c r="A75" s="53"/>
      <c r="B75" s="53"/>
      <c r="C75" s="53"/>
      <c r="D75" s="53"/>
      <c r="E75" s="53"/>
      <c r="F75" s="53"/>
      <c r="G75" s="53"/>
      <c r="H75" s="53"/>
      <c r="I75" s="53"/>
      <c r="J75" s="53"/>
      <c r="K75" s="53"/>
      <c r="L75" s="53"/>
      <c r="M75" s="53"/>
      <c r="N75" s="53"/>
      <c r="O75" s="53"/>
      <c r="P75" s="53"/>
      <c r="Q75" s="53"/>
      <c r="R75" s="53"/>
      <c r="S75" s="53"/>
      <c r="T75" s="53"/>
      <c r="U75" s="53"/>
      <c r="V75" s="53"/>
      <c r="W75" s="53"/>
      <c r="X75" s="53"/>
      <c r="Y75" s="53"/>
      <c r="Z75" s="53"/>
      <c r="AA75" s="53"/>
      <c r="AB75" s="53"/>
      <c r="AC75" s="53"/>
      <c r="AD75" s="53"/>
      <c r="AE75" s="53"/>
      <c r="AF75" s="53"/>
      <c r="AG75" s="53"/>
      <c r="AH75" s="53"/>
      <c r="AI75" s="53"/>
      <c r="AJ75" s="53"/>
      <c r="AK75" s="53"/>
      <c r="AL75" s="53"/>
      <c r="AM75" s="53"/>
      <c r="AN75" s="53"/>
      <c r="AO75" s="53"/>
      <c r="AP75" s="53"/>
      <c r="AQ75" s="53"/>
      <c r="AR75" s="53"/>
      <c r="AS75" s="53"/>
      <c r="AT75" s="53"/>
      <c r="AU75" s="53"/>
      <c r="AV75" s="53"/>
      <c r="AW75" s="53"/>
      <c r="AX75" s="53"/>
      <c r="AY75" s="53"/>
      <c r="AZ75" s="53"/>
      <c r="BA75" s="53"/>
      <c r="BB75" s="53"/>
      <c r="BC75" s="53"/>
      <c r="BD75" s="53"/>
      <c r="BE75" s="53"/>
      <c r="BF75" s="53"/>
      <c r="BG75" s="53"/>
      <c r="BH75" s="53"/>
      <c r="BI75" s="53"/>
      <c r="BJ75" s="53"/>
      <c r="BK75" s="53"/>
      <c r="BL75" s="53"/>
      <c r="BM75" s="53"/>
      <c r="BN75" s="53"/>
      <c r="BO75" s="51"/>
    </row>
    <row r="76" spans="1:67" x14ac:dyDescent="0.3">
      <c r="A76" s="53"/>
      <c r="B76" s="53"/>
      <c r="C76" s="53"/>
      <c r="D76" s="53"/>
      <c r="E76" s="53"/>
      <c r="F76" s="53"/>
      <c r="G76" s="53"/>
      <c r="H76" s="53"/>
      <c r="I76" s="53"/>
      <c r="J76" s="53"/>
      <c r="K76" s="53"/>
      <c r="L76" s="53"/>
      <c r="M76" s="53"/>
      <c r="N76" s="53"/>
      <c r="O76" s="53"/>
      <c r="P76" s="53"/>
      <c r="Q76" s="53"/>
      <c r="R76" s="53"/>
      <c r="S76" s="53"/>
      <c r="T76" s="53"/>
      <c r="U76" s="53"/>
      <c r="V76" s="53"/>
      <c r="W76" s="53"/>
      <c r="X76" s="53"/>
      <c r="Y76" s="53"/>
      <c r="Z76" s="53"/>
      <c r="AA76" s="53"/>
      <c r="AB76" s="53"/>
      <c r="AC76" s="53"/>
      <c r="AD76" s="53"/>
      <c r="AE76" s="53"/>
      <c r="AF76" s="53"/>
      <c r="AG76" s="53"/>
      <c r="AH76" s="53"/>
      <c r="AI76" s="53"/>
      <c r="AJ76" s="53"/>
      <c r="AK76" s="53"/>
      <c r="AL76" s="53"/>
      <c r="AM76" s="53"/>
      <c r="AN76" s="53"/>
      <c r="AO76" s="53"/>
      <c r="AP76" s="53"/>
      <c r="AQ76" s="53"/>
      <c r="AR76" s="53"/>
      <c r="AS76" s="53"/>
      <c r="AT76" s="53"/>
      <c r="AU76" s="53"/>
      <c r="AV76" s="53"/>
      <c r="AW76" s="53"/>
      <c r="AX76" s="53"/>
      <c r="AY76" s="53"/>
      <c r="AZ76" s="53"/>
      <c r="BA76" s="53"/>
      <c r="BB76" s="53"/>
      <c r="BC76" s="53"/>
      <c r="BD76" s="53"/>
      <c r="BE76" s="53"/>
      <c r="BF76" s="53"/>
      <c r="BG76" s="53"/>
      <c r="BH76" s="53"/>
      <c r="BI76" s="53"/>
      <c r="BJ76" s="53"/>
      <c r="BK76" s="53"/>
      <c r="BL76" s="53"/>
      <c r="BM76" s="53"/>
      <c r="BN76" s="53"/>
      <c r="BO76" s="51"/>
    </row>
    <row r="77" spans="1:67" x14ac:dyDescent="0.3">
      <c r="A77" s="53"/>
      <c r="B77" s="53"/>
      <c r="C77" s="53"/>
      <c r="D77" s="53"/>
      <c r="E77" s="53"/>
      <c r="F77" s="53"/>
      <c r="G77" s="53"/>
      <c r="H77" s="53"/>
      <c r="I77" s="53"/>
      <c r="J77" s="53"/>
      <c r="K77" s="53"/>
      <c r="L77" s="53"/>
      <c r="M77" s="53"/>
      <c r="N77" s="53"/>
      <c r="O77" s="53"/>
      <c r="P77" s="53"/>
      <c r="Q77" s="53"/>
      <c r="R77" s="53"/>
      <c r="S77" s="53"/>
      <c r="T77" s="53"/>
      <c r="U77" s="53"/>
      <c r="V77" s="53"/>
      <c r="W77" s="53"/>
      <c r="X77" s="53"/>
      <c r="Y77" s="53"/>
      <c r="Z77" s="53"/>
      <c r="AA77" s="53"/>
      <c r="AB77" s="53"/>
      <c r="AC77" s="53"/>
      <c r="AD77" s="53"/>
      <c r="AE77" s="53"/>
      <c r="AF77" s="53"/>
      <c r="AG77" s="53"/>
      <c r="AH77" s="53"/>
      <c r="AI77" s="53"/>
      <c r="AJ77" s="53"/>
      <c r="AK77" s="53"/>
      <c r="AL77" s="53"/>
      <c r="AM77" s="53"/>
      <c r="AN77" s="53"/>
      <c r="AO77" s="53"/>
      <c r="AP77" s="53"/>
      <c r="AQ77" s="53"/>
      <c r="AR77" s="53"/>
      <c r="AS77" s="53"/>
      <c r="AT77" s="53"/>
      <c r="AU77" s="53"/>
      <c r="AV77" s="53"/>
      <c r="AW77" s="53"/>
      <c r="AX77" s="53"/>
      <c r="AY77" s="53"/>
      <c r="AZ77" s="53"/>
      <c r="BA77" s="53"/>
      <c r="BB77" s="53"/>
      <c r="BC77" s="53"/>
      <c r="BD77" s="53"/>
      <c r="BE77" s="53"/>
      <c r="BF77" s="53"/>
      <c r="BG77" s="53"/>
      <c r="BH77" s="53"/>
      <c r="BI77" s="53"/>
      <c r="BJ77" s="53"/>
      <c r="BK77" s="53"/>
      <c r="BL77" s="53"/>
      <c r="BM77" s="53"/>
      <c r="BN77" s="53"/>
      <c r="BO77" s="51"/>
    </row>
    <row r="78" spans="1:67" x14ac:dyDescent="0.3">
      <c r="A78" s="53"/>
      <c r="B78" s="53"/>
      <c r="C78" s="53"/>
      <c r="D78" s="53"/>
      <c r="E78" s="53"/>
      <c r="F78" s="53"/>
      <c r="G78" s="53"/>
      <c r="H78" s="53"/>
      <c r="I78" s="53"/>
      <c r="J78" s="53"/>
      <c r="K78" s="53"/>
      <c r="L78" s="53"/>
      <c r="M78" s="53"/>
      <c r="N78" s="53"/>
      <c r="O78" s="53"/>
      <c r="P78" s="53"/>
      <c r="Q78" s="53"/>
      <c r="R78" s="53"/>
      <c r="S78" s="53"/>
      <c r="T78" s="53"/>
      <c r="U78" s="53"/>
      <c r="V78" s="53"/>
      <c r="W78" s="53"/>
      <c r="X78" s="53"/>
      <c r="Y78" s="53"/>
      <c r="Z78" s="53"/>
      <c r="AA78" s="53"/>
      <c r="AB78" s="53"/>
      <c r="AC78" s="53"/>
      <c r="AD78" s="53"/>
      <c r="AE78" s="53"/>
      <c r="AF78" s="53"/>
      <c r="AG78" s="53"/>
      <c r="AH78" s="53"/>
      <c r="AI78" s="53"/>
      <c r="AJ78" s="53"/>
      <c r="AK78" s="53"/>
      <c r="AL78" s="53"/>
      <c r="AM78" s="53"/>
      <c r="AN78" s="53"/>
      <c r="AO78" s="53"/>
      <c r="AP78" s="53"/>
      <c r="AQ78" s="53"/>
      <c r="AR78" s="53"/>
      <c r="AS78" s="53"/>
      <c r="AT78" s="53"/>
      <c r="AU78" s="53"/>
      <c r="AV78" s="53"/>
      <c r="AW78" s="53"/>
      <c r="AX78" s="53"/>
      <c r="AY78" s="53"/>
      <c r="AZ78" s="53"/>
      <c r="BA78" s="53"/>
      <c r="BB78" s="53"/>
      <c r="BC78" s="53"/>
      <c r="BD78" s="53"/>
      <c r="BE78" s="53"/>
      <c r="BF78" s="53"/>
      <c r="BG78" s="53"/>
      <c r="BH78" s="53"/>
      <c r="BI78" s="53"/>
      <c r="BJ78" s="53"/>
      <c r="BK78" s="53"/>
      <c r="BL78" s="53"/>
      <c r="BM78" s="53"/>
      <c r="BN78" s="53"/>
      <c r="BO78" s="51"/>
    </row>
    <row r="79" spans="1:67" x14ac:dyDescent="0.3">
      <c r="A79" s="53"/>
      <c r="B79" s="53"/>
      <c r="C79" s="53"/>
      <c r="D79" s="53"/>
      <c r="E79" s="53"/>
      <c r="F79" s="53"/>
      <c r="G79" s="53"/>
      <c r="H79" s="53"/>
      <c r="I79" s="53"/>
      <c r="J79" s="53"/>
      <c r="K79" s="53"/>
      <c r="L79" s="53"/>
      <c r="M79" s="53"/>
      <c r="N79" s="53"/>
      <c r="O79" s="53"/>
      <c r="P79" s="53"/>
      <c r="Q79" s="53"/>
      <c r="R79" s="53"/>
      <c r="S79" s="53"/>
      <c r="T79" s="53"/>
      <c r="U79" s="53"/>
      <c r="V79" s="53"/>
      <c r="W79" s="53"/>
      <c r="X79" s="53"/>
      <c r="Y79" s="53"/>
      <c r="Z79" s="53"/>
      <c r="AA79" s="53"/>
      <c r="AB79" s="53"/>
      <c r="AC79" s="53"/>
      <c r="AD79" s="53"/>
      <c r="AE79" s="53"/>
      <c r="AF79" s="53"/>
      <c r="AG79" s="53"/>
      <c r="AH79" s="53"/>
      <c r="AI79" s="53"/>
      <c r="AJ79" s="53"/>
      <c r="AK79" s="53"/>
      <c r="AL79" s="53"/>
      <c r="AM79" s="53"/>
      <c r="AN79" s="53"/>
      <c r="AO79" s="53"/>
      <c r="AP79" s="53"/>
      <c r="AQ79" s="53"/>
      <c r="AR79" s="53"/>
      <c r="AS79" s="53"/>
      <c r="AT79" s="53"/>
      <c r="AU79" s="53"/>
      <c r="AV79" s="53"/>
      <c r="AW79" s="53"/>
      <c r="AX79" s="53"/>
      <c r="AY79" s="53"/>
      <c r="AZ79" s="53"/>
      <c r="BA79" s="53"/>
      <c r="BB79" s="53"/>
      <c r="BC79" s="53"/>
      <c r="BD79" s="53"/>
      <c r="BE79" s="53"/>
      <c r="BF79" s="53"/>
      <c r="BG79" s="53"/>
      <c r="BH79" s="53"/>
      <c r="BI79" s="53"/>
      <c r="BJ79" s="53"/>
      <c r="BK79" s="53"/>
      <c r="BL79" s="53"/>
      <c r="BM79" s="53"/>
      <c r="BN79" s="53"/>
      <c r="BO79" s="51"/>
    </row>
    <row r="80" spans="1:67" x14ac:dyDescent="0.3">
      <c r="A80" s="53"/>
      <c r="B80" s="53"/>
      <c r="C80" s="53"/>
      <c r="D80" s="53"/>
      <c r="E80" s="53"/>
      <c r="F80" s="53"/>
      <c r="G80" s="53"/>
      <c r="H80" s="53"/>
      <c r="I80" s="53"/>
      <c r="J80" s="53"/>
      <c r="K80" s="53"/>
      <c r="L80" s="53"/>
      <c r="M80" s="53"/>
      <c r="N80" s="53"/>
      <c r="O80" s="53"/>
      <c r="P80" s="53"/>
      <c r="Q80" s="53"/>
      <c r="R80" s="53"/>
      <c r="S80" s="53"/>
      <c r="T80" s="53"/>
      <c r="U80" s="53"/>
      <c r="V80" s="53"/>
      <c r="W80" s="53"/>
      <c r="X80" s="53"/>
      <c r="Y80" s="53"/>
      <c r="Z80" s="53"/>
      <c r="AA80" s="53"/>
      <c r="AB80" s="53"/>
      <c r="AC80" s="53"/>
      <c r="AD80" s="53"/>
      <c r="AE80" s="53"/>
      <c r="AF80" s="53"/>
      <c r="AG80" s="53"/>
      <c r="AH80" s="53"/>
      <c r="AI80" s="53"/>
      <c r="AJ80" s="53"/>
      <c r="AK80" s="53"/>
      <c r="AL80" s="53"/>
      <c r="AM80" s="53"/>
      <c r="AN80" s="53"/>
      <c r="AO80" s="53"/>
      <c r="AP80" s="53"/>
      <c r="AQ80" s="53"/>
      <c r="AR80" s="53"/>
      <c r="AS80" s="53"/>
      <c r="AT80" s="53"/>
      <c r="AU80" s="53"/>
      <c r="AV80" s="53"/>
      <c r="AW80" s="53"/>
      <c r="AX80" s="53"/>
      <c r="AY80" s="53"/>
      <c r="AZ80" s="53"/>
      <c r="BA80" s="53"/>
      <c r="BB80" s="53"/>
      <c r="BC80" s="53"/>
      <c r="BD80" s="53"/>
      <c r="BE80" s="53"/>
      <c r="BF80" s="53"/>
      <c r="BG80" s="53"/>
      <c r="BH80" s="53"/>
      <c r="BI80" s="53"/>
      <c r="BJ80" s="53"/>
      <c r="BK80" s="53"/>
      <c r="BL80" s="53"/>
      <c r="BM80" s="53"/>
      <c r="BN80" s="53"/>
      <c r="BO80" s="51"/>
    </row>
    <row r="81" spans="1:67" x14ac:dyDescent="0.3">
      <c r="A81" s="53"/>
      <c r="B81" s="53"/>
      <c r="C81" s="53"/>
      <c r="D81" s="53"/>
      <c r="E81" s="53"/>
      <c r="F81" s="53"/>
      <c r="G81" s="53"/>
      <c r="H81" s="53"/>
      <c r="I81" s="53"/>
      <c r="J81" s="53"/>
      <c r="K81" s="53"/>
      <c r="L81" s="53"/>
      <c r="M81" s="53"/>
      <c r="N81" s="53"/>
      <c r="O81" s="53"/>
      <c r="P81" s="53"/>
      <c r="Q81" s="53"/>
      <c r="R81" s="53"/>
      <c r="S81" s="53"/>
      <c r="T81" s="53"/>
      <c r="U81" s="53"/>
      <c r="V81" s="53"/>
      <c r="W81" s="53"/>
      <c r="X81" s="53"/>
      <c r="Y81" s="53"/>
      <c r="Z81" s="53"/>
      <c r="AA81" s="53"/>
      <c r="AB81" s="53"/>
      <c r="AC81" s="53"/>
      <c r="AD81" s="53"/>
      <c r="AE81" s="53"/>
      <c r="AF81" s="53"/>
      <c r="AG81" s="53"/>
      <c r="AH81" s="53"/>
      <c r="AI81" s="53"/>
      <c r="AJ81" s="53"/>
      <c r="AK81" s="53"/>
      <c r="AL81" s="53"/>
      <c r="AM81" s="53"/>
      <c r="AN81" s="53"/>
      <c r="AO81" s="53"/>
      <c r="AP81" s="53"/>
      <c r="AQ81" s="53"/>
      <c r="AR81" s="53"/>
      <c r="AS81" s="53"/>
      <c r="AT81" s="53"/>
      <c r="AU81" s="53"/>
      <c r="AV81" s="53"/>
      <c r="AW81" s="53"/>
      <c r="AX81" s="53"/>
      <c r="AY81" s="53"/>
      <c r="AZ81" s="53"/>
      <c r="BA81" s="53"/>
      <c r="BB81" s="53"/>
      <c r="BC81" s="53"/>
      <c r="BD81" s="53"/>
      <c r="BE81" s="53"/>
      <c r="BF81" s="53"/>
      <c r="BG81" s="53"/>
      <c r="BH81" s="53"/>
      <c r="BI81" s="53"/>
      <c r="BJ81" s="53"/>
      <c r="BK81" s="53"/>
      <c r="BL81" s="53"/>
      <c r="BM81" s="53"/>
      <c r="BN81" s="53"/>
      <c r="BO81" s="51"/>
    </row>
    <row r="82" spans="1:67" x14ac:dyDescent="0.3">
      <c r="A82" s="53"/>
      <c r="B82" s="53"/>
      <c r="C82" s="53"/>
      <c r="D82" s="53"/>
      <c r="E82" s="53"/>
      <c r="F82" s="53"/>
      <c r="G82" s="53"/>
      <c r="H82" s="53"/>
      <c r="I82" s="53"/>
      <c r="J82" s="53"/>
      <c r="K82" s="53"/>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3"/>
      <c r="AR82" s="53"/>
      <c r="AS82" s="53"/>
      <c r="AT82" s="53"/>
      <c r="AU82" s="53"/>
      <c r="AV82" s="53"/>
      <c r="AW82" s="53"/>
      <c r="AX82" s="53"/>
      <c r="AY82" s="53"/>
      <c r="AZ82" s="53"/>
      <c r="BA82" s="53"/>
      <c r="BB82" s="53"/>
      <c r="BC82" s="53"/>
      <c r="BD82" s="53"/>
      <c r="BE82" s="53"/>
      <c r="BF82" s="53"/>
      <c r="BG82" s="53"/>
      <c r="BH82" s="53"/>
      <c r="BI82" s="53"/>
      <c r="BJ82" s="53"/>
      <c r="BK82" s="53"/>
      <c r="BL82" s="53"/>
      <c r="BM82" s="53"/>
      <c r="BN82" s="53"/>
      <c r="BO82" s="51"/>
    </row>
    <row r="83" spans="1:67" x14ac:dyDescent="0.3">
      <c r="A83" s="53"/>
      <c r="B83" s="53"/>
      <c r="C83" s="53"/>
      <c r="D83" s="53"/>
      <c r="E83" s="53"/>
      <c r="F83" s="53"/>
      <c r="G83" s="53"/>
      <c r="H83" s="53"/>
      <c r="I83" s="53"/>
      <c r="J83" s="53"/>
      <c r="K83" s="53"/>
      <c r="L83" s="53"/>
      <c r="M83" s="53"/>
      <c r="N83" s="53"/>
      <c r="O83" s="53"/>
      <c r="P83" s="53"/>
      <c r="Q83" s="53"/>
      <c r="R83" s="53"/>
      <c r="S83" s="53"/>
      <c r="T83" s="53"/>
      <c r="U83" s="53"/>
      <c r="V83" s="53"/>
      <c r="W83" s="53"/>
      <c r="X83" s="53"/>
      <c r="Y83" s="53"/>
      <c r="Z83" s="53"/>
      <c r="AA83" s="53"/>
      <c r="AB83" s="53"/>
      <c r="AC83" s="53"/>
      <c r="AD83" s="53"/>
      <c r="AE83" s="53"/>
      <c r="AF83" s="53"/>
      <c r="AG83" s="53"/>
      <c r="AH83" s="53"/>
      <c r="AI83" s="53"/>
      <c r="AJ83" s="53"/>
      <c r="AK83" s="53"/>
      <c r="AL83" s="53"/>
      <c r="AM83" s="53"/>
      <c r="AN83" s="53"/>
      <c r="AO83" s="53"/>
      <c r="AP83" s="53"/>
      <c r="AQ83" s="53"/>
      <c r="AR83" s="53"/>
      <c r="AS83" s="53"/>
      <c r="AT83" s="53"/>
      <c r="AU83" s="53"/>
      <c r="AV83" s="53"/>
      <c r="AW83" s="53"/>
      <c r="AX83" s="53"/>
      <c r="AY83" s="53"/>
      <c r="AZ83" s="53"/>
      <c r="BA83" s="53"/>
      <c r="BB83" s="53"/>
      <c r="BC83" s="53"/>
      <c r="BD83" s="53"/>
      <c r="BE83" s="53"/>
      <c r="BF83" s="53"/>
      <c r="BG83" s="53"/>
      <c r="BH83" s="53"/>
      <c r="BI83" s="53"/>
      <c r="BJ83" s="53"/>
      <c r="BK83" s="53"/>
      <c r="BL83" s="53"/>
      <c r="BM83" s="53"/>
      <c r="BN83" s="53"/>
      <c r="BO83" s="51"/>
    </row>
    <row r="84" spans="1:67" x14ac:dyDescent="0.3">
      <c r="A84" s="53"/>
      <c r="B84" s="53"/>
      <c r="C84" s="53"/>
      <c r="D84" s="53"/>
      <c r="E84" s="53"/>
      <c r="F84" s="53"/>
      <c r="G84" s="53"/>
      <c r="H84" s="53"/>
      <c r="I84" s="53"/>
      <c r="J84" s="53"/>
      <c r="K84" s="53"/>
      <c r="L84" s="53"/>
      <c r="M84" s="53"/>
      <c r="N84" s="53"/>
      <c r="O84" s="53"/>
      <c r="P84" s="53"/>
      <c r="Q84" s="53"/>
      <c r="R84" s="53"/>
      <c r="S84" s="53"/>
      <c r="T84" s="53"/>
      <c r="U84" s="53"/>
      <c r="V84" s="53"/>
      <c r="W84" s="53"/>
      <c r="X84" s="53"/>
      <c r="Y84" s="53"/>
      <c r="Z84" s="53"/>
      <c r="AA84" s="53"/>
      <c r="AB84" s="53"/>
      <c r="AC84" s="53"/>
      <c r="AD84" s="53"/>
      <c r="AE84" s="53"/>
      <c r="AF84" s="53"/>
      <c r="AG84" s="53"/>
      <c r="AH84" s="53"/>
      <c r="AI84" s="53"/>
      <c r="AJ84" s="53"/>
      <c r="AK84" s="53"/>
      <c r="AL84" s="53"/>
      <c r="AM84" s="53"/>
      <c r="AN84" s="53"/>
      <c r="AO84" s="53"/>
      <c r="AP84" s="53"/>
      <c r="AQ84" s="53"/>
      <c r="AR84" s="53"/>
      <c r="AS84" s="53"/>
      <c r="AT84" s="53"/>
      <c r="AU84" s="53"/>
      <c r="AV84" s="53"/>
      <c r="AW84" s="53"/>
      <c r="AX84" s="53"/>
      <c r="AY84" s="53"/>
      <c r="AZ84" s="53"/>
      <c r="BA84" s="53"/>
      <c r="BB84" s="53"/>
      <c r="BC84" s="53"/>
      <c r="BD84" s="53"/>
      <c r="BE84" s="53"/>
      <c r="BF84" s="53"/>
      <c r="BG84" s="53"/>
      <c r="BH84" s="53"/>
      <c r="BI84" s="53"/>
      <c r="BJ84" s="53"/>
      <c r="BK84" s="53"/>
      <c r="BL84" s="53"/>
      <c r="BM84" s="53"/>
      <c r="BN84" s="53"/>
      <c r="BO84" s="51"/>
    </row>
    <row r="85" spans="1:67" x14ac:dyDescent="0.3">
      <c r="A85" s="53"/>
      <c r="B85" s="53"/>
      <c r="C85" s="53"/>
      <c r="D85" s="53"/>
      <c r="E85" s="53"/>
      <c r="F85" s="53"/>
      <c r="G85" s="53"/>
      <c r="H85" s="53"/>
      <c r="I85" s="53"/>
      <c r="J85" s="53"/>
      <c r="K85" s="53"/>
      <c r="L85" s="53"/>
      <c r="M85" s="53"/>
      <c r="N85" s="53"/>
      <c r="O85" s="53"/>
      <c r="P85" s="53"/>
      <c r="Q85" s="53"/>
      <c r="R85" s="53"/>
      <c r="S85" s="53"/>
      <c r="T85" s="53"/>
      <c r="U85" s="53"/>
      <c r="V85" s="53"/>
      <c r="W85" s="53"/>
      <c r="X85" s="53"/>
      <c r="Y85" s="53"/>
      <c r="Z85" s="53"/>
      <c r="AA85" s="53"/>
      <c r="AB85" s="53"/>
      <c r="AC85" s="53"/>
      <c r="AD85" s="53"/>
      <c r="AE85" s="53"/>
      <c r="AF85" s="53"/>
      <c r="AG85" s="53"/>
      <c r="AH85" s="53"/>
      <c r="AI85" s="53"/>
      <c r="AJ85" s="53"/>
      <c r="AK85" s="53"/>
      <c r="AL85" s="53"/>
      <c r="AM85" s="53"/>
      <c r="AN85" s="53"/>
      <c r="AO85" s="53"/>
      <c r="AP85" s="53"/>
      <c r="AQ85" s="53"/>
      <c r="AR85" s="53"/>
      <c r="AS85" s="53"/>
      <c r="AT85" s="53"/>
      <c r="AU85" s="53"/>
      <c r="AV85" s="53"/>
      <c r="AW85" s="53"/>
      <c r="AX85" s="53"/>
      <c r="AY85" s="53"/>
      <c r="AZ85" s="53"/>
      <c r="BA85" s="53"/>
      <c r="BB85" s="53"/>
      <c r="BC85" s="53"/>
      <c r="BD85" s="53"/>
      <c r="BE85" s="53"/>
      <c r="BF85" s="53"/>
      <c r="BG85" s="53"/>
      <c r="BH85" s="53"/>
      <c r="BI85" s="53"/>
      <c r="BJ85" s="53"/>
      <c r="BK85" s="53"/>
      <c r="BL85" s="53"/>
      <c r="BM85" s="53"/>
      <c r="BN85" s="53"/>
      <c r="BO85" s="51"/>
    </row>
    <row r="86" spans="1:67" x14ac:dyDescent="0.3">
      <c r="A86" s="53"/>
      <c r="B86" s="53"/>
      <c r="C86" s="53"/>
      <c r="D86" s="53"/>
      <c r="E86" s="53"/>
      <c r="F86" s="53"/>
      <c r="G86" s="53"/>
      <c r="H86" s="53"/>
      <c r="I86" s="53"/>
      <c r="J86" s="53"/>
      <c r="K86" s="53"/>
      <c r="L86" s="53"/>
      <c r="M86" s="53"/>
      <c r="N86" s="53"/>
      <c r="O86" s="53"/>
      <c r="P86" s="53"/>
      <c r="Q86" s="53"/>
      <c r="R86" s="53"/>
      <c r="S86" s="53"/>
      <c r="T86" s="53"/>
      <c r="U86" s="53"/>
      <c r="V86" s="53"/>
      <c r="W86" s="53"/>
      <c r="X86" s="53"/>
      <c r="Y86" s="53"/>
      <c r="Z86" s="53"/>
      <c r="AA86" s="53"/>
      <c r="AB86" s="53"/>
      <c r="AC86" s="53"/>
      <c r="AD86" s="53"/>
      <c r="AE86" s="53"/>
      <c r="AF86" s="53"/>
      <c r="AG86" s="53"/>
      <c r="AH86" s="53"/>
      <c r="AI86" s="53"/>
      <c r="AJ86" s="53"/>
      <c r="AK86" s="53"/>
      <c r="AL86" s="53"/>
      <c r="AM86" s="53"/>
      <c r="AN86" s="53"/>
      <c r="AO86" s="53"/>
      <c r="AP86" s="53"/>
      <c r="AQ86" s="53"/>
      <c r="AR86" s="53"/>
      <c r="AS86" s="53"/>
      <c r="AT86" s="53"/>
      <c r="AU86" s="53"/>
      <c r="AV86" s="53"/>
      <c r="AW86" s="53"/>
      <c r="AX86" s="53"/>
      <c r="AY86" s="53"/>
      <c r="AZ86" s="53"/>
      <c r="BA86" s="53"/>
      <c r="BB86" s="53"/>
      <c r="BC86" s="53"/>
      <c r="BD86" s="53"/>
      <c r="BE86" s="53"/>
      <c r="BF86" s="53"/>
      <c r="BG86" s="53"/>
      <c r="BH86" s="53"/>
      <c r="BI86" s="53"/>
      <c r="BJ86" s="53"/>
      <c r="BK86" s="53"/>
      <c r="BL86" s="53"/>
      <c r="BM86" s="53"/>
      <c r="BN86" s="53"/>
      <c r="BO86" s="51"/>
    </row>
    <row r="87" spans="1:67" x14ac:dyDescent="0.3">
      <c r="A87" s="52"/>
      <c r="B87" s="52"/>
      <c r="C87" s="52"/>
      <c r="D87" s="52"/>
      <c r="E87" s="52"/>
      <c r="F87" s="52"/>
      <c r="G87" s="52"/>
      <c r="H87" s="52"/>
      <c r="I87" s="52"/>
      <c r="J87" s="52"/>
      <c r="K87" s="52"/>
      <c r="L87" s="52"/>
      <c r="M87" s="52"/>
      <c r="N87" s="52"/>
      <c r="O87" s="52"/>
      <c r="P87" s="52"/>
      <c r="Q87" s="52"/>
      <c r="R87" s="52"/>
      <c r="S87" s="52"/>
      <c r="T87" s="52"/>
      <c r="U87" s="52"/>
      <c r="V87" s="52"/>
      <c r="W87" s="52"/>
      <c r="X87" s="52"/>
      <c r="Y87" s="52"/>
      <c r="Z87" s="52"/>
      <c r="AA87" s="52"/>
      <c r="AB87" s="52"/>
      <c r="AC87" s="52"/>
      <c r="AD87" s="52"/>
      <c r="AE87" s="52"/>
      <c r="AF87" s="52"/>
      <c r="AG87" s="52"/>
      <c r="AH87" s="52"/>
      <c r="AI87" s="52"/>
      <c r="AJ87" s="52"/>
      <c r="AK87" s="52"/>
      <c r="AL87" s="52"/>
      <c r="AM87" s="52"/>
      <c r="AN87" s="52"/>
      <c r="AO87" s="52"/>
      <c r="AP87" s="52"/>
      <c r="AQ87" s="52"/>
      <c r="AR87" s="52"/>
      <c r="AS87" s="52"/>
      <c r="AT87" s="52"/>
      <c r="AU87" s="52"/>
      <c r="AV87" s="52"/>
      <c r="AW87" s="52"/>
      <c r="AX87" s="52"/>
      <c r="AY87" s="52"/>
      <c r="AZ87" s="52"/>
      <c r="BA87" s="52"/>
      <c r="BB87" s="52"/>
      <c r="BC87" s="52"/>
      <c r="BD87" s="52"/>
      <c r="BE87" s="52"/>
      <c r="BF87" s="52"/>
      <c r="BG87" s="52"/>
      <c r="BH87" s="52"/>
      <c r="BI87" s="52"/>
      <c r="BJ87" s="52"/>
      <c r="BK87" s="52"/>
      <c r="BL87" s="52"/>
      <c r="BM87" s="52"/>
      <c r="BN87" s="52"/>
    </row>
    <row r="88" spans="1:67" x14ac:dyDescent="0.3">
      <c r="A88" s="52"/>
      <c r="B88" s="52"/>
      <c r="C88" s="52"/>
      <c r="D88" s="52"/>
      <c r="E88" s="52"/>
      <c r="F88" s="52"/>
      <c r="G88" s="52"/>
      <c r="H88" s="52"/>
      <c r="I88" s="52"/>
      <c r="J88" s="52"/>
      <c r="K88" s="52"/>
      <c r="L88" s="52"/>
      <c r="M88" s="52"/>
      <c r="N88" s="52"/>
      <c r="O88" s="52"/>
      <c r="P88" s="52"/>
      <c r="Q88" s="52"/>
      <c r="R88" s="52"/>
      <c r="S88" s="52"/>
      <c r="T88" s="52"/>
      <c r="U88" s="52"/>
      <c r="V88" s="52"/>
      <c r="W88" s="52"/>
      <c r="X88" s="52"/>
      <c r="Y88" s="52"/>
      <c r="Z88" s="52"/>
      <c r="AA88" s="52"/>
      <c r="AB88" s="52"/>
      <c r="AC88" s="52"/>
      <c r="AD88" s="52"/>
      <c r="AE88" s="52"/>
      <c r="AF88" s="52"/>
      <c r="AG88" s="52"/>
      <c r="AH88" s="52"/>
      <c r="AI88" s="52"/>
      <c r="AJ88" s="52"/>
      <c r="AK88" s="52"/>
      <c r="AL88" s="52"/>
      <c r="AM88" s="52"/>
      <c r="AN88" s="52"/>
      <c r="AO88" s="52"/>
      <c r="AP88" s="52"/>
      <c r="AQ88" s="52"/>
      <c r="AR88" s="52"/>
      <c r="AS88" s="52"/>
      <c r="AT88" s="52"/>
      <c r="AU88" s="52"/>
      <c r="AV88" s="52"/>
      <c r="AW88" s="52"/>
      <c r="AX88" s="52"/>
      <c r="AY88" s="52"/>
      <c r="AZ88" s="52"/>
      <c r="BA88" s="52"/>
      <c r="BB88" s="52"/>
      <c r="BC88" s="52"/>
      <c r="BD88" s="52"/>
      <c r="BE88" s="52"/>
      <c r="BF88" s="52"/>
      <c r="BG88" s="52"/>
      <c r="BH88" s="52"/>
      <c r="BI88" s="52"/>
      <c r="BJ88" s="52"/>
      <c r="BK88" s="52"/>
      <c r="BL88" s="52"/>
      <c r="BM88" s="52"/>
      <c r="BN88" s="52"/>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82D0-7109-456C-90F7-5A90E729F296}">
  <dimension ref="A1:GO236"/>
  <sheetViews>
    <sheetView tabSelected="1" zoomScale="13" zoomScaleNormal="13" workbookViewId="0">
      <selection activeCell="CO123" sqref="CO123"/>
    </sheetView>
  </sheetViews>
  <sheetFormatPr defaultRowHeight="14.4" x14ac:dyDescent="0.3"/>
  <cols>
    <col min="140" max="140" width="13.6640625" bestFit="1" customWidth="1"/>
  </cols>
  <sheetData>
    <row r="1" spans="1:196" x14ac:dyDescent="0.3">
      <c r="A1" s="59"/>
      <c r="B1" s="59"/>
      <c r="C1" s="59"/>
      <c r="D1" s="59"/>
      <c r="E1" s="59"/>
      <c r="F1" s="59"/>
      <c r="G1" s="59"/>
      <c r="H1" s="59"/>
      <c r="I1" s="59"/>
      <c r="J1" s="59"/>
      <c r="K1" s="59"/>
      <c r="L1" s="59"/>
      <c r="M1" s="59"/>
      <c r="N1" s="59"/>
      <c r="O1" s="59"/>
      <c r="P1" s="59"/>
      <c r="Q1" s="59"/>
      <c r="R1" s="59"/>
      <c r="S1" s="59"/>
      <c r="T1" s="59"/>
      <c r="U1" s="59"/>
      <c r="V1" s="59"/>
      <c r="W1" s="59"/>
      <c r="X1" s="59"/>
      <c r="Y1" s="59"/>
      <c r="Z1" s="59"/>
      <c r="AA1" s="59"/>
      <c r="AB1" s="59"/>
      <c r="AC1" s="59"/>
      <c r="AD1" s="59"/>
      <c r="AE1" s="59"/>
      <c r="AF1" s="59"/>
      <c r="AG1" s="59"/>
      <c r="AH1" s="59"/>
      <c r="AI1" s="59"/>
      <c r="AJ1" s="59"/>
      <c r="AK1" s="59"/>
      <c r="AL1" s="59"/>
      <c r="AM1" s="59"/>
      <c r="AN1" s="59"/>
      <c r="AO1" s="59"/>
      <c r="AP1" s="59"/>
      <c r="AQ1" s="59"/>
      <c r="AR1" s="59"/>
      <c r="AS1" s="59"/>
      <c r="AT1" s="59"/>
      <c r="AU1" s="59"/>
      <c r="AV1" s="59"/>
      <c r="AW1" s="59"/>
      <c r="AX1" s="59"/>
      <c r="AY1" s="59"/>
      <c r="AZ1" s="59"/>
      <c r="BA1" s="59"/>
      <c r="BB1" s="59"/>
      <c r="BC1" s="59"/>
      <c r="BD1" s="59"/>
      <c r="BE1" s="59"/>
      <c r="BF1" s="59"/>
      <c r="BG1" s="59"/>
      <c r="BH1" s="59"/>
      <c r="BI1" s="59"/>
      <c r="BJ1" s="59"/>
      <c r="BK1" s="59"/>
      <c r="BL1" s="59"/>
      <c r="BM1" s="59"/>
      <c r="BN1" s="59"/>
      <c r="BO1" s="59"/>
      <c r="BP1" s="59"/>
      <c r="BQ1" s="59"/>
      <c r="BR1" s="59"/>
      <c r="BS1" s="59"/>
      <c r="BT1" s="59"/>
      <c r="BU1" s="59"/>
      <c r="BV1" s="59"/>
      <c r="BW1" s="59"/>
      <c r="BX1" s="59"/>
      <c r="BY1" s="59"/>
      <c r="BZ1" s="59"/>
      <c r="CA1" s="59"/>
      <c r="CB1" s="59"/>
      <c r="CC1" s="59"/>
      <c r="CD1" s="59"/>
      <c r="CE1" s="59"/>
      <c r="CF1" s="59"/>
      <c r="CG1" s="59"/>
      <c r="CH1" s="59"/>
      <c r="CI1" s="59"/>
      <c r="CJ1" s="59"/>
      <c r="CK1" s="59"/>
      <c r="CL1" s="59"/>
      <c r="CM1" s="59"/>
      <c r="CN1" s="59"/>
      <c r="CO1" s="59"/>
      <c r="CP1" s="59"/>
      <c r="CQ1" s="59"/>
      <c r="CR1" s="59"/>
      <c r="CS1" s="59"/>
      <c r="CT1" s="59"/>
      <c r="CU1" s="59"/>
      <c r="CV1" s="59"/>
      <c r="CW1" s="59"/>
      <c r="CX1" s="59"/>
      <c r="CY1" s="59"/>
      <c r="CZ1" s="59"/>
      <c r="DA1" s="59"/>
      <c r="DB1" s="59"/>
      <c r="DC1" s="59"/>
      <c r="DD1" s="59"/>
      <c r="DE1" s="59"/>
      <c r="DF1" s="59"/>
      <c r="DG1" s="59"/>
      <c r="DH1" s="59"/>
      <c r="DI1" s="59"/>
      <c r="DJ1" s="59"/>
      <c r="DK1" s="59"/>
      <c r="DL1" s="59"/>
      <c r="DM1" s="59"/>
      <c r="DN1" s="59"/>
      <c r="DO1" s="59"/>
      <c r="DP1" s="59"/>
      <c r="DQ1" s="59"/>
      <c r="DR1" s="59"/>
      <c r="DS1" s="59"/>
      <c r="DT1" s="59"/>
      <c r="DU1" s="59"/>
      <c r="DV1" s="59"/>
      <c r="DW1" s="59"/>
      <c r="DX1" s="59"/>
      <c r="DY1" s="59"/>
      <c r="DZ1" s="59"/>
      <c r="EA1" s="59"/>
      <c r="EB1" s="60"/>
      <c r="EC1" s="60"/>
      <c r="ED1" s="60"/>
      <c r="EE1" s="60"/>
      <c r="EF1" s="60"/>
      <c r="EG1" s="60"/>
      <c r="EH1" s="60"/>
      <c r="EI1" s="60"/>
      <c r="EJ1" s="60">
        <f>GETPIVOTDATA("LoanAmount",'MAIN DASHBOARD PIVOTS'!$A$120)</f>
        <v>109375000</v>
      </c>
      <c r="EK1" s="60"/>
      <c r="EL1" s="60"/>
      <c r="EM1" s="60"/>
      <c r="EN1" s="60"/>
      <c r="EO1" s="60"/>
      <c r="EP1" s="60"/>
      <c r="EQ1" s="60"/>
      <c r="ER1" s="60"/>
      <c r="ES1" s="60"/>
      <c r="ET1" s="60"/>
      <c r="EU1" s="60"/>
      <c r="EV1" s="60"/>
      <c r="EW1" s="60"/>
      <c r="EX1" s="60"/>
      <c r="EY1" s="60"/>
      <c r="EZ1" s="60"/>
      <c r="FA1" s="60"/>
      <c r="FB1" s="60"/>
      <c r="FC1" s="60"/>
      <c r="FD1" s="60"/>
      <c r="FE1" s="60"/>
      <c r="FF1" s="60"/>
      <c r="FG1" s="60"/>
      <c r="FH1" s="60"/>
      <c r="FI1" s="60"/>
      <c r="FJ1" s="59"/>
      <c r="FK1" s="59"/>
      <c r="FL1" s="59"/>
      <c r="FM1" s="59"/>
      <c r="FN1" s="59"/>
      <c r="FO1" s="59"/>
      <c r="FP1" s="59"/>
      <c r="FQ1" s="59"/>
      <c r="FR1" s="59"/>
      <c r="FS1" s="59"/>
      <c r="FT1" s="59"/>
      <c r="FU1" s="59"/>
      <c r="FV1" s="59"/>
      <c r="FW1" s="59"/>
      <c r="FX1" s="59"/>
      <c r="FY1" s="59"/>
      <c r="FZ1" s="59"/>
      <c r="GA1" s="59"/>
      <c r="GB1" s="59"/>
      <c r="GC1" s="59"/>
      <c r="GD1" s="59"/>
      <c r="GE1" s="59"/>
      <c r="GF1" s="59"/>
      <c r="GG1" s="59"/>
      <c r="GH1" s="59"/>
      <c r="GI1" s="59"/>
      <c r="GJ1" s="59"/>
      <c r="GK1" s="59"/>
      <c r="GL1" s="59"/>
      <c r="GM1" s="59"/>
      <c r="GN1" s="59"/>
    </row>
    <row r="2" spans="1:196" x14ac:dyDescent="0.3">
      <c r="A2" s="59"/>
      <c r="B2" s="59"/>
      <c r="C2" s="59"/>
      <c r="D2" s="59"/>
      <c r="E2" s="59"/>
      <c r="F2" s="59"/>
      <c r="G2" s="59"/>
      <c r="H2" s="59"/>
      <c r="I2" s="59"/>
      <c r="J2" s="59"/>
      <c r="K2" s="59"/>
      <c r="L2" s="59"/>
      <c r="M2" s="59"/>
      <c r="N2" s="59"/>
      <c r="O2" s="59"/>
      <c r="P2" s="59"/>
      <c r="Q2" s="59"/>
      <c r="R2" s="59"/>
      <c r="S2" s="59"/>
      <c r="T2" s="59"/>
      <c r="U2" s="59"/>
      <c r="V2" s="59"/>
      <c r="W2" s="59"/>
      <c r="X2" s="59"/>
      <c r="Y2" s="59"/>
      <c r="Z2" s="59"/>
      <c r="AA2" s="59"/>
      <c r="AB2" s="59"/>
      <c r="AC2" s="59"/>
      <c r="AD2" s="59"/>
      <c r="AE2" s="59"/>
      <c r="AF2" s="59"/>
      <c r="AG2" s="59"/>
      <c r="AH2" s="59"/>
      <c r="AI2" s="59"/>
      <c r="AJ2" s="59"/>
      <c r="AK2" s="59"/>
      <c r="AL2" s="59"/>
      <c r="AM2" s="59"/>
      <c r="AN2" s="59"/>
      <c r="AO2" s="59"/>
      <c r="AP2" s="59"/>
      <c r="AQ2" s="59"/>
      <c r="AR2" s="59"/>
      <c r="AS2" s="59"/>
      <c r="AT2" s="59"/>
      <c r="AU2" s="59"/>
      <c r="AV2" s="59"/>
      <c r="AW2" s="59"/>
      <c r="AX2" s="59"/>
      <c r="AY2" s="59"/>
      <c r="AZ2" s="59"/>
      <c r="BA2" s="59"/>
      <c r="BB2" s="59"/>
      <c r="BC2" s="59"/>
      <c r="BD2" s="59"/>
      <c r="BE2" s="59"/>
      <c r="BF2" s="59"/>
      <c r="BG2" s="59"/>
      <c r="BH2" s="59"/>
      <c r="BI2" s="59"/>
      <c r="BJ2" s="59"/>
      <c r="BK2" s="59"/>
      <c r="BL2" s="59"/>
      <c r="BM2" s="59"/>
      <c r="BN2" s="59"/>
      <c r="BO2" s="59"/>
      <c r="BP2" s="59"/>
      <c r="BQ2" s="59"/>
      <c r="BR2" s="59"/>
      <c r="BS2" s="59"/>
      <c r="BT2" s="59"/>
      <c r="BU2" s="59"/>
      <c r="BV2" s="59"/>
      <c r="BW2" s="59"/>
      <c r="BX2" s="59"/>
      <c r="BY2" s="59"/>
      <c r="BZ2" s="59"/>
      <c r="CA2" s="59"/>
      <c r="CB2" s="59"/>
      <c r="CC2" s="59"/>
      <c r="CD2" s="59"/>
      <c r="CE2" s="59"/>
      <c r="CF2" s="59"/>
      <c r="CG2" s="59"/>
      <c r="CH2" s="59"/>
      <c r="CI2" s="59"/>
      <c r="CJ2" s="59"/>
      <c r="CK2" s="59"/>
      <c r="CL2" s="59"/>
      <c r="CM2" s="59"/>
      <c r="CN2" s="59"/>
      <c r="CO2" s="59"/>
      <c r="CP2" s="59"/>
      <c r="CQ2" s="59"/>
      <c r="CR2" s="59"/>
      <c r="CS2" s="59"/>
      <c r="CT2" s="59"/>
      <c r="CU2" s="59"/>
      <c r="CV2" s="59"/>
      <c r="CW2" s="59"/>
      <c r="CX2" s="59"/>
      <c r="CY2" s="59"/>
      <c r="CZ2" s="59"/>
      <c r="DA2" s="59"/>
      <c r="DB2" s="59"/>
      <c r="DC2" s="59"/>
      <c r="DD2" s="59"/>
      <c r="DE2" s="59"/>
      <c r="DF2" s="59"/>
      <c r="DG2" s="59"/>
      <c r="DH2" s="59"/>
      <c r="DI2" s="59"/>
      <c r="DJ2" s="59"/>
      <c r="DK2" s="59"/>
      <c r="DL2" s="59"/>
      <c r="DM2" s="59"/>
      <c r="DN2" s="59"/>
      <c r="DO2" s="59"/>
      <c r="DP2" s="59"/>
      <c r="DQ2" s="59"/>
      <c r="DR2" s="59"/>
      <c r="DS2" s="59"/>
      <c r="DT2" s="59"/>
      <c r="DU2" s="59"/>
      <c r="DV2" s="59"/>
      <c r="DW2" s="59"/>
      <c r="DX2" s="59"/>
      <c r="DY2" s="59"/>
      <c r="DZ2" s="59"/>
      <c r="EA2" s="59"/>
      <c r="EB2" s="59"/>
      <c r="EC2" s="59"/>
      <c r="ED2" s="59"/>
      <c r="EE2" s="59"/>
      <c r="EF2" s="59"/>
      <c r="EG2" s="59"/>
      <c r="EH2" s="59">
        <f>GETPIVOTDATA("OutstandingPrincipal",'MAIN DASHBOARD PIVOTS'!$C$117)</f>
        <v>99301530</v>
      </c>
      <c r="EI2" s="59">
        <f>GETPIVOTDATA("InterestIncomeEarned",'MAIN DASHBOARD PIVOTS'!$A$123)</f>
        <v>3628756</v>
      </c>
      <c r="EJ2" s="59"/>
      <c r="EK2" s="59"/>
      <c r="EL2" s="59"/>
      <c r="EM2" s="59"/>
      <c r="EN2" s="59"/>
      <c r="EO2" s="59"/>
      <c r="EP2" s="59"/>
      <c r="EQ2" s="59"/>
      <c r="ER2" s="59"/>
      <c r="ES2" s="59"/>
      <c r="ET2" s="59"/>
      <c r="EU2" s="59"/>
      <c r="EV2" s="59"/>
      <c r="EW2" s="59"/>
      <c r="EX2" s="59"/>
      <c r="EY2" s="59"/>
      <c r="EZ2" s="59"/>
      <c r="FA2" s="59"/>
      <c r="FB2" s="59"/>
      <c r="FC2" s="59"/>
      <c r="FD2" s="59"/>
      <c r="FE2" s="59"/>
      <c r="FF2" s="59"/>
      <c r="FG2" s="59"/>
      <c r="FH2" s="59"/>
      <c r="FI2" s="59"/>
      <c r="FJ2" s="59"/>
      <c r="FK2" s="59"/>
      <c r="FL2" s="59"/>
      <c r="FM2" s="59"/>
      <c r="FN2" s="59"/>
      <c r="FO2" s="59"/>
      <c r="FP2" s="59"/>
      <c r="FQ2" s="59"/>
      <c r="FR2" s="59"/>
      <c r="FS2" s="59"/>
      <c r="FT2" s="59"/>
      <c r="FU2" s="59"/>
      <c r="FV2" s="59"/>
      <c r="FW2" s="59"/>
      <c r="FX2" s="59"/>
      <c r="FY2" s="59"/>
      <c r="FZ2" s="59"/>
      <c r="GA2" s="59"/>
      <c r="GB2" s="59"/>
      <c r="GC2" s="59"/>
      <c r="GD2" s="59"/>
      <c r="GE2" s="59"/>
      <c r="GF2" s="59"/>
      <c r="GG2" s="59"/>
      <c r="GH2" s="59"/>
      <c r="GI2" s="59"/>
      <c r="GJ2" s="59"/>
      <c r="GK2" s="59"/>
      <c r="GL2" s="59"/>
      <c r="GM2" s="59"/>
      <c r="GN2" s="59"/>
    </row>
    <row r="3" spans="1:196" x14ac:dyDescent="0.3">
      <c r="A3" s="59"/>
      <c r="B3" s="59"/>
      <c r="C3" s="59"/>
      <c r="D3" s="59"/>
      <c r="E3" s="59"/>
      <c r="F3" s="59"/>
      <c r="G3" s="59"/>
      <c r="H3" s="59"/>
      <c r="I3" s="59"/>
      <c r="J3" s="59"/>
      <c r="K3" s="59"/>
      <c r="L3" s="59"/>
      <c r="M3" s="59"/>
      <c r="N3" s="59"/>
      <c r="O3" s="59"/>
      <c r="P3" s="59"/>
      <c r="Q3" s="59"/>
      <c r="R3" s="59"/>
      <c r="S3" s="59"/>
      <c r="T3" s="59"/>
      <c r="U3" s="59"/>
      <c r="V3" s="59"/>
      <c r="W3" s="59"/>
      <c r="X3" s="59"/>
      <c r="Y3" s="59"/>
      <c r="Z3" s="59"/>
      <c r="AA3" s="59"/>
      <c r="AB3" s="59"/>
      <c r="AC3" s="59"/>
      <c r="AD3" s="59"/>
      <c r="AE3" s="59"/>
      <c r="AF3" s="59"/>
      <c r="AG3" s="59"/>
      <c r="AH3" s="59"/>
      <c r="AI3" s="59"/>
      <c r="AJ3" s="59"/>
      <c r="AK3" s="59"/>
      <c r="AL3" s="59"/>
      <c r="AM3" s="59"/>
      <c r="AN3" s="59"/>
      <c r="AO3" s="59"/>
      <c r="AP3" s="59"/>
      <c r="AQ3" s="59"/>
      <c r="AR3" s="59"/>
      <c r="AS3" s="59"/>
      <c r="AT3" s="59"/>
      <c r="AU3" s="59"/>
      <c r="AV3" s="59"/>
      <c r="AW3" s="59"/>
      <c r="AX3" s="59"/>
      <c r="AY3" s="59"/>
      <c r="AZ3" s="59"/>
      <c r="BA3" s="59"/>
      <c r="BB3" s="59"/>
      <c r="BC3" s="59"/>
      <c r="BD3" s="59"/>
      <c r="BE3" s="59"/>
      <c r="BF3" s="59"/>
      <c r="BG3" s="59"/>
      <c r="BH3" s="59"/>
      <c r="BI3" s="59"/>
      <c r="BJ3" s="59"/>
      <c r="BK3" s="59"/>
      <c r="BL3" s="59"/>
      <c r="BM3" s="59"/>
      <c r="BN3" s="59"/>
      <c r="BO3" s="59"/>
      <c r="BP3" s="59"/>
      <c r="BQ3" s="59"/>
      <c r="BR3" s="59"/>
      <c r="BS3" s="59"/>
      <c r="BT3" s="59"/>
      <c r="BU3" s="59"/>
      <c r="BV3" s="59"/>
      <c r="BW3" s="59"/>
      <c r="BX3" s="59"/>
      <c r="BY3" s="59"/>
      <c r="BZ3" s="59"/>
      <c r="CA3" s="59"/>
      <c r="CB3" s="59"/>
      <c r="CC3" s="59"/>
      <c r="CD3" s="59"/>
      <c r="CE3" s="59"/>
      <c r="CF3" s="59"/>
      <c r="CG3" s="59"/>
      <c r="CH3" s="59"/>
      <c r="CI3" s="59"/>
      <c r="CJ3" s="59"/>
      <c r="CK3" s="59"/>
      <c r="CL3" s="59"/>
      <c r="CM3" s="59"/>
      <c r="CN3" s="59"/>
      <c r="CO3" s="59"/>
      <c r="CP3" s="59"/>
      <c r="CQ3" s="59"/>
      <c r="CR3" s="59"/>
      <c r="CS3" s="59"/>
      <c r="CT3" s="59"/>
      <c r="CU3" s="59"/>
      <c r="CV3" s="59"/>
      <c r="CW3" s="59"/>
      <c r="CX3" s="59"/>
      <c r="CY3" s="59"/>
      <c r="CZ3" s="59"/>
      <c r="DA3" s="59"/>
      <c r="DB3" s="59"/>
      <c r="DC3" s="59"/>
      <c r="DD3" s="59"/>
      <c r="DE3" s="59"/>
      <c r="DF3" s="59"/>
      <c r="DG3" s="59"/>
      <c r="DH3" s="59"/>
      <c r="DI3" s="59"/>
      <c r="DJ3" s="59"/>
      <c r="DK3" s="59"/>
      <c r="DL3" s="59"/>
      <c r="DM3" s="59"/>
      <c r="DN3" s="59"/>
      <c r="DO3" s="59"/>
      <c r="DP3" s="59"/>
      <c r="DQ3" s="59"/>
      <c r="DR3" s="59"/>
      <c r="DS3" s="59"/>
      <c r="DT3" s="59"/>
      <c r="DU3" s="59"/>
      <c r="DV3" s="59"/>
      <c r="DW3" s="59"/>
      <c r="DX3" s="59"/>
      <c r="DY3" s="59"/>
      <c r="DZ3" s="59"/>
      <c r="EA3" s="59"/>
      <c r="EB3" s="59"/>
      <c r="EC3" s="59"/>
      <c r="ED3" s="59"/>
      <c r="EE3" s="59"/>
      <c r="EF3" s="59"/>
      <c r="EG3" s="59"/>
      <c r="EH3" s="59"/>
      <c r="EI3" s="59"/>
      <c r="EJ3" s="59"/>
      <c r="EK3" s="59"/>
      <c r="EL3" s="59"/>
      <c r="EM3" s="59"/>
      <c r="EN3" s="59"/>
      <c r="EO3" s="59"/>
      <c r="EP3" s="59"/>
      <c r="EQ3" s="59"/>
      <c r="ER3" s="59"/>
      <c r="ES3" s="59"/>
      <c r="ET3" s="59"/>
      <c r="EU3" s="59"/>
      <c r="EV3" s="59"/>
      <c r="EW3" s="59"/>
      <c r="EX3" s="59"/>
      <c r="EY3" s="59"/>
      <c r="EZ3" s="59"/>
      <c r="FA3" s="59"/>
      <c r="FB3" s="59"/>
      <c r="FC3" s="59"/>
      <c r="FD3" s="59"/>
      <c r="FE3" s="59"/>
      <c r="FF3" s="59"/>
      <c r="FG3" s="59"/>
      <c r="FH3" s="59"/>
      <c r="FI3" s="59"/>
      <c r="FJ3" s="59"/>
      <c r="FK3" s="59"/>
      <c r="FL3" s="59"/>
      <c r="FM3" s="59"/>
      <c r="FN3" s="59"/>
      <c r="FO3" s="59"/>
      <c r="FP3" s="59"/>
      <c r="FQ3" s="59"/>
      <c r="FR3" s="59"/>
      <c r="FS3" s="59"/>
      <c r="FT3" s="59"/>
      <c r="FU3" s="61">
        <f>GETPIVOTDATA("LoanID",'MAIN DASHBOARD PIVOTS'!$A$16,"LoanStatus","NPA")</f>
        <v>0.08</v>
      </c>
      <c r="FV3" s="59"/>
      <c r="FW3" s="59"/>
      <c r="FX3" s="59"/>
      <c r="FY3" s="59"/>
      <c r="FZ3" s="59"/>
      <c r="GA3" s="59"/>
      <c r="GB3" s="59"/>
      <c r="GC3" s="59"/>
      <c r="GD3" s="59"/>
      <c r="GE3" s="59"/>
      <c r="GF3" s="59"/>
      <c r="GG3" s="59"/>
      <c r="GH3" s="59"/>
      <c r="GI3" s="59"/>
      <c r="GJ3" s="59"/>
      <c r="GK3" s="59"/>
      <c r="GL3" s="59"/>
      <c r="GM3" s="59"/>
      <c r="GN3" s="59"/>
    </row>
    <row r="4" spans="1:196" x14ac:dyDescent="0.3">
      <c r="A4" s="59"/>
      <c r="B4" s="59"/>
      <c r="C4" s="59"/>
      <c r="D4" s="59"/>
      <c r="E4" s="59"/>
      <c r="F4" s="59"/>
      <c r="G4" s="59"/>
      <c r="H4" s="59"/>
      <c r="I4" s="59"/>
      <c r="J4" s="59"/>
      <c r="K4" s="59"/>
      <c r="L4" s="59"/>
      <c r="M4" s="59"/>
      <c r="N4" s="59"/>
      <c r="O4" s="59"/>
      <c r="P4" s="59"/>
      <c r="Q4" s="59"/>
      <c r="R4" s="59"/>
      <c r="S4" s="59"/>
      <c r="T4" s="59"/>
      <c r="U4" s="59"/>
      <c r="V4" s="59"/>
      <c r="W4" s="59"/>
      <c r="X4" s="59"/>
      <c r="Y4" s="59"/>
      <c r="Z4" s="59"/>
      <c r="AA4" s="59"/>
      <c r="AB4" s="59"/>
      <c r="AC4" s="59"/>
      <c r="AD4" s="59"/>
      <c r="AE4" s="59"/>
      <c r="AF4" s="59"/>
      <c r="AG4" s="59"/>
      <c r="AH4" s="59"/>
      <c r="AI4" s="59"/>
      <c r="AJ4" s="59"/>
      <c r="AK4" s="59"/>
      <c r="AL4" s="59"/>
      <c r="AM4" s="59"/>
      <c r="AN4" s="59"/>
      <c r="AO4" s="59"/>
      <c r="AP4" s="59"/>
      <c r="AQ4" s="59"/>
      <c r="AR4" s="59"/>
      <c r="AS4" s="59"/>
      <c r="AT4" s="59"/>
      <c r="AU4" s="59"/>
      <c r="AV4" s="59"/>
      <c r="AW4" s="59"/>
      <c r="AX4" s="59"/>
      <c r="AY4" s="59"/>
      <c r="AZ4" s="59"/>
      <c r="BA4" s="59"/>
      <c r="BB4" s="59"/>
      <c r="BC4" s="59"/>
      <c r="BD4" s="59"/>
      <c r="BE4" s="59"/>
      <c r="BF4" s="59"/>
      <c r="BG4" s="59"/>
      <c r="BH4" s="59"/>
      <c r="BI4" s="59"/>
      <c r="BJ4" s="59"/>
      <c r="BK4" s="59"/>
      <c r="BL4" s="59"/>
      <c r="BM4" s="59"/>
      <c r="BN4" s="59"/>
      <c r="BO4" s="59"/>
      <c r="BP4" s="59"/>
      <c r="BQ4" s="59"/>
      <c r="BR4" s="59"/>
      <c r="BS4" s="59"/>
      <c r="BT4" s="59"/>
      <c r="BU4" s="59"/>
      <c r="BV4" s="59"/>
      <c r="BW4" s="59"/>
      <c r="BX4" s="59"/>
      <c r="BY4" s="59"/>
      <c r="BZ4" s="59"/>
      <c r="CA4" s="59"/>
      <c r="CB4" s="59"/>
      <c r="CC4" s="59"/>
      <c r="CD4" s="59"/>
      <c r="CE4" s="59"/>
      <c r="CF4" s="59"/>
      <c r="CG4" s="59"/>
      <c r="CH4" s="59"/>
      <c r="CI4" s="59"/>
      <c r="CJ4" s="59"/>
      <c r="CK4" s="59"/>
      <c r="CL4" s="59"/>
      <c r="CM4" s="59"/>
      <c r="CN4" s="59"/>
      <c r="CO4" s="59"/>
      <c r="CP4" s="59"/>
      <c r="CQ4" s="59"/>
      <c r="CR4" s="59"/>
      <c r="CS4" s="59"/>
      <c r="CT4" s="59"/>
      <c r="CU4" s="59"/>
      <c r="CV4" s="59"/>
      <c r="CW4" s="59"/>
      <c r="CX4" s="59"/>
      <c r="CY4" s="59"/>
      <c r="CZ4" s="59"/>
      <c r="DA4" s="59"/>
      <c r="DB4" s="59"/>
      <c r="DC4" s="59"/>
      <c r="DD4" s="59"/>
      <c r="DE4" s="59"/>
      <c r="DF4" s="59"/>
      <c r="DG4" s="59"/>
      <c r="DH4" s="59"/>
      <c r="DI4" s="59"/>
      <c r="DJ4" s="59"/>
      <c r="DK4" s="59"/>
      <c r="DL4" s="59"/>
      <c r="DM4" s="59"/>
      <c r="DN4" s="59"/>
      <c r="DO4" s="59"/>
      <c r="DP4" s="59"/>
      <c r="DQ4" s="59"/>
      <c r="DR4" s="59"/>
      <c r="DS4" s="59"/>
      <c r="DT4" s="59"/>
      <c r="DU4" s="59"/>
      <c r="DV4" s="59"/>
      <c r="DW4" s="59"/>
      <c r="DX4" s="59"/>
      <c r="DY4" s="59"/>
      <c r="DZ4" s="59"/>
      <c r="EA4" s="59"/>
      <c r="EB4" s="59"/>
      <c r="EC4" s="59"/>
      <c r="ED4" s="59"/>
      <c r="EE4" s="59"/>
      <c r="EF4" s="59"/>
      <c r="EG4" s="59"/>
      <c r="EH4" s="59"/>
      <c r="EI4" s="59"/>
      <c r="EJ4" s="59"/>
      <c r="EK4" s="59"/>
      <c r="EL4" s="59"/>
      <c r="EM4" s="59"/>
      <c r="EN4" s="59"/>
      <c r="EO4" s="59"/>
      <c r="EP4" s="59"/>
      <c r="EQ4" s="59"/>
      <c r="ER4" s="59"/>
      <c r="ES4" s="59"/>
      <c r="ET4" s="59"/>
      <c r="EU4" s="59"/>
      <c r="EV4" s="59"/>
      <c r="EW4" s="59"/>
      <c r="EX4" s="59"/>
      <c r="EY4" s="59"/>
      <c r="EZ4" s="59"/>
      <c r="FA4" s="59"/>
      <c r="FB4" s="59"/>
      <c r="FC4" s="59"/>
      <c r="FD4" s="59"/>
      <c r="FE4" s="59"/>
      <c r="FF4" s="59"/>
      <c r="FG4" s="59"/>
      <c r="FH4" s="59"/>
      <c r="FI4" s="59"/>
      <c r="FJ4" s="59"/>
      <c r="FK4" s="59"/>
      <c r="FL4" s="59"/>
      <c r="FM4" s="59"/>
      <c r="FN4" s="59"/>
      <c r="FO4" s="59"/>
      <c r="FP4" s="59"/>
      <c r="FQ4" s="59"/>
      <c r="FR4" s="59"/>
      <c r="FS4" s="59"/>
      <c r="FT4" s="59"/>
      <c r="FU4" s="59"/>
      <c r="FV4" s="59"/>
      <c r="FW4" s="59"/>
      <c r="FX4" s="59"/>
      <c r="FY4" s="59"/>
      <c r="FZ4" s="59"/>
      <c r="GA4" s="59"/>
      <c r="GB4" s="59"/>
      <c r="GC4" s="59"/>
      <c r="GD4" s="59"/>
      <c r="GE4" s="59"/>
      <c r="GF4" s="59"/>
      <c r="GG4" s="59"/>
      <c r="GH4" s="59"/>
      <c r="GI4" s="59"/>
      <c r="GJ4" s="59"/>
      <c r="GK4" s="59"/>
      <c r="GL4" s="59"/>
      <c r="GM4" s="59"/>
      <c r="GN4" s="59"/>
    </row>
    <row r="5" spans="1:196" x14ac:dyDescent="0.3">
      <c r="A5" s="59"/>
      <c r="B5" s="59"/>
      <c r="C5" s="59"/>
      <c r="D5" s="59"/>
      <c r="E5" s="59"/>
      <c r="F5" s="59"/>
      <c r="G5" s="59"/>
      <c r="H5" s="59"/>
      <c r="I5" s="59"/>
      <c r="J5" s="59"/>
      <c r="K5" s="59"/>
      <c r="L5" s="59"/>
      <c r="M5" s="59"/>
      <c r="N5" s="59"/>
      <c r="O5" s="59"/>
      <c r="P5" s="59"/>
      <c r="Q5" s="59"/>
      <c r="R5" s="59"/>
      <c r="S5" s="59"/>
      <c r="T5" s="59"/>
      <c r="U5" s="59"/>
      <c r="V5" s="59"/>
      <c r="W5" s="59"/>
      <c r="X5" s="59"/>
      <c r="Y5" s="59"/>
      <c r="Z5" s="59"/>
      <c r="AA5" s="59"/>
      <c r="AB5" s="59"/>
      <c r="AC5" s="59"/>
      <c r="AD5" s="59"/>
      <c r="AE5" s="59"/>
      <c r="AF5" s="59"/>
      <c r="AG5" s="59"/>
      <c r="AH5" s="59"/>
      <c r="AI5" s="59"/>
      <c r="AJ5" s="59"/>
      <c r="AK5" s="59"/>
      <c r="AL5" s="59"/>
      <c r="AM5" s="59"/>
      <c r="AN5" s="59"/>
      <c r="AO5" s="59"/>
      <c r="AP5" s="59"/>
      <c r="AQ5" s="59"/>
      <c r="AR5" s="59"/>
      <c r="AS5" s="59"/>
      <c r="AT5" s="59"/>
      <c r="AU5" s="59"/>
      <c r="AV5" s="59"/>
      <c r="AW5" s="59"/>
      <c r="AX5" s="59"/>
      <c r="AY5" s="59"/>
      <c r="AZ5" s="59"/>
      <c r="BA5" s="59"/>
      <c r="BB5" s="59"/>
      <c r="BC5" s="59"/>
      <c r="BD5" s="59"/>
      <c r="BE5" s="59"/>
      <c r="BF5" s="59"/>
      <c r="BG5" s="59"/>
      <c r="BH5" s="59"/>
      <c r="BI5" s="59"/>
      <c r="BJ5" s="59"/>
      <c r="BK5" s="59"/>
      <c r="BL5" s="59"/>
      <c r="BM5" s="59"/>
      <c r="BN5" s="59"/>
      <c r="BO5" s="59"/>
      <c r="BP5" s="59"/>
      <c r="BQ5" s="59"/>
      <c r="BR5" s="59"/>
      <c r="BS5" s="59"/>
      <c r="BT5" s="59"/>
      <c r="BU5" s="59"/>
      <c r="BV5" s="59"/>
      <c r="BW5" s="59"/>
      <c r="BX5" s="59"/>
      <c r="BY5" s="59"/>
      <c r="BZ5" s="59"/>
      <c r="CA5" s="59"/>
      <c r="CB5" s="59"/>
      <c r="CC5" s="59"/>
      <c r="CD5" s="59"/>
      <c r="CE5" s="59"/>
      <c r="CF5" s="59"/>
      <c r="CG5" s="59"/>
      <c r="CH5" s="59"/>
      <c r="CI5" s="59"/>
      <c r="CJ5" s="59"/>
      <c r="CK5" s="59"/>
      <c r="CL5" s="59"/>
      <c r="CM5" s="59"/>
      <c r="CN5" s="59"/>
      <c r="CO5" s="59"/>
      <c r="CP5" s="59"/>
      <c r="CQ5" s="59"/>
      <c r="CR5" s="59"/>
      <c r="CS5" s="59"/>
      <c r="CT5" s="59"/>
      <c r="CU5" s="59"/>
      <c r="CV5" s="59"/>
      <c r="CW5" s="59"/>
      <c r="CX5" s="59"/>
      <c r="CY5" s="59"/>
      <c r="CZ5" s="59"/>
      <c r="DA5" s="59"/>
      <c r="DB5" s="59"/>
      <c r="DC5" s="59"/>
      <c r="DD5" s="59"/>
      <c r="DE5" s="59"/>
      <c r="DF5" s="59"/>
      <c r="DG5" s="59"/>
      <c r="DH5" s="59"/>
      <c r="DI5" s="59"/>
      <c r="DJ5" s="59"/>
      <c r="DK5" s="59"/>
      <c r="DL5" s="59"/>
      <c r="DM5" s="59"/>
      <c r="DN5" s="59"/>
      <c r="DO5" s="59"/>
      <c r="DP5" s="59"/>
      <c r="DQ5" s="59"/>
      <c r="DR5" s="59"/>
      <c r="DS5" s="59"/>
      <c r="DT5" s="59"/>
      <c r="DU5" s="59"/>
      <c r="DV5" s="59"/>
      <c r="DW5" s="59"/>
      <c r="DX5" s="59"/>
      <c r="DY5" s="59"/>
      <c r="DZ5" s="59"/>
      <c r="EA5" s="59"/>
      <c r="EB5" s="59"/>
      <c r="EC5" s="59"/>
      <c r="ED5" s="59"/>
      <c r="EE5" s="59"/>
      <c r="EF5" s="59"/>
      <c r="EG5" s="59"/>
      <c r="EH5" s="59"/>
      <c r="EI5" s="59"/>
      <c r="EJ5" s="59">
        <f>GETPIVOTDATA("LoanID",'MAIN DASHBOARD PIVOTS'!$A$117)</f>
        <v>200</v>
      </c>
      <c r="EK5" s="59"/>
      <c r="EL5" s="59"/>
      <c r="EM5" s="59"/>
      <c r="EN5" s="59"/>
      <c r="EO5" s="59"/>
      <c r="EP5" s="59"/>
      <c r="EQ5" s="59"/>
      <c r="ER5" s="59"/>
      <c r="ES5" s="59"/>
      <c r="ET5" s="59"/>
      <c r="EU5" s="59"/>
      <c r="EV5" s="59"/>
      <c r="EW5" s="59"/>
      <c r="EX5" s="59"/>
      <c r="EY5" s="59"/>
      <c r="EZ5" s="59"/>
      <c r="FA5" s="59"/>
      <c r="FB5" s="59"/>
      <c r="FC5" s="59"/>
      <c r="FD5" s="59"/>
      <c r="FE5" s="59"/>
      <c r="FF5" s="59"/>
      <c r="FG5" s="59"/>
      <c r="FH5" s="59"/>
      <c r="FI5" s="59"/>
      <c r="FJ5" s="59"/>
      <c r="FK5" s="59"/>
      <c r="FL5" s="59"/>
      <c r="FM5" s="59"/>
      <c r="FN5" s="59"/>
      <c r="FO5" s="59"/>
      <c r="FP5" s="59"/>
      <c r="FQ5" s="59"/>
      <c r="FR5" s="59"/>
      <c r="FS5" s="59"/>
      <c r="FT5" s="59"/>
      <c r="FU5" s="59"/>
      <c r="FV5" s="59"/>
      <c r="FW5" s="59"/>
      <c r="FX5" s="59"/>
      <c r="FY5" s="59"/>
      <c r="FZ5" s="59"/>
      <c r="GA5" s="59"/>
      <c r="GB5" s="59"/>
      <c r="GC5" s="59"/>
      <c r="GD5" s="59"/>
      <c r="GE5" s="59"/>
      <c r="GF5" s="59"/>
      <c r="GG5" s="59"/>
      <c r="GH5" s="59"/>
      <c r="GI5" s="59"/>
      <c r="GJ5" s="59"/>
      <c r="GK5" s="59"/>
      <c r="GL5" s="59"/>
      <c r="GM5" s="59"/>
      <c r="GN5" s="59"/>
    </row>
    <row r="6" spans="1:196" x14ac:dyDescent="0.3">
      <c r="A6" s="59"/>
      <c r="B6" s="59"/>
      <c r="C6" s="59"/>
      <c r="D6" s="59"/>
      <c r="E6" s="59"/>
      <c r="F6" s="59"/>
      <c r="G6" s="59"/>
      <c r="H6" s="59"/>
      <c r="I6" s="59"/>
      <c r="J6" s="59"/>
      <c r="K6" s="59"/>
      <c r="L6" s="59"/>
      <c r="M6" s="59"/>
      <c r="N6" s="59"/>
      <c r="O6" s="59"/>
      <c r="P6" s="59"/>
      <c r="Q6" s="59"/>
      <c r="R6" s="59"/>
      <c r="S6" s="59"/>
      <c r="T6" s="59"/>
      <c r="U6" s="59"/>
      <c r="V6" s="59"/>
      <c r="W6" s="59"/>
      <c r="X6" s="59"/>
      <c r="Y6" s="59"/>
      <c r="Z6" s="59"/>
      <c r="AA6" s="59"/>
      <c r="AB6" s="59"/>
      <c r="AC6" s="59"/>
      <c r="AD6" s="59"/>
      <c r="AE6" s="59"/>
      <c r="AF6" s="59"/>
      <c r="AG6" s="59"/>
      <c r="AH6" s="59"/>
      <c r="AI6" s="59"/>
      <c r="AJ6" s="59"/>
      <c r="AK6" s="59"/>
      <c r="AL6" s="59"/>
      <c r="AM6" s="59"/>
      <c r="AN6" s="59"/>
      <c r="AO6" s="59"/>
      <c r="AP6" s="59"/>
      <c r="AQ6" s="59"/>
      <c r="AR6" s="59"/>
      <c r="AS6" s="59"/>
      <c r="AT6" s="59"/>
      <c r="AU6" s="59"/>
      <c r="AV6" s="59"/>
      <c r="AW6" s="59"/>
      <c r="AX6" s="59"/>
      <c r="AY6" s="59"/>
      <c r="AZ6" s="59"/>
      <c r="BA6" s="59"/>
      <c r="BB6" s="59"/>
      <c r="BC6" s="59"/>
      <c r="BD6" s="59"/>
      <c r="BE6" s="59"/>
      <c r="BF6" s="59"/>
      <c r="BG6" s="59"/>
      <c r="BH6" s="59"/>
      <c r="BI6" s="59"/>
      <c r="BJ6" s="59"/>
      <c r="BK6" s="59"/>
      <c r="BL6" s="59"/>
      <c r="BM6" s="59"/>
      <c r="BN6" s="59"/>
      <c r="BO6" s="59"/>
      <c r="BP6" s="59"/>
      <c r="BQ6" s="59"/>
      <c r="BR6" s="59"/>
      <c r="BS6" s="59"/>
      <c r="BT6" s="59"/>
      <c r="BU6" s="59"/>
      <c r="BV6" s="59"/>
      <c r="BW6" s="59"/>
      <c r="BX6" s="59"/>
      <c r="BY6" s="59"/>
      <c r="BZ6" s="59"/>
      <c r="CA6" s="59"/>
      <c r="CB6" s="59"/>
      <c r="CC6" s="59"/>
      <c r="CD6" s="59"/>
      <c r="CE6" s="59"/>
      <c r="CF6" s="59"/>
      <c r="CG6" s="59"/>
      <c r="CH6" s="59"/>
      <c r="CI6" s="59"/>
      <c r="CJ6" s="59"/>
      <c r="CK6" s="59"/>
      <c r="CL6" s="59"/>
      <c r="CM6" s="59"/>
      <c r="CN6" s="59"/>
      <c r="CO6" s="59"/>
      <c r="CP6" s="59"/>
      <c r="CQ6" s="59"/>
      <c r="CR6" s="59"/>
      <c r="CS6" s="59"/>
      <c r="CT6" s="59"/>
      <c r="CU6" s="59"/>
      <c r="CV6" s="59"/>
      <c r="CW6" s="59"/>
      <c r="CX6" s="59"/>
      <c r="CY6" s="59"/>
      <c r="CZ6" s="59"/>
      <c r="DA6" s="59"/>
      <c r="DB6" s="59"/>
      <c r="DC6" s="59"/>
      <c r="DD6" s="59"/>
      <c r="DE6" s="59"/>
      <c r="DF6" s="59"/>
      <c r="DG6" s="59"/>
      <c r="DH6" s="59"/>
      <c r="DI6" s="59"/>
      <c r="DJ6" s="59"/>
      <c r="DK6" s="59"/>
      <c r="DL6" s="59"/>
      <c r="DM6" s="59"/>
      <c r="DN6" s="59"/>
      <c r="DO6" s="59"/>
      <c r="DP6" s="59"/>
      <c r="DQ6" s="59"/>
      <c r="DR6" s="59"/>
      <c r="DS6" s="59"/>
      <c r="DT6" s="59"/>
      <c r="DU6" s="59"/>
      <c r="DV6" s="59"/>
      <c r="DW6" s="59"/>
      <c r="DX6" s="59"/>
      <c r="DY6" s="59"/>
      <c r="DZ6" s="59"/>
      <c r="EA6" s="59"/>
      <c r="EB6" s="59"/>
      <c r="EC6" s="59"/>
      <c r="ED6" s="59"/>
      <c r="EE6" s="59"/>
      <c r="EF6" s="59"/>
      <c r="EG6" s="59"/>
      <c r="EH6" s="59"/>
      <c r="EI6" s="59"/>
      <c r="EJ6" s="59"/>
      <c r="EK6" s="59"/>
      <c r="EL6" s="59"/>
      <c r="EM6" s="59"/>
      <c r="EN6" s="59"/>
      <c r="EO6" s="59"/>
      <c r="EP6" s="59"/>
      <c r="EQ6" s="59"/>
      <c r="ER6" s="59"/>
      <c r="ES6" s="59"/>
      <c r="ET6" s="59"/>
      <c r="EU6" s="59"/>
      <c r="EV6" s="59"/>
      <c r="EW6" s="59"/>
      <c r="EX6" s="59"/>
      <c r="EY6" s="59"/>
      <c r="EZ6" s="59"/>
      <c r="FA6" s="59"/>
      <c r="FB6" s="59"/>
      <c r="FC6" s="59"/>
      <c r="FD6" s="59"/>
      <c r="FE6" s="59"/>
      <c r="FF6" s="59"/>
      <c r="FG6" s="59"/>
      <c r="FH6" s="59"/>
      <c r="FI6" s="59"/>
      <c r="FJ6" s="59"/>
      <c r="FK6" s="59"/>
      <c r="FL6" s="59"/>
      <c r="FM6" s="59"/>
      <c r="FN6" s="59"/>
      <c r="FO6" s="59"/>
      <c r="FP6" s="59"/>
      <c r="FQ6" s="59"/>
      <c r="FR6" s="59"/>
      <c r="FS6" s="59"/>
      <c r="FT6" s="59"/>
      <c r="FU6" s="59"/>
      <c r="FV6" s="59"/>
      <c r="FW6" s="59"/>
      <c r="FX6" s="59"/>
      <c r="FY6" s="59"/>
      <c r="FZ6" s="59"/>
      <c r="GA6" s="59"/>
      <c r="GB6" s="59"/>
      <c r="GC6" s="59"/>
      <c r="GD6" s="59"/>
      <c r="GE6" s="59"/>
      <c r="GF6" s="59"/>
      <c r="GG6" s="59"/>
      <c r="GH6" s="59"/>
      <c r="GI6" s="59"/>
      <c r="GJ6" s="59"/>
      <c r="GK6" s="59"/>
      <c r="GL6" s="59"/>
      <c r="GM6" s="59"/>
      <c r="GN6" s="59"/>
    </row>
    <row r="7" spans="1:196" x14ac:dyDescent="0.3">
      <c r="A7" s="59"/>
      <c r="B7" s="59"/>
      <c r="C7" s="59"/>
      <c r="D7" s="59"/>
      <c r="E7" s="59"/>
      <c r="F7" s="59"/>
      <c r="G7" s="59"/>
      <c r="H7" s="59"/>
      <c r="I7" s="59"/>
      <c r="J7" s="59"/>
      <c r="K7" s="59"/>
      <c r="L7" s="59"/>
      <c r="M7" s="59"/>
      <c r="N7" s="59"/>
      <c r="O7" s="59"/>
      <c r="P7" s="59"/>
      <c r="Q7" s="59"/>
      <c r="R7" s="59"/>
      <c r="S7" s="59"/>
      <c r="T7" s="59"/>
      <c r="U7" s="59"/>
      <c r="V7" s="59"/>
      <c r="W7" s="59"/>
      <c r="X7" s="59"/>
      <c r="Y7" s="59"/>
      <c r="Z7" s="59"/>
      <c r="AA7" s="59"/>
      <c r="AB7" s="59"/>
      <c r="AC7" s="59"/>
      <c r="AD7" s="59"/>
      <c r="AE7" s="59"/>
      <c r="AF7" s="59"/>
      <c r="AG7" s="59"/>
      <c r="AH7" s="59"/>
      <c r="AI7" s="59"/>
      <c r="AJ7" s="59"/>
      <c r="AK7" s="59"/>
      <c r="AL7" s="59"/>
      <c r="AM7" s="59"/>
      <c r="AN7" s="59"/>
      <c r="AO7" s="59"/>
      <c r="AP7" s="59"/>
      <c r="AQ7" s="59"/>
      <c r="AR7" s="59"/>
      <c r="AS7" s="59"/>
      <c r="AT7" s="59"/>
      <c r="AU7" s="59"/>
      <c r="AV7" s="59"/>
      <c r="AW7" s="59"/>
      <c r="AX7" s="59"/>
      <c r="AY7" s="59"/>
      <c r="AZ7" s="59"/>
      <c r="BA7" s="59"/>
      <c r="BB7" s="59"/>
      <c r="BC7" s="59"/>
      <c r="BD7" s="59"/>
      <c r="BE7" s="59"/>
      <c r="BF7" s="59"/>
      <c r="BG7" s="59"/>
      <c r="BH7" s="59"/>
      <c r="BI7" s="59"/>
      <c r="BJ7" s="59"/>
      <c r="BK7" s="59"/>
      <c r="BL7" s="59"/>
      <c r="BM7" s="59"/>
      <c r="BN7" s="59"/>
      <c r="BO7" s="59"/>
      <c r="BP7" s="59"/>
      <c r="BQ7" s="59"/>
      <c r="BR7" s="59"/>
      <c r="BS7" s="59"/>
      <c r="BT7" s="59"/>
      <c r="BU7" s="59"/>
      <c r="BV7" s="59"/>
      <c r="BW7" s="59"/>
      <c r="BX7" s="59"/>
      <c r="BY7" s="59"/>
      <c r="BZ7" s="59"/>
      <c r="CA7" s="59"/>
      <c r="CB7" s="59"/>
      <c r="CC7" s="59"/>
      <c r="CD7" s="59"/>
      <c r="CE7" s="59"/>
      <c r="CF7" s="59"/>
      <c r="CG7" s="59"/>
      <c r="CH7" s="59"/>
      <c r="CI7" s="59"/>
      <c r="CJ7" s="59"/>
      <c r="CK7" s="59"/>
      <c r="CL7" s="59"/>
      <c r="CM7" s="59"/>
      <c r="CN7" s="59"/>
      <c r="CO7" s="59"/>
      <c r="CP7" s="59"/>
      <c r="CQ7" s="59"/>
      <c r="CR7" s="59"/>
      <c r="CS7" s="59"/>
      <c r="CT7" s="59"/>
      <c r="CU7" s="59"/>
      <c r="CV7" s="59"/>
      <c r="CW7" s="59"/>
      <c r="CX7" s="59"/>
      <c r="CY7" s="59"/>
      <c r="CZ7" s="59"/>
      <c r="DA7" s="59"/>
      <c r="DB7" s="59"/>
      <c r="DC7" s="59"/>
      <c r="DD7" s="59"/>
      <c r="DE7" s="59"/>
      <c r="DF7" s="59"/>
      <c r="DG7" s="59"/>
      <c r="DH7" s="59"/>
      <c r="DI7" s="59"/>
      <c r="DJ7" s="59"/>
      <c r="DK7" s="59"/>
      <c r="DL7" s="59"/>
      <c r="DM7" s="59"/>
      <c r="DN7" s="59"/>
      <c r="DO7" s="59"/>
      <c r="DP7" s="59"/>
      <c r="DQ7" s="59"/>
      <c r="DR7" s="59"/>
      <c r="DS7" s="59"/>
      <c r="DT7" s="59"/>
      <c r="DU7" s="59"/>
      <c r="DV7" s="59"/>
      <c r="DW7" s="59"/>
      <c r="DX7" s="59"/>
      <c r="DY7" s="59"/>
      <c r="DZ7" s="59"/>
      <c r="EA7" s="59"/>
      <c r="EB7" s="59"/>
      <c r="EC7" s="59"/>
      <c r="ED7" s="59"/>
      <c r="EE7" s="59"/>
      <c r="EF7" s="59"/>
      <c r="EG7" s="59"/>
      <c r="EH7" s="59"/>
      <c r="EI7" s="59"/>
      <c r="EJ7" s="59"/>
      <c r="EK7" s="59"/>
      <c r="EL7" s="59"/>
      <c r="EM7" s="59"/>
      <c r="EN7" s="59"/>
      <c r="EO7" s="59"/>
      <c r="EP7" s="59"/>
      <c r="EQ7" s="59"/>
      <c r="ER7" s="59"/>
      <c r="ES7" s="59"/>
      <c r="ET7" s="59"/>
      <c r="EU7" s="59"/>
      <c r="EV7" s="59"/>
      <c r="EW7" s="59"/>
      <c r="EX7" s="59"/>
      <c r="EY7" s="59"/>
      <c r="EZ7" s="59"/>
      <c r="FA7" s="59"/>
      <c r="FB7" s="59"/>
      <c r="FC7" s="59"/>
      <c r="FD7" s="59"/>
      <c r="FE7" s="59"/>
      <c r="FF7" s="59"/>
      <c r="FG7" s="59"/>
      <c r="FH7" s="59"/>
      <c r="FI7" s="59"/>
      <c r="FJ7" s="59"/>
      <c r="FK7" s="59"/>
      <c r="FL7" s="59"/>
      <c r="FM7" s="59"/>
      <c r="FN7" s="59"/>
      <c r="FO7" s="59"/>
      <c r="FP7" s="59"/>
      <c r="FQ7" s="59"/>
      <c r="FR7" s="59"/>
      <c r="FS7" s="59"/>
      <c r="FT7" s="59"/>
      <c r="FU7" s="59"/>
      <c r="FV7" s="59"/>
      <c r="FW7" s="59"/>
      <c r="FX7" s="59"/>
      <c r="FY7" s="59"/>
      <c r="FZ7" s="59"/>
      <c r="GA7" s="59"/>
      <c r="GB7" s="59"/>
      <c r="GC7" s="59"/>
      <c r="GD7" s="59"/>
      <c r="GE7" s="59"/>
      <c r="GF7" s="59"/>
      <c r="GG7" s="59"/>
      <c r="GH7" s="59"/>
      <c r="GI7" s="59"/>
      <c r="GJ7" s="59"/>
      <c r="GK7" s="59"/>
      <c r="GL7" s="59"/>
      <c r="GM7" s="59"/>
      <c r="GN7" s="59"/>
    </row>
    <row r="8" spans="1:196" x14ac:dyDescent="0.3">
      <c r="A8" s="59"/>
      <c r="B8" s="59"/>
      <c r="C8" s="59"/>
      <c r="D8" s="59"/>
      <c r="E8" s="59"/>
      <c r="F8" s="59"/>
      <c r="G8" s="59"/>
      <c r="H8" s="59"/>
      <c r="I8" s="59"/>
      <c r="J8" s="59"/>
      <c r="K8" s="59"/>
      <c r="L8" s="59"/>
      <c r="M8" s="59"/>
      <c r="N8" s="59"/>
      <c r="O8" s="59"/>
      <c r="P8" s="59"/>
      <c r="Q8" s="59"/>
      <c r="R8" s="59"/>
      <c r="S8" s="59"/>
      <c r="T8" s="59"/>
      <c r="U8" s="59"/>
      <c r="V8" s="59"/>
      <c r="W8" s="59"/>
      <c r="X8" s="59"/>
      <c r="Y8" s="59"/>
      <c r="Z8" s="59"/>
      <c r="AA8" s="59"/>
      <c r="AB8" s="59"/>
      <c r="AC8" s="59"/>
      <c r="AD8" s="59"/>
      <c r="AE8" s="59"/>
      <c r="AF8" s="59"/>
      <c r="AG8" s="59"/>
      <c r="AH8" s="59"/>
      <c r="AI8" s="59"/>
      <c r="AJ8" s="59"/>
      <c r="AK8" s="59"/>
      <c r="AL8" s="59"/>
      <c r="AM8" s="59"/>
      <c r="AN8" s="59"/>
      <c r="AO8" s="59"/>
      <c r="AP8" s="59"/>
      <c r="AQ8" s="59"/>
      <c r="AR8" s="59"/>
      <c r="AS8" s="59"/>
      <c r="AT8" s="59"/>
      <c r="AU8" s="59"/>
      <c r="AV8" s="59"/>
      <c r="AW8" s="59"/>
      <c r="AX8" s="59"/>
      <c r="AY8" s="59"/>
      <c r="AZ8" s="59"/>
      <c r="BA8" s="59"/>
      <c r="BB8" s="59"/>
      <c r="BC8" s="59"/>
      <c r="BD8" s="59"/>
      <c r="BE8" s="59"/>
      <c r="BF8" s="59"/>
      <c r="BG8" s="59"/>
      <c r="BH8" s="59"/>
      <c r="BI8" s="59"/>
      <c r="BJ8" s="59"/>
      <c r="BK8" s="59"/>
      <c r="BL8" s="59"/>
      <c r="BM8" s="59"/>
      <c r="BN8" s="59"/>
      <c r="BO8" s="59"/>
      <c r="BP8" s="59"/>
      <c r="BQ8" s="59"/>
      <c r="BR8" s="59"/>
      <c r="BS8" s="59"/>
      <c r="BT8" s="59"/>
      <c r="BU8" s="59"/>
      <c r="BV8" s="59"/>
      <c r="BW8" s="59"/>
      <c r="BX8" s="59"/>
      <c r="BY8" s="59"/>
      <c r="BZ8" s="59"/>
      <c r="CA8" s="59"/>
      <c r="CB8" s="59"/>
      <c r="CC8" s="59"/>
      <c r="CD8" s="59"/>
      <c r="CE8" s="59"/>
      <c r="CF8" s="59"/>
      <c r="CG8" s="59"/>
      <c r="CH8" s="59"/>
      <c r="CI8" s="59"/>
      <c r="CJ8" s="59"/>
      <c r="CK8" s="59"/>
      <c r="CL8" s="59"/>
      <c r="CM8" s="59"/>
      <c r="CN8" s="59"/>
      <c r="CO8" s="59"/>
      <c r="CP8" s="59"/>
      <c r="CQ8" s="59"/>
      <c r="CR8" s="59"/>
      <c r="CS8" s="59"/>
      <c r="CT8" s="59"/>
      <c r="CU8" s="59"/>
      <c r="CV8" s="59"/>
      <c r="CW8" s="59"/>
      <c r="CX8" s="59"/>
      <c r="CY8" s="59"/>
      <c r="CZ8" s="59"/>
      <c r="DA8" s="59"/>
      <c r="DB8" s="59"/>
      <c r="DC8" s="59"/>
      <c r="DD8" s="59"/>
      <c r="DE8" s="59"/>
      <c r="DF8" s="59"/>
      <c r="DG8" s="59"/>
      <c r="DH8" s="59"/>
      <c r="DI8" s="59"/>
      <c r="DJ8" s="59"/>
      <c r="DK8" s="59"/>
      <c r="DL8" s="59"/>
      <c r="DM8" s="59"/>
      <c r="DN8" s="59"/>
      <c r="DO8" s="59"/>
      <c r="DP8" s="59"/>
      <c r="DQ8" s="59"/>
      <c r="DR8" s="59"/>
      <c r="DS8" s="59"/>
      <c r="DT8" s="59"/>
      <c r="DU8" s="59"/>
      <c r="DV8" s="59"/>
      <c r="DW8" s="59"/>
      <c r="DX8" s="59"/>
      <c r="DY8" s="59"/>
      <c r="DZ8" s="59"/>
      <c r="EA8" s="59"/>
      <c r="EB8" s="59"/>
      <c r="EC8" s="59"/>
      <c r="ED8" s="59"/>
      <c r="EE8" s="59"/>
      <c r="EF8" s="59"/>
      <c r="EG8" s="59"/>
      <c r="EH8" s="59"/>
      <c r="EI8" s="59"/>
      <c r="EJ8" s="59"/>
      <c r="EK8" s="59"/>
      <c r="EL8" s="59"/>
      <c r="EM8" s="59"/>
      <c r="EN8" s="59"/>
      <c r="EO8" s="59"/>
      <c r="EP8" s="59"/>
      <c r="EQ8" s="59"/>
      <c r="ER8" s="59"/>
      <c r="ES8" s="59"/>
      <c r="ET8" s="59"/>
      <c r="EU8" s="59"/>
      <c r="EV8" s="59"/>
      <c r="EW8" s="59"/>
      <c r="EX8" s="59"/>
      <c r="EY8" s="59"/>
      <c r="EZ8" s="59"/>
      <c r="FA8" s="59"/>
      <c r="FB8" s="59"/>
      <c r="FC8" s="59"/>
      <c r="FD8" s="59"/>
      <c r="FE8" s="59"/>
      <c r="FF8" s="59"/>
      <c r="FG8" s="59"/>
      <c r="FH8" s="59"/>
      <c r="FI8" s="59"/>
      <c r="FJ8" s="59"/>
      <c r="FK8" s="59"/>
      <c r="FL8" s="59"/>
      <c r="FM8" s="59"/>
      <c r="FN8" s="59"/>
      <c r="FO8" s="59"/>
      <c r="FP8" s="59"/>
      <c r="FQ8" s="59"/>
      <c r="FR8" s="59"/>
      <c r="FS8" s="59"/>
      <c r="FT8" s="59"/>
      <c r="FU8" s="59"/>
      <c r="FV8" s="59"/>
      <c r="FW8" s="59"/>
      <c r="FX8" s="59"/>
      <c r="FY8" s="59"/>
      <c r="FZ8" s="59"/>
      <c r="GA8" s="61"/>
      <c r="GB8" s="59"/>
      <c r="GC8" s="59"/>
      <c r="GD8" s="59"/>
      <c r="GE8" s="59"/>
      <c r="GF8" s="59"/>
      <c r="GG8" s="59"/>
      <c r="GH8" s="59"/>
      <c r="GI8" s="59"/>
      <c r="GJ8" s="59"/>
      <c r="GK8" s="59"/>
      <c r="GL8" s="59"/>
      <c r="GM8" s="59"/>
      <c r="GN8" s="59"/>
    </row>
    <row r="9" spans="1:196" x14ac:dyDescent="0.3">
      <c r="A9" s="59"/>
      <c r="B9" s="59"/>
      <c r="C9" s="59"/>
      <c r="D9" s="59"/>
      <c r="E9" s="59"/>
      <c r="F9" s="59"/>
      <c r="G9" s="59"/>
      <c r="H9" s="59"/>
      <c r="I9" s="59"/>
      <c r="J9" s="59"/>
      <c r="K9" s="59"/>
      <c r="L9" s="59"/>
      <c r="M9" s="59"/>
      <c r="N9" s="59"/>
      <c r="O9" s="59"/>
      <c r="P9" s="59"/>
      <c r="Q9" s="59"/>
      <c r="R9" s="59"/>
      <c r="S9" s="59"/>
      <c r="T9" s="59"/>
      <c r="U9" s="59"/>
      <c r="V9" s="59"/>
      <c r="W9" s="59"/>
      <c r="X9" s="59"/>
      <c r="Y9" s="59"/>
      <c r="Z9" s="59"/>
      <c r="AA9" s="59"/>
      <c r="AB9" s="59"/>
      <c r="AC9" s="59"/>
      <c r="AD9" s="59"/>
      <c r="AE9" s="59"/>
      <c r="AF9" s="59"/>
      <c r="AG9" s="59"/>
      <c r="AH9" s="59"/>
      <c r="AI9" s="59"/>
      <c r="AJ9" s="59"/>
      <c r="AK9" s="59"/>
      <c r="AL9" s="59"/>
      <c r="AM9" s="59"/>
      <c r="AN9" s="59"/>
      <c r="AO9" s="59"/>
      <c r="AP9" s="59"/>
      <c r="AQ9" s="59"/>
      <c r="AR9" s="59"/>
      <c r="AS9" s="59"/>
      <c r="AT9" s="59"/>
      <c r="AU9" s="59"/>
      <c r="AV9" s="59"/>
      <c r="AW9" s="59"/>
      <c r="AX9" s="59"/>
      <c r="AY9" s="59"/>
      <c r="AZ9" s="59"/>
      <c r="BA9" s="59"/>
      <c r="BB9" s="59"/>
      <c r="BC9" s="59"/>
      <c r="BD9" s="59"/>
      <c r="BE9" s="59"/>
      <c r="BF9" s="59"/>
      <c r="BG9" s="59"/>
      <c r="BH9" s="59"/>
      <c r="BI9" s="59"/>
      <c r="BJ9" s="59"/>
      <c r="BK9" s="59"/>
      <c r="BL9" s="59"/>
      <c r="BM9" s="59"/>
      <c r="BN9" s="59"/>
      <c r="BO9" s="59"/>
      <c r="BP9" s="59"/>
      <c r="BQ9" s="59"/>
      <c r="BR9" s="59"/>
      <c r="BS9" s="59"/>
      <c r="BT9" s="59"/>
      <c r="BU9" s="59"/>
      <c r="BV9" s="59"/>
      <c r="BW9" s="59"/>
      <c r="BX9" s="59"/>
      <c r="BY9" s="59"/>
      <c r="BZ9" s="59"/>
      <c r="CA9" s="59"/>
      <c r="CB9" s="59"/>
      <c r="CC9" s="59"/>
      <c r="CD9" s="59"/>
      <c r="CE9" s="59"/>
      <c r="CF9" s="59"/>
      <c r="CG9" s="59"/>
      <c r="CH9" s="59"/>
      <c r="CI9" s="59"/>
      <c r="CJ9" s="59"/>
      <c r="CK9" s="59"/>
      <c r="CL9" s="59"/>
      <c r="CM9" s="59"/>
      <c r="CN9" s="59"/>
      <c r="CO9" s="59"/>
      <c r="CP9" s="59"/>
      <c r="CQ9" s="59"/>
      <c r="CR9" s="59"/>
      <c r="CS9" s="59"/>
      <c r="CT9" s="59"/>
      <c r="CU9" s="59"/>
      <c r="CV9" s="59"/>
      <c r="CW9" s="59"/>
      <c r="CX9" s="59"/>
      <c r="CY9" s="59"/>
      <c r="CZ9" s="59"/>
      <c r="DA9" s="59"/>
      <c r="DB9" s="59"/>
      <c r="DC9" s="59"/>
      <c r="DD9" s="59"/>
      <c r="DE9" s="59"/>
      <c r="DF9" s="59"/>
      <c r="DG9" s="59"/>
      <c r="DH9" s="59"/>
      <c r="DI9" s="59"/>
      <c r="DJ9" s="59"/>
      <c r="DK9" s="59"/>
      <c r="DL9" s="59"/>
      <c r="DM9" s="59"/>
      <c r="DN9" s="59"/>
      <c r="DO9" s="59"/>
      <c r="DP9" s="59"/>
      <c r="DQ9" s="59"/>
      <c r="DR9" s="59"/>
      <c r="DS9" s="59"/>
      <c r="DT9" s="59"/>
      <c r="DU9" s="59"/>
      <c r="DV9" s="59"/>
      <c r="DW9" s="59"/>
      <c r="DX9" s="59"/>
      <c r="DY9" s="59"/>
      <c r="DZ9" s="59"/>
      <c r="EA9" s="59"/>
      <c r="EB9" s="59"/>
      <c r="EC9" s="59"/>
      <c r="ED9" s="59"/>
      <c r="EE9" s="59"/>
      <c r="EF9" s="59"/>
      <c r="EG9" s="59"/>
      <c r="EH9" s="59"/>
      <c r="EI9" s="59"/>
      <c r="EJ9" s="59"/>
      <c r="EK9" s="59"/>
      <c r="EL9" s="59"/>
      <c r="EM9" s="59"/>
      <c r="EN9" s="59"/>
      <c r="EO9" s="59"/>
      <c r="EP9" s="59"/>
      <c r="EQ9" s="59"/>
      <c r="ER9" s="59"/>
      <c r="ES9" s="59"/>
      <c r="ET9" s="59"/>
      <c r="EU9" s="59"/>
      <c r="EV9" s="59"/>
      <c r="EW9" s="59"/>
      <c r="EX9" s="59"/>
      <c r="EY9" s="59"/>
      <c r="EZ9" s="59"/>
      <c r="FA9" s="59"/>
      <c r="FB9" s="59"/>
      <c r="FC9" s="59"/>
      <c r="FD9" s="59"/>
      <c r="FE9" s="59"/>
      <c r="FF9" s="59"/>
      <c r="FG9" s="59"/>
      <c r="FH9" s="59"/>
      <c r="FI9" s="59"/>
      <c r="FJ9" s="59"/>
      <c r="FK9" s="59"/>
      <c r="FL9" s="59"/>
      <c r="FM9" s="59"/>
      <c r="FN9" s="59"/>
      <c r="FO9" s="59"/>
      <c r="FP9" s="59"/>
      <c r="FQ9" s="59"/>
      <c r="FR9" s="59"/>
      <c r="FS9" s="59"/>
      <c r="FT9" s="59"/>
      <c r="FU9" s="59"/>
      <c r="FV9" s="59"/>
      <c r="FW9" s="59"/>
      <c r="FX9" s="59"/>
      <c r="FY9" s="59"/>
      <c r="FZ9" s="59"/>
      <c r="GA9" s="62">
        <f>GETPIVOTDATA("LoanID",'MAIN DASHBOARD PIVOTS'!$A$16,"LoanStatus","Overdue")</f>
        <v>0.185</v>
      </c>
      <c r="GB9" s="59"/>
      <c r="GC9" s="59"/>
      <c r="GD9" s="59"/>
      <c r="GE9" s="59"/>
      <c r="GF9" s="59"/>
      <c r="GG9" s="59"/>
      <c r="GH9" s="59"/>
      <c r="GI9" s="59"/>
      <c r="GJ9" s="59"/>
      <c r="GK9" s="59"/>
      <c r="GL9" s="59"/>
      <c r="GM9" s="59"/>
      <c r="GN9" s="59"/>
    </row>
    <row r="10" spans="1:196" x14ac:dyDescent="0.3">
      <c r="A10" s="59"/>
      <c r="B10" s="59"/>
      <c r="C10" s="59"/>
      <c r="D10" s="59"/>
      <c r="E10" s="59"/>
      <c r="F10" s="59"/>
      <c r="G10" s="59"/>
      <c r="H10" s="59"/>
      <c r="I10" s="59"/>
      <c r="J10" s="59"/>
      <c r="K10" s="59"/>
      <c r="L10" s="59"/>
      <c r="M10" s="59"/>
      <c r="N10" s="59"/>
      <c r="O10" s="59"/>
      <c r="P10" s="59"/>
      <c r="Q10" s="59"/>
      <c r="R10" s="59"/>
      <c r="S10" s="59"/>
      <c r="T10" s="59"/>
      <c r="U10" s="59"/>
      <c r="V10" s="59"/>
      <c r="W10" s="59"/>
      <c r="X10" s="59"/>
      <c r="Y10" s="59"/>
      <c r="Z10" s="59"/>
      <c r="AA10" s="59"/>
      <c r="AB10" s="59"/>
      <c r="AC10" s="59"/>
      <c r="AD10" s="59"/>
      <c r="AE10" s="59"/>
      <c r="AF10" s="59"/>
      <c r="AG10" s="59"/>
      <c r="AH10" s="59"/>
      <c r="AI10" s="59"/>
      <c r="AJ10" s="59"/>
      <c r="AK10" s="59"/>
      <c r="AL10" s="59"/>
      <c r="AM10" s="59"/>
      <c r="AN10" s="59"/>
      <c r="AO10" s="59"/>
      <c r="AP10" s="59"/>
      <c r="AQ10" s="59"/>
      <c r="AR10" s="59"/>
      <c r="AS10" s="59"/>
      <c r="AT10" s="59"/>
      <c r="AU10" s="59"/>
      <c r="AV10" s="59"/>
      <c r="AW10" s="59"/>
      <c r="AX10" s="59"/>
      <c r="AY10" s="59"/>
      <c r="AZ10" s="59"/>
      <c r="BA10" s="59"/>
      <c r="BB10" s="59"/>
      <c r="BC10" s="59"/>
      <c r="BD10" s="59"/>
      <c r="BE10" s="59"/>
      <c r="BF10" s="59"/>
      <c r="BG10" s="59"/>
      <c r="BH10" s="59"/>
      <c r="BI10" s="59"/>
      <c r="BJ10" s="59"/>
      <c r="BK10" s="59"/>
      <c r="BL10" s="59"/>
      <c r="BM10" s="59"/>
      <c r="BN10" s="59"/>
      <c r="BO10" s="59"/>
      <c r="BP10" s="59"/>
      <c r="BQ10" s="59"/>
      <c r="BR10" s="59"/>
      <c r="BS10" s="59"/>
      <c r="BT10" s="59"/>
      <c r="BU10" s="59"/>
      <c r="BV10" s="59"/>
      <c r="BW10" s="59"/>
      <c r="BX10" s="59"/>
      <c r="BY10" s="59"/>
      <c r="BZ10" s="59"/>
      <c r="CA10" s="59"/>
      <c r="CB10" s="59"/>
      <c r="CC10" s="59"/>
      <c r="CD10" s="59"/>
      <c r="CE10" s="59"/>
      <c r="CF10" s="59"/>
      <c r="CG10" s="59"/>
      <c r="CH10" s="59"/>
      <c r="CI10" s="59"/>
      <c r="CJ10" s="59"/>
      <c r="CK10" s="59"/>
      <c r="CL10" s="59"/>
      <c r="CM10" s="59"/>
      <c r="CN10" s="59"/>
      <c r="CO10" s="59"/>
      <c r="CP10" s="59"/>
      <c r="CQ10" s="59"/>
      <c r="CR10" s="59"/>
      <c r="CS10" s="59"/>
      <c r="CT10" s="59"/>
      <c r="CU10" s="59"/>
      <c r="CV10" s="59"/>
      <c r="CW10" s="59"/>
      <c r="CX10" s="59"/>
      <c r="CY10" s="59"/>
      <c r="CZ10" s="59"/>
      <c r="DA10" s="59"/>
      <c r="DB10" s="59"/>
      <c r="DC10" s="59"/>
      <c r="DD10" s="59"/>
      <c r="DE10" s="59"/>
      <c r="DF10" s="59"/>
      <c r="DG10" s="59"/>
      <c r="DH10" s="59"/>
      <c r="DI10" s="59"/>
      <c r="DJ10" s="59"/>
      <c r="DK10" s="59"/>
      <c r="DL10" s="59"/>
      <c r="DM10" s="59"/>
      <c r="DN10" s="59"/>
      <c r="DO10" s="59"/>
      <c r="DP10" s="59"/>
      <c r="DQ10" s="59"/>
      <c r="DR10" s="59"/>
      <c r="DS10" s="59"/>
      <c r="DT10" s="59"/>
      <c r="DU10" s="59"/>
      <c r="DV10" s="59"/>
      <c r="DW10" s="59"/>
      <c r="DX10" s="59"/>
      <c r="DY10" s="59"/>
      <c r="DZ10" s="59"/>
      <c r="EA10" s="59"/>
      <c r="EB10" s="59"/>
      <c r="EC10" s="59"/>
      <c r="ED10" s="59"/>
      <c r="EE10" s="59"/>
      <c r="EF10" s="59"/>
      <c r="EG10" s="59"/>
      <c r="EH10" s="59"/>
      <c r="EI10" s="59"/>
      <c r="EJ10" s="59"/>
      <c r="EK10" s="59"/>
      <c r="EL10" s="59"/>
      <c r="EM10" s="59"/>
      <c r="EN10" s="59"/>
      <c r="EO10" s="59"/>
      <c r="EP10" s="59"/>
      <c r="EQ10" s="59"/>
      <c r="ER10" s="59"/>
      <c r="ES10" s="59"/>
      <c r="ET10" s="59"/>
      <c r="EU10" s="59"/>
      <c r="EV10" s="59"/>
      <c r="EW10" s="59"/>
      <c r="EX10" s="59"/>
      <c r="EY10" s="59"/>
      <c r="EZ10" s="59"/>
      <c r="FA10" s="59"/>
      <c r="FB10" s="59"/>
      <c r="FC10" s="59"/>
      <c r="FD10" s="59"/>
      <c r="FE10" s="59"/>
      <c r="FF10" s="59"/>
      <c r="FG10" s="59"/>
      <c r="FH10" s="59"/>
      <c r="FI10" s="59"/>
      <c r="FJ10" s="59"/>
      <c r="FK10" s="59"/>
      <c r="FL10" s="59"/>
      <c r="FM10" s="59"/>
      <c r="FN10" s="59"/>
      <c r="FO10" s="59"/>
      <c r="FP10" s="59"/>
      <c r="FQ10" s="59"/>
      <c r="FR10" s="59"/>
      <c r="FS10" s="59"/>
      <c r="FT10" s="59"/>
      <c r="FU10" s="59"/>
      <c r="FV10" s="59"/>
      <c r="FW10" s="59"/>
      <c r="FX10" s="59"/>
      <c r="FY10" s="59"/>
      <c r="FZ10" s="59"/>
      <c r="GA10" s="59"/>
      <c r="GB10" s="59"/>
      <c r="GC10" s="59"/>
      <c r="GD10" s="59"/>
      <c r="GE10" s="59"/>
      <c r="GF10" s="59"/>
      <c r="GG10" s="59"/>
      <c r="GH10" s="59"/>
      <c r="GI10" s="59"/>
      <c r="GJ10" s="59"/>
      <c r="GK10" s="59"/>
      <c r="GL10" s="59"/>
      <c r="GM10" s="59"/>
      <c r="GN10" s="59"/>
    </row>
    <row r="11" spans="1:196" x14ac:dyDescent="0.3">
      <c r="A11" s="59"/>
      <c r="B11" s="59"/>
      <c r="C11" s="59"/>
      <c r="D11" s="59"/>
      <c r="E11" s="59"/>
      <c r="F11" s="59"/>
      <c r="G11" s="59"/>
      <c r="H11" s="59"/>
      <c r="I11" s="59"/>
      <c r="J11" s="59"/>
      <c r="K11" s="59"/>
      <c r="L11" s="59"/>
      <c r="M11" s="59"/>
      <c r="N11" s="59"/>
      <c r="O11" s="59"/>
      <c r="P11" s="59"/>
      <c r="Q11" s="59"/>
      <c r="R11" s="59"/>
      <c r="S11" s="59"/>
      <c r="T11" s="59"/>
      <c r="U11" s="59"/>
      <c r="V11" s="59"/>
      <c r="W11" s="59"/>
      <c r="X11" s="59"/>
      <c r="Y11" s="59"/>
      <c r="Z11" s="59"/>
      <c r="AA11" s="59"/>
      <c r="AB11" s="59"/>
      <c r="AC11" s="59"/>
      <c r="AD11" s="59"/>
      <c r="AE11" s="59"/>
      <c r="AF11" s="59"/>
      <c r="AG11" s="59"/>
      <c r="AH11" s="59"/>
      <c r="AI11" s="59"/>
      <c r="AJ11" s="59"/>
      <c r="AK11" s="59"/>
      <c r="AL11" s="59"/>
      <c r="AM11" s="59"/>
      <c r="AN11" s="59"/>
      <c r="AO11" s="59"/>
      <c r="AP11" s="59"/>
      <c r="AQ11" s="59"/>
      <c r="AR11" s="59"/>
      <c r="AS11" s="59"/>
      <c r="AT11" s="59"/>
      <c r="AU11" s="59"/>
      <c r="AV11" s="59"/>
      <c r="AW11" s="59"/>
      <c r="AX11" s="59"/>
      <c r="AY11" s="59"/>
      <c r="AZ11" s="59"/>
      <c r="BA11" s="59"/>
      <c r="BB11" s="59"/>
      <c r="BC11" s="59"/>
      <c r="BD11" s="59"/>
      <c r="BE11" s="59"/>
      <c r="BF11" s="59"/>
      <c r="BG11" s="59"/>
      <c r="BH11" s="59"/>
      <c r="BI11" s="59"/>
      <c r="BJ11" s="59"/>
      <c r="BK11" s="59"/>
      <c r="BL11" s="59"/>
      <c r="BM11" s="59"/>
      <c r="BN11" s="59"/>
      <c r="BO11" s="59"/>
      <c r="BP11" s="59"/>
      <c r="BQ11" s="59"/>
      <c r="BR11" s="59"/>
      <c r="BS11" s="59"/>
      <c r="BT11" s="59"/>
      <c r="BU11" s="59"/>
      <c r="BV11" s="59"/>
      <c r="BW11" s="59"/>
      <c r="BX11" s="59"/>
      <c r="BY11" s="59"/>
      <c r="BZ11" s="59"/>
      <c r="CA11" s="59"/>
      <c r="CB11" s="59"/>
      <c r="CC11" s="59"/>
      <c r="CD11" s="59"/>
      <c r="CE11" s="59"/>
      <c r="CF11" s="59"/>
      <c r="CG11" s="59"/>
      <c r="CH11" s="59"/>
      <c r="CI11" s="59"/>
      <c r="CJ11" s="59"/>
      <c r="CK11" s="59"/>
      <c r="CL11" s="59"/>
      <c r="CM11" s="59"/>
      <c r="CN11" s="59"/>
      <c r="CO11" s="59"/>
      <c r="CP11" s="59"/>
      <c r="CQ11" s="59"/>
      <c r="CR11" s="59"/>
      <c r="CS11" s="59"/>
      <c r="CT11" s="59"/>
      <c r="CU11" s="59"/>
      <c r="CV11" s="59"/>
      <c r="CW11" s="59"/>
      <c r="CX11" s="59"/>
      <c r="CY11" s="59"/>
      <c r="CZ11" s="59"/>
      <c r="DA11" s="59"/>
      <c r="DB11" s="59"/>
      <c r="DC11" s="59"/>
      <c r="DD11" s="59"/>
      <c r="DE11" s="59"/>
      <c r="DF11" s="59"/>
      <c r="DG11" s="59"/>
      <c r="DH11" s="59"/>
      <c r="DI11" s="59"/>
      <c r="DJ11" s="59"/>
      <c r="DK11" s="59"/>
      <c r="DL11" s="59"/>
      <c r="DM11" s="59"/>
      <c r="DN11" s="59"/>
      <c r="DO11" s="59"/>
      <c r="DP11" s="59"/>
      <c r="DQ11" s="59"/>
      <c r="DR11" s="59"/>
      <c r="DS11" s="59"/>
      <c r="DT11" s="59"/>
      <c r="DU11" s="59"/>
      <c r="DV11" s="59"/>
      <c r="DW11" s="59"/>
      <c r="DX11" s="59"/>
      <c r="DY11" s="59"/>
      <c r="DZ11" s="59"/>
      <c r="EA11" s="59"/>
      <c r="EB11" s="59"/>
      <c r="EC11" s="59"/>
      <c r="ED11" s="59"/>
      <c r="EE11" s="59"/>
      <c r="EF11" s="59"/>
      <c r="EG11" s="59"/>
      <c r="EH11" s="59"/>
      <c r="EI11" s="59"/>
      <c r="EJ11" s="59"/>
      <c r="EK11" s="59"/>
      <c r="EL11" s="59"/>
      <c r="EM11" s="59"/>
      <c r="EN11" s="59"/>
      <c r="EO11" s="59"/>
      <c r="EP11" s="59"/>
      <c r="EQ11" s="59"/>
      <c r="ER11" s="59"/>
      <c r="ES11" s="59"/>
      <c r="ET11" s="59"/>
      <c r="EU11" s="59"/>
      <c r="EV11" s="59"/>
      <c r="EW11" s="59"/>
      <c r="EX11" s="59"/>
      <c r="EY11" s="59"/>
      <c r="EZ11" s="59"/>
      <c r="FA11" s="59"/>
      <c r="FB11" s="59"/>
      <c r="FC11" s="59"/>
      <c r="FD11" s="59"/>
      <c r="FE11" s="59"/>
      <c r="FF11" s="59"/>
      <c r="FG11" s="59"/>
      <c r="FH11" s="59"/>
      <c r="FI11" s="59"/>
      <c r="FJ11" s="59"/>
      <c r="FK11" s="59"/>
      <c r="FL11" s="59"/>
      <c r="FM11" s="59"/>
      <c r="FN11" s="59"/>
      <c r="FO11" s="59"/>
      <c r="FP11" s="59"/>
      <c r="FQ11" s="59"/>
      <c r="FR11" s="59"/>
      <c r="FS11" s="59"/>
      <c r="FT11" s="59"/>
      <c r="FU11" s="59"/>
      <c r="FV11" s="59"/>
      <c r="FW11" s="59"/>
      <c r="FX11" s="59"/>
      <c r="FY11" s="59"/>
      <c r="FZ11" s="59"/>
      <c r="GA11" s="59"/>
      <c r="GB11" s="59"/>
      <c r="GC11" s="59"/>
      <c r="GD11" s="59"/>
      <c r="GE11" s="59"/>
      <c r="GF11" s="59"/>
      <c r="GG11" s="59"/>
      <c r="GH11" s="59"/>
      <c r="GI11" s="59"/>
      <c r="GJ11" s="59"/>
      <c r="GK11" s="59"/>
      <c r="GL11" s="59"/>
      <c r="GM11" s="59"/>
      <c r="GN11" s="59"/>
    </row>
    <row r="12" spans="1:196" x14ac:dyDescent="0.3">
      <c r="A12" s="59"/>
      <c r="B12" s="59"/>
      <c r="C12" s="59"/>
      <c r="D12" s="59"/>
      <c r="E12" s="59"/>
      <c r="F12" s="59"/>
      <c r="G12" s="59"/>
      <c r="H12" s="59"/>
      <c r="I12" s="59"/>
      <c r="J12" s="59"/>
      <c r="K12" s="59"/>
      <c r="L12" s="59"/>
      <c r="M12" s="59"/>
      <c r="N12" s="59"/>
      <c r="O12" s="59"/>
      <c r="P12" s="59"/>
      <c r="Q12" s="59"/>
      <c r="R12" s="59"/>
      <c r="S12" s="59"/>
      <c r="T12" s="59"/>
      <c r="U12" s="59"/>
      <c r="V12" s="59"/>
      <c r="W12" s="59"/>
      <c r="X12" s="59"/>
      <c r="Y12" s="59"/>
      <c r="Z12" s="59"/>
      <c r="AA12" s="59"/>
      <c r="AB12" s="59"/>
      <c r="AC12" s="59"/>
      <c r="AD12" s="59"/>
      <c r="AE12" s="59"/>
      <c r="AF12" s="59"/>
      <c r="AG12" s="59"/>
      <c r="AH12" s="59"/>
      <c r="AI12" s="59"/>
      <c r="AJ12" s="59"/>
      <c r="AK12" s="59"/>
      <c r="AL12" s="59"/>
      <c r="AM12" s="59"/>
      <c r="AN12" s="59"/>
      <c r="AO12" s="59"/>
      <c r="AP12" s="59"/>
      <c r="AQ12" s="59"/>
      <c r="AR12" s="59"/>
      <c r="AS12" s="59"/>
      <c r="AT12" s="59"/>
      <c r="AU12" s="59"/>
      <c r="AV12" s="59"/>
      <c r="AW12" s="59"/>
      <c r="AX12" s="59"/>
      <c r="AY12" s="59"/>
      <c r="AZ12" s="59"/>
      <c r="BA12" s="59"/>
      <c r="BB12" s="59"/>
      <c r="BC12" s="59"/>
      <c r="BD12" s="59"/>
      <c r="BE12" s="59"/>
      <c r="BF12" s="59"/>
      <c r="BG12" s="59"/>
      <c r="BH12" s="59"/>
      <c r="BI12" s="59"/>
      <c r="BJ12" s="59"/>
      <c r="BK12" s="59"/>
      <c r="BL12" s="59"/>
      <c r="BM12" s="59"/>
      <c r="BN12" s="59"/>
      <c r="BO12" s="59"/>
      <c r="BP12" s="59"/>
      <c r="BQ12" s="59"/>
      <c r="BR12" s="59"/>
      <c r="BS12" s="59"/>
      <c r="BT12" s="59"/>
      <c r="BU12" s="59"/>
      <c r="BV12" s="59"/>
      <c r="BW12" s="59"/>
      <c r="BX12" s="59"/>
      <c r="BY12" s="59"/>
      <c r="BZ12" s="59"/>
      <c r="CA12" s="59"/>
      <c r="CB12" s="59"/>
      <c r="CC12" s="59"/>
      <c r="CD12" s="59"/>
      <c r="CE12" s="59"/>
      <c r="CF12" s="59"/>
      <c r="CG12" s="59"/>
      <c r="CH12" s="59"/>
      <c r="CI12" s="59"/>
      <c r="CJ12" s="59"/>
      <c r="CK12" s="59"/>
      <c r="CL12" s="59"/>
      <c r="CM12" s="59"/>
      <c r="CN12" s="59"/>
      <c r="CO12" s="59"/>
      <c r="CP12" s="59"/>
      <c r="CQ12" s="59"/>
      <c r="CR12" s="59"/>
      <c r="CS12" s="59"/>
      <c r="CT12" s="59"/>
      <c r="CU12" s="59"/>
      <c r="CV12" s="59"/>
      <c r="CW12" s="59"/>
      <c r="CX12" s="59"/>
      <c r="CY12" s="59"/>
      <c r="CZ12" s="59"/>
      <c r="DA12" s="59"/>
      <c r="DB12" s="59"/>
      <c r="DC12" s="59"/>
      <c r="DD12" s="59"/>
      <c r="DE12" s="59"/>
      <c r="DF12" s="59"/>
      <c r="DG12" s="59"/>
      <c r="DH12" s="59"/>
      <c r="DI12" s="59"/>
      <c r="DJ12" s="59"/>
      <c r="DK12" s="59"/>
      <c r="DL12" s="59"/>
      <c r="DM12" s="59"/>
      <c r="DN12" s="59"/>
      <c r="DO12" s="59"/>
      <c r="DP12" s="59"/>
      <c r="DQ12" s="59"/>
      <c r="DR12" s="59"/>
      <c r="DS12" s="59"/>
      <c r="DT12" s="59"/>
      <c r="DU12" s="59"/>
      <c r="DV12" s="59"/>
      <c r="DW12" s="59"/>
      <c r="DX12" s="59"/>
      <c r="DY12" s="59"/>
      <c r="DZ12" s="59"/>
      <c r="EA12" s="59"/>
      <c r="EB12" s="59"/>
      <c r="EC12" s="59"/>
      <c r="ED12" s="59"/>
      <c r="EE12" s="59"/>
      <c r="EF12" s="59"/>
      <c r="EG12" s="59"/>
      <c r="EH12" s="59"/>
      <c r="EI12" s="59"/>
      <c r="EJ12" s="59"/>
      <c r="EK12" s="59"/>
      <c r="EL12" s="59"/>
      <c r="EM12" s="59"/>
      <c r="EN12" s="59"/>
      <c r="EO12" s="59"/>
      <c r="EP12" s="59"/>
      <c r="EQ12" s="59"/>
      <c r="ER12" s="59"/>
      <c r="ES12" s="59"/>
      <c r="ET12" s="59"/>
      <c r="EU12" s="59"/>
      <c r="EV12" s="59"/>
      <c r="EW12" s="59"/>
      <c r="EX12" s="59"/>
      <c r="EY12" s="59"/>
      <c r="EZ12" s="59"/>
      <c r="FA12" s="59"/>
      <c r="FB12" s="59"/>
      <c r="FC12" s="59"/>
      <c r="FD12" s="59"/>
      <c r="FE12" s="59"/>
      <c r="FF12" s="59"/>
      <c r="FG12" s="59"/>
      <c r="FH12" s="59"/>
      <c r="FI12" s="59"/>
      <c r="FJ12" s="59"/>
      <c r="FK12" s="59"/>
      <c r="FL12" s="59"/>
      <c r="FM12" s="59"/>
      <c r="FN12" s="59"/>
      <c r="FO12" s="59"/>
      <c r="FP12" s="59"/>
      <c r="FQ12" s="59"/>
      <c r="FR12" s="59"/>
      <c r="FS12" s="59"/>
      <c r="FT12" s="59"/>
      <c r="FU12" s="59"/>
      <c r="FV12" s="59"/>
      <c r="FW12" s="59"/>
      <c r="FX12" s="59"/>
      <c r="FY12" s="59"/>
      <c r="FZ12" s="59"/>
      <c r="GA12" s="59"/>
      <c r="GB12" s="59"/>
      <c r="GC12" s="59"/>
      <c r="GD12" s="59"/>
      <c r="GE12" s="59"/>
      <c r="GF12" s="59"/>
      <c r="GG12" s="59"/>
      <c r="GH12" s="59"/>
      <c r="GI12" s="59"/>
      <c r="GJ12" s="59"/>
      <c r="GK12" s="59"/>
      <c r="GL12" s="59"/>
      <c r="GM12" s="59"/>
      <c r="GN12" s="59"/>
    </row>
    <row r="13" spans="1:196" x14ac:dyDescent="0.3">
      <c r="A13" s="59"/>
      <c r="B13" s="59"/>
      <c r="C13" s="59"/>
      <c r="D13" s="59"/>
      <c r="E13" s="59"/>
      <c r="F13" s="59"/>
      <c r="G13" s="59"/>
      <c r="H13" s="59"/>
      <c r="I13" s="59"/>
      <c r="J13" s="59"/>
      <c r="K13" s="59"/>
      <c r="L13" s="59"/>
      <c r="M13" s="59"/>
      <c r="N13" s="59"/>
      <c r="O13" s="59"/>
      <c r="P13" s="59"/>
      <c r="Q13" s="59"/>
      <c r="R13" s="59"/>
      <c r="S13" s="59"/>
      <c r="T13" s="59"/>
      <c r="U13" s="59"/>
      <c r="V13" s="59"/>
      <c r="W13" s="59"/>
      <c r="X13" s="59"/>
      <c r="Y13" s="59"/>
      <c r="Z13" s="59"/>
      <c r="AA13" s="59"/>
      <c r="AB13" s="59"/>
      <c r="AC13" s="59"/>
      <c r="AD13" s="59"/>
      <c r="AE13" s="59"/>
      <c r="AF13" s="59"/>
      <c r="AG13" s="59"/>
      <c r="AH13" s="59"/>
      <c r="AI13" s="59"/>
      <c r="AJ13" s="59"/>
      <c r="AK13" s="59"/>
      <c r="AL13" s="59"/>
      <c r="AM13" s="59"/>
      <c r="AN13" s="59"/>
      <c r="AO13" s="59"/>
      <c r="AP13" s="59"/>
      <c r="AQ13" s="59"/>
      <c r="AR13" s="59"/>
      <c r="AS13" s="59"/>
      <c r="AT13" s="59"/>
      <c r="AU13" s="59"/>
      <c r="AV13" s="59"/>
      <c r="AW13" s="59"/>
      <c r="AX13" s="59"/>
      <c r="AY13" s="59"/>
      <c r="AZ13" s="59"/>
      <c r="BA13" s="59"/>
      <c r="BB13" s="59"/>
      <c r="BC13" s="59"/>
      <c r="BD13" s="59"/>
      <c r="BE13" s="59"/>
      <c r="BF13" s="59"/>
      <c r="BG13" s="59"/>
      <c r="BH13" s="59"/>
      <c r="BI13" s="59"/>
      <c r="BJ13" s="59"/>
      <c r="BK13" s="59"/>
      <c r="BL13" s="59"/>
      <c r="BM13" s="59"/>
      <c r="BN13" s="59"/>
      <c r="BO13" s="59"/>
      <c r="BP13" s="59"/>
      <c r="BQ13" s="59"/>
      <c r="BR13" s="59"/>
      <c r="BS13" s="59"/>
      <c r="BT13" s="59"/>
      <c r="BU13" s="59"/>
      <c r="BV13" s="59"/>
      <c r="BW13" s="59"/>
      <c r="BX13" s="59"/>
      <c r="BY13" s="59"/>
      <c r="BZ13" s="59"/>
      <c r="CA13" s="59"/>
      <c r="CB13" s="59"/>
      <c r="CC13" s="59"/>
      <c r="CD13" s="59"/>
      <c r="CE13" s="59"/>
      <c r="CF13" s="59"/>
      <c r="CG13" s="59"/>
      <c r="CH13" s="59"/>
      <c r="CI13" s="59"/>
      <c r="CJ13" s="59"/>
      <c r="CK13" s="59"/>
      <c r="CL13" s="59"/>
      <c r="CM13" s="59"/>
      <c r="CN13" s="59"/>
      <c r="CO13" s="59"/>
      <c r="CP13" s="59"/>
      <c r="CQ13" s="59"/>
      <c r="CR13" s="59"/>
      <c r="CS13" s="59"/>
      <c r="CT13" s="59"/>
      <c r="CU13" s="59"/>
      <c r="CV13" s="59"/>
      <c r="CW13" s="59"/>
      <c r="CX13" s="59"/>
      <c r="CY13" s="59"/>
      <c r="CZ13" s="59"/>
      <c r="DA13" s="59"/>
      <c r="DB13" s="59"/>
      <c r="DC13" s="59"/>
      <c r="DD13" s="59"/>
      <c r="DE13" s="59"/>
      <c r="DF13" s="59"/>
      <c r="DG13" s="59"/>
      <c r="DH13" s="59"/>
      <c r="DI13" s="59"/>
      <c r="DJ13" s="59"/>
      <c r="DK13" s="59"/>
      <c r="DL13" s="59"/>
      <c r="DM13" s="59"/>
      <c r="DN13" s="59"/>
      <c r="DO13" s="59"/>
      <c r="DP13" s="59"/>
      <c r="DQ13" s="59"/>
      <c r="DR13" s="59"/>
      <c r="DS13" s="59"/>
      <c r="DT13" s="59"/>
      <c r="DU13" s="59"/>
      <c r="DV13" s="59"/>
      <c r="DW13" s="59"/>
      <c r="DX13" s="59"/>
      <c r="DY13" s="59"/>
      <c r="DZ13" s="59"/>
      <c r="EA13" s="59"/>
      <c r="EB13" s="59"/>
      <c r="EC13" s="59"/>
      <c r="ED13" s="59"/>
      <c r="EE13" s="59"/>
      <c r="EF13" s="59"/>
      <c r="EG13" s="59"/>
      <c r="EH13" s="59"/>
      <c r="EI13" s="59"/>
      <c r="EJ13" s="59"/>
      <c r="EK13" s="59"/>
      <c r="EL13" s="59"/>
      <c r="EM13" s="59"/>
      <c r="EN13" s="59"/>
      <c r="EO13" s="59"/>
      <c r="EP13" s="59"/>
      <c r="EQ13" s="59"/>
      <c r="ER13" s="59"/>
      <c r="ES13" s="59"/>
      <c r="ET13" s="59"/>
      <c r="EU13" s="59"/>
      <c r="EV13" s="59"/>
      <c r="EW13" s="59"/>
      <c r="EX13" s="59"/>
      <c r="EY13" s="59"/>
      <c r="EZ13" s="59"/>
      <c r="FA13" s="59"/>
      <c r="FB13" s="59"/>
      <c r="FC13" s="59"/>
      <c r="FD13" s="59"/>
      <c r="FE13" s="59"/>
      <c r="FF13" s="59"/>
      <c r="FG13" s="59"/>
      <c r="FH13" s="59"/>
      <c r="FI13" s="59"/>
      <c r="FJ13" s="59"/>
      <c r="FK13" s="59"/>
      <c r="FL13" s="59"/>
      <c r="FM13" s="59"/>
      <c r="FN13" s="59"/>
      <c r="FO13" s="59"/>
      <c r="FP13" s="59"/>
      <c r="FQ13" s="59"/>
      <c r="FR13" s="59"/>
      <c r="FS13" s="59"/>
      <c r="FT13" s="59"/>
      <c r="FU13" s="59"/>
      <c r="FV13" s="59"/>
      <c r="FW13" s="59"/>
      <c r="FX13" s="59"/>
      <c r="FY13" s="59"/>
      <c r="FZ13" s="59"/>
      <c r="GA13" s="59"/>
      <c r="GB13" s="59"/>
      <c r="GC13" s="59"/>
      <c r="GD13" s="59"/>
      <c r="GE13" s="59"/>
      <c r="GF13" s="59"/>
      <c r="GG13" s="59"/>
      <c r="GH13" s="59"/>
      <c r="GI13" s="59"/>
      <c r="GJ13" s="59"/>
      <c r="GK13" s="59"/>
      <c r="GL13" s="59"/>
      <c r="GM13" s="59"/>
      <c r="GN13" s="59"/>
    </row>
    <row r="14" spans="1:196" x14ac:dyDescent="0.3">
      <c r="A14" s="59"/>
      <c r="B14" s="59"/>
      <c r="C14" s="59"/>
      <c r="D14" s="59"/>
      <c r="E14" s="59"/>
      <c r="F14" s="59"/>
      <c r="G14" s="59"/>
      <c r="H14" s="59"/>
      <c r="I14" s="59"/>
      <c r="J14" s="59"/>
      <c r="K14" s="59"/>
      <c r="L14" s="59"/>
      <c r="M14" s="59"/>
      <c r="N14" s="59"/>
      <c r="O14" s="59"/>
      <c r="P14" s="59"/>
      <c r="Q14" s="59"/>
      <c r="R14" s="59"/>
      <c r="S14" s="59"/>
      <c r="T14" s="59"/>
      <c r="U14" s="59"/>
      <c r="V14" s="59"/>
      <c r="W14" s="59"/>
      <c r="X14" s="59"/>
      <c r="Y14" s="59"/>
      <c r="Z14" s="59"/>
      <c r="AA14" s="59"/>
      <c r="AB14" s="59"/>
      <c r="AC14" s="59"/>
      <c r="AD14" s="59"/>
      <c r="AE14" s="59"/>
      <c r="AF14" s="59"/>
      <c r="AG14" s="59"/>
      <c r="AH14" s="59"/>
      <c r="AI14" s="59"/>
      <c r="AJ14" s="59"/>
      <c r="AK14" s="59"/>
      <c r="AL14" s="59"/>
      <c r="AM14" s="59"/>
      <c r="AN14" s="59"/>
      <c r="AO14" s="59"/>
      <c r="AP14" s="59"/>
      <c r="AQ14" s="59"/>
      <c r="AR14" s="59"/>
      <c r="AS14" s="59"/>
      <c r="AT14" s="59"/>
      <c r="AU14" s="59"/>
      <c r="AV14" s="59"/>
      <c r="AW14" s="59"/>
      <c r="AX14" s="59"/>
      <c r="AY14" s="59"/>
      <c r="AZ14" s="59"/>
      <c r="BA14" s="59"/>
      <c r="BB14" s="59"/>
      <c r="BC14" s="59"/>
      <c r="BD14" s="59"/>
      <c r="BE14" s="59"/>
      <c r="BF14" s="59"/>
      <c r="BG14" s="59"/>
      <c r="BH14" s="59"/>
      <c r="BI14" s="59"/>
      <c r="BJ14" s="59"/>
      <c r="BK14" s="59"/>
      <c r="BL14" s="59"/>
      <c r="BM14" s="59"/>
      <c r="BN14" s="59"/>
      <c r="BO14" s="59"/>
      <c r="BP14" s="59"/>
      <c r="BQ14" s="59"/>
      <c r="BR14" s="59"/>
      <c r="BS14" s="59"/>
      <c r="BT14" s="59"/>
      <c r="BU14" s="59"/>
      <c r="BV14" s="59"/>
      <c r="BW14" s="59"/>
      <c r="BX14" s="59"/>
      <c r="BY14" s="59"/>
      <c r="BZ14" s="59"/>
      <c r="CA14" s="59"/>
      <c r="CB14" s="59"/>
      <c r="CC14" s="59"/>
      <c r="CD14" s="59"/>
      <c r="CE14" s="59"/>
      <c r="CF14" s="59"/>
      <c r="CG14" s="59"/>
      <c r="CH14" s="59"/>
      <c r="CI14" s="59"/>
      <c r="CJ14" s="59"/>
      <c r="CK14" s="59"/>
      <c r="CL14" s="59"/>
      <c r="CM14" s="59"/>
      <c r="CN14" s="59"/>
      <c r="CO14" s="59"/>
      <c r="CP14" s="59"/>
      <c r="CQ14" s="59"/>
      <c r="CR14" s="59"/>
      <c r="CS14" s="59"/>
      <c r="CT14" s="59"/>
      <c r="CU14" s="59"/>
      <c r="CV14" s="59"/>
      <c r="CW14" s="59"/>
      <c r="CX14" s="59"/>
      <c r="CY14" s="59"/>
      <c r="CZ14" s="59"/>
      <c r="DA14" s="59"/>
      <c r="DB14" s="59"/>
      <c r="DC14" s="59"/>
      <c r="DD14" s="59"/>
      <c r="DE14" s="59"/>
      <c r="DF14" s="59"/>
      <c r="DG14" s="59"/>
      <c r="DH14" s="59"/>
      <c r="DI14" s="59"/>
      <c r="DJ14" s="59"/>
      <c r="DK14" s="59"/>
      <c r="DL14" s="59"/>
      <c r="DM14" s="59"/>
      <c r="DN14" s="59"/>
      <c r="DO14" s="59"/>
      <c r="DP14" s="59"/>
      <c r="DQ14" s="59"/>
      <c r="DR14" s="59"/>
      <c r="DS14" s="59"/>
      <c r="DT14" s="59"/>
      <c r="DU14" s="59"/>
      <c r="DV14" s="59"/>
      <c r="DW14" s="59"/>
      <c r="DX14" s="59"/>
      <c r="DY14" s="59"/>
      <c r="DZ14" s="59"/>
      <c r="EA14" s="59"/>
      <c r="EB14" s="59"/>
      <c r="EC14" s="59"/>
      <c r="ED14" s="59"/>
      <c r="EE14" s="59"/>
      <c r="EF14" s="59"/>
      <c r="EG14" s="59"/>
      <c r="EH14" s="59"/>
      <c r="EI14" s="59"/>
      <c r="EJ14" s="59"/>
      <c r="EK14" s="59"/>
      <c r="EL14" s="59"/>
      <c r="EM14" s="59"/>
      <c r="EN14" s="59"/>
      <c r="EO14" s="59"/>
      <c r="EP14" s="59"/>
      <c r="EQ14" s="59"/>
      <c r="ER14" s="59"/>
      <c r="ES14" s="59"/>
      <c r="ET14" s="59"/>
      <c r="EU14" s="59"/>
      <c r="EV14" s="59"/>
      <c r="EW14" s="59"/>
      <c r="EX14" s="59"/>
      <c r="EY14" s="59"/>
      <c r="EZ14" s="59"/>
      <c r="FA14" s="59"/>
      <c r="FB14" s="59"/>
      <c r="FC14" s="59"/>
      <c r="FD14" s="59"/>
      <c r="FE14" s="59"/>
      <c r="FF14" s="59"/>
      <c r="FG14" s="59"/>
      <c r="FH14" s="59"/>
      <c r="FI14" s="59"/>
      <c r="FJ14" s="59"/>
      <c r="FK14" s="59"/>
      <c r="FL14" s="59"/>
      <c r="FM14" s="59"/>
      <c r="FN14" s="59"/>
      <c r="FO14" s="59"/>
      <c r="FP14" s="59"/>
      <c r="FQ14" s="59"/>
      <c r="FR14" s="59"/>
      <c r="FS14" s="59"/>
      <c r="FT14" s="59"/>
      <c r="FU14" s="59"/>
      <c r="FV14" s="59"/>
      <c r="FW14" s="59"/>
      <c r="FX14" s="59"/>
      <c r="FY14" s="59"/>
      <c r="FZ14" s="59"/>
      <c r="GA14" s="59"/>
      <c r="GB14" s="59"/>
      <c r="GC14" s="59"/>
      <c r="GD14" s="59"/>
      <c r="GE14" s="59"/>
      <c r="GF14" s="59"/>
      <c r="GG14" s="59"/>
      <c r="GH14" s="59"/>
      <c r="GI14" s="59"/>
      <c r="GJ14" s="59"/>
      <c r="GK14" s="59"/>
      <c r="GL14" s="59"/>
      <c r="GM14" s="59"/>
      <c r="GN14" s="59"/>
    </row>
    <row r="15" spans="1:196" x14ac:dyDescent="0.3">
      <c r="A15" s="59"/>
      <c r="B15" s="59"/>
      <c r="C15" s="59"/>
      <c r="D15" s="59"/>
      <c r="E15" s="59"/>
      <c r="F15" s="59"/>
      <c r="G15" s="59"/>
      <c r="H15" s="59"/>
      <c r="I15" s="59"/>
      <c r="J15" s="59"/>
      <c r="K15" s="59"/>
      <c r="L15" s="59"/>
      <c r="M15" s="59"/>
      <c r="N15" s="59"/>
      <c r="O15" s="59"/>
      <c r="P15" s="59"/>
      <c r="Q15" s="59"/>
      <c r="R15" s="59"/>
      <c r="S15" s="59"/>
      <c r="T15" s="59"/>
      <c r="U15" s="59"/>
      <c r="V15" s="59"/>
      <c r="W15" s="59"/>
      <c r="X15" s="59"/>
      <c r="Y15" s="59"/>
      <c r="Z15" s="59"/>
      <c r="AA15" s="59"/>
      <c r="AB15" s="59"/>
      <c r="AC15" s="59"/>
      <c r="AD15" s="59"/>
      <c r="AE15" s="59"/>
      <c r="AF15" s="59"/>
      <c r="AG15" s="59"/>
      <c r="AH15" s="59"/>
      <c r="AI15" s="59"/>
      <c r="AJ15" s="59"/>
      <c r="AK15" s="59"/>
      <c r="AL15" s="59"/>
      <c r="AM15" s="59"/>
      <c r="AN15" s="59"/>
      <c r="AO15" s="59"/>
      <c r="AP15" s="59"/>
      <c r="AQ15" s="59"/>
      <c r="AR15" s="59"/>
      <c r="AS15" s="59"/>
      <c r="AT15" s="59"/>
      <c r="AU15" s="59"/>
      <c r="AV15" s="59"/>
      <c r="AW15" s="59"/>
      <c r="AX15" s="59"/>
      <c r="AY15" s="59"/>
      <c r="AZ15" s="59"/>
      <c r="BA15" s="59"/>
      <c r="BB15" s="59"/>
      <c r="BC15" s="59"/>
      <c r="BD15" s="59"/>
      <c r="BE15" s="59"/>
      <c r="BF15" s="59"/>
      <c r="BG15" s="59"/>
      <c r="BH15" s="59"/>
      <c r="BI15" s="59"/>
      <c r="BJ15" s="59"/>
      <c r="BK15" s="59"/>
      <c r="BL15" s="59"/>
      <c r="BM15" s="59"/>
      <c r="BN15" s="59"/>
      <c r="BO15" s="59"/>
      <c r="BP15" s="59"/>
      <c r="BQ15" s="59"/>
      <c r="BR15" s="59"/>
      <c r="BS15" s="59"/>
      <c r="BT15" s="59"/>
      <c r="BU15" s="59"/>
      <c r="BV15" s="59"/>
      <c r="BW15" s="59"/>
      <c r="BX15" s="59"/>
      <c r="BY15" s="59"/>
      <c r="BZ15" s="59"/>
      <c r="CA15" s="59"/>
      <c r="CB15" s="59"/>
      <c r="CC15" s="59"/>
      <c r="CD15" s="59"/>
      <c r="CE15" s="59"/>
      <c r="CF15" s="59"/>
      <c r="CG15" s="59"/>
      <c r="CH15" s="59"/>
      <c r="CI15" s="59"/>
      <c r="CJ15" s="59"/>
      <c r="CK15" s="59"/>
      <c r="CL15" s="59"/>
      <c r="CM15" s="59"/>
      <c r="CN15" s="59"/>
      <c r="CO15" s="59"/>
      <c r="CP15" s="59"/>
      <c r="CQ15" s="59"/>
      <c r="CR15" s="59"/>
      <c r="CS15" s="59"/>
      <c r="CT15" s="59"/>
      <c r="CU15" s="59"/>
      <c r="CV15" s="59"/>
      <c r="CW15" s="59"/>
      <c r="CX15" s="59"/>
      <c r="CY15" s="59"/>
      <c r="CZ15" s="59"/>
      <c r="DA15" s="59"/>
      <c r="DB15" s="59"/>
      <c r="DC15" s="59"/>
      <c r="DD15" s="59"/>
      <c r="DE15" s="59"/>
      <c r="DF15" s="59"/>
      <c r="DG15" s="59"/>
      <c r="DH15" s="59"/>
      <c r="DI15" s="59"/>
      <c r="DJ15" s="59"/>
      <c r="DK15" s="59"/>
      <c r="DL15" s="59"/>
      <c r="DM15" s="59"/>
      <c r="DN15" s="59"/>
      <c r="DO15" s="59"/>
      <c r="DP15" s="59"/>
      <c r="DQ15" s="59"/>
      <c r="DR15" s="59"/>
      <c r="DS15" s="59"/>
      <c r="DT15" s="59"/>
      <c r="DU15" s="59"/>
      <c r="DV15" s="59"/>
      <c r="DW15" s="59"/>
      <c r="DX15" s="59"/>
      <c r="DY15" s="59"/>
      <c r="DZ15" s="59"/>
      <c r="EA15" s="59"/>
      <c r="EB15" s="59"/>
      <c r="EC15" s="59"/>
      <c r="ED15" s="59"/>
      <c r="EE15" s="59"/>
      <c r="EF15" s="59"/>
      <c r="EG15" s="59"/>
      <c r="EH15" s="59"/>
      <c r="EI15" s="59"/>
      <c r="EJ15" s="59"/>
      <c r="EK15" s="59"/>
      <c r="EL15" s="59"/>
      <c r="EM15" s="59"/>
      <c r="EN15" s="59"/>
      <c r="EO15" s="59"/>
      <c r="EP15" s="59"/>
      <c r="EQ15" s="59"/>
      <c r="ER15" s="59"/>
      <c r="ES15" s="59"/>
      <c r="ET15" s="59"/>
      <c r="EU15" s="59"/>
      <c r="EV15" s="59"/>
      <c r="EW15" s="59"/>
      <c r="EX15" s="59"/>
      <c r="EY15" s="59"/>
      <c r="EZ15" s="59"/>
      <c r="FA15" s="59"/>
      <c r="FB15" s="59"/>
      <c r="FC15" s="59"/>
      <c r="FD15" s="59"/>
      <c r="FE15" s="59"/>
      <c r="FF15" s="59"/>
      <c r="FG15" s="59"/>
      <c r="FH15" s="59"/>
      <c r="FI15" s="59"/>
      <c r="FJ15" s="59"/>
      <c r="FK15" s="59"/>
      <c r="FL15" s="59"/>
      <c r="FM15" s="59"/>
      <c r="FN15" s="59"/>
      <c r="FO15" s="59"/>
      <c r="FP15" s="59"/>
      <c r="FQ15" s="59"/>
      <c r="FR15" s="59"/>
      <c r="FS15" s="59"/>
      <c r="FT15" s="59"/>
      <c r="FU15" s="59"/>
      <c r="FV15" s="59"/>
      <c r="FW15" s="59"/>
      <c r="FX15" s="59"/>
      <c r="FY15" s="59"/>
      <c r="FZ15" s="59"/>
      <c r="GA15" s="59"/>
      <c r="GB15" s="59"/>
      <c r="GC15" s="59"/>
      <c r="GD15" s="59"/>
      <c r="GE15" s="59"/>
      <c r="GF15" s="59"/>
      <c r="GG15" s="59"/>
      <c r="GH15" s="59"/>
      <c r="GI15" s="59"/>
      <c r="GJ15" s="59"/>
      <c r="GK15" s="59"/>
      <c r="GL15" s="59"/>
      <c r="GM15" s="59"/>
      <c r="GN15" s="59"/>
    </row>
    <row r="16" spans="1:196" x14ac:dyDescent="0.3">
      <c r="A16" s="59"/>
      <c r="B16" s="59"/>
      <c r="C16" s="59"/>
      <c r="D16" s="59"/>
      <c r="E16" s="59"/>
      <c r="F16" s="59"/>
      <c r="G16" s="59"/>
      <c r="H16" s="59"/>
      <c r="I16" s="59"/>
      <c r="J16" s="59"/>
      <c r="K16" s="59"/>
      <c r="L16" s="59"/>
      <c r="M16" s="59"/>
      <c r="N16" s="59"/>
      <c r="O16" s="59"/>
      <c r="P16" s="59"/>
      <c r="Q16" s="59"/>
      <c r="R16" s="59"/>
      <c r="S16" s="59"/>
      <c r="T16" s="59"/>
      <c r="U16" s="59"/>
      <c r="V16" s="59"/>
      <c r="W16" s="59"/>
      <c r="X16" s="59"/>
      <c r="Y16" s="59"/>
      <c r="Z16" s="59"/>
      <c r="AA16" s="59"/>
      <c r="AB16" s="59"/>
      <c r="AC16" s="59"/>
      <c r="AD16" s="59"/>
      <c r="AE16" s="59"/>
      <c r="AF16" s="59"/>
      <c r="AG16" s="59"/>
      <c r="AH16" s="59"/>
      <c r="AI16" s="59"/>
      <c r="AJ16" s="59"/>
      <c r="AK16" s="59"/>
      <c r="AL16" s="59"/>
      <c r="AM16" s="59"/>
      <c r="AN16" s="59"/>
      <c r="AO16" s="59"/>
      <c r="AP16" s="59"/>
      <c r="AQ16" s="59"/>
      <c r="AR16" s="59"/>
      <c r="AS16" s="59"/>
      <c r="AT16" s="59"/>
      <c r="AU16" s="59"/>
      <c r="AV16" s="59"/>
      <c r="AW16" s="59"/>
      <c r="AX16" s="59"/>
      <c r="AY16" s="59"/>
      <c r="AZ16" s="59"/>
      <c r="BA16" s="59"/>
      <c r="BB16" s="59"/>
      <c r="BC16" s="59"/>
      <c r="BD16" s="59"/>
      <c r="BE16" s="59"/>
      <c r="BF16" s="59"/>
      <c r="BG16" s="59"/>
      <c r="BH16" s="59"/>
      <c r="BI16" s="59"/>
      <c r="BJ16" s="59"/>
      <c r="BK16" s="59"/>
      <c r="BL16" s="59"/>
      <c r="BM16" s="59"/>
      <c r="BN16" s="59"/>
      <c r="BO16" s="59"/>
      <c r="BP16" s="59"/>
      <c r="BQ16" s="59"/>
      <c r="BR16" s="59"/>
      <c r="BS16" s="59"/>
      <c r="BT16" s="59"/>
      <c r="BU16" s="59"/>
      <c r="BV16" s="59"/>
      <c r="BW16" s="59"/>
      <c r="BX16" s="59"/>
      <c r="BY16" s="59"/>
      <c r="BZ16" s="59"/>
      <c r="CA16" s="59"/>
      <c r="CB16" s="59"/>
      <c r="CC16" s="59"/>
      <c r="CD16" s="59"/>
      <c r="CE16" s="59"/>
      <c r="CF16" s="59"/>
      <c r="CG16" s="59"/>
      <c r="CH16" s="59"/>
      <c r="CI16" s="59"/>
      <c r="CJ16" s="59"/>
      <c r="CK16" s="59"/>
      <c r="CL16" s="59"/>
      <c r="CM16" s="59"/>
      <c r="CN16" s="59"/>
      <c r="CO16" s="59"/>
      <c r="CP16" s="59"/>
      <c r="CQ16" s="59"/>
      <c r="CR16" s="59"/>
      <c r="CS16" s="59"/>
      <c r="CT16" s="59"/>
      <c r="CU16" s="59"/>
      <c r="CV16" s="59"/>
      <c r="CW16" s="59"/>
      <c r="CX16" s="59"/>
      <c r="CY16" s="59"/>
      <c r="CZ16" s="59"/>
      <c r="DA16" s="59"/>
      <c r="DB16" s="59"/>
      <c r="DC16" s="59"/>
      <c r="DD16" s="59"/>
      <c r="DE16" s="59"/>
      <c r="DF16" s="59"/>
      <c r="DG16" s="59"/>
      <c r="DH16" s="59"/>
      <c r="DI16" s="59"/>
      <c r="DJ16" s="59"/>
      <c r="DK16" s="59"/>
      <c r="DL16" s="59"/>
      <c r="DM16" s="59"/>
      <c r="DN16" s="59"/>
      <c r="DO16" s="59"/>
      <c r="DP16" s="59"/>
      <c r="DQ16" s="59"/>
      <c r="DR16" s="59"/>
      <c r="DS16" s="59"/>
      <c r="DT16" s="59"/>
      <c r="DU16" s="59"/>
      <c r="DV16" s="59"/>
      <c r="DW16" s="59"/>
      <c r="DX16" s="59"/>
      <c r="DY16" s="59"/>
      <c r="DZ16" s="59"/>
      <c r="EA16" s="59"/>
      <c r="EB16" s="59"/>
      <c r="EC16" s="59"/>
      <c r="ED16" s="59"/>
      <c r="EE16" s="59"/>
      <c r="EF16" s="59"/>
      <c r="EG16" s="59"/>
      <c r="EH16" s="59"/>
      <c r="EI16" s="59"/>
      <c r="EJ16" s="59"/>
      <c r="EK16" s="59"/>
      <c r="EL16" s="59"/>
      <c r="EM16" s="59"/>
      <c r="EN16" s="59"/>
      <c r="EO16" s="59"/>
      <c r="EP16" s="59"/>
      <c r="EQ16" s="59"/>
      <c r="ER16" s="59"/>
      <c r="ES16" s="59"/>
      <c r="ET16" s="59"/>
      <c r="EU16" s="59"/>
      <c r="EV16" s="59"/>
      <c r="EW16" s="59"/>
      <c r="EX16" s="59"/>
      <c r="EY16" s="59"/>
      <c r="EZ16" s="59"/>
      <c r="FA16" s="59"/>
      <c r="FB16" s="59"/>
      <c r="FC16" s="59"/>
      <c r="FD16" s="59"/>
      <c r="FE16" s="59"/>
      <c r="FF16" s="59"/>
      <c r="FG16" s="59"/>
      <c r="FH16" s="59"/>
      <c r="FI16" s="59"/>
      <c r="FJ16" s="59"/>
      <c r="FK16" s="59"/>
      <c r="FL16" s="59"/>
      <c r="FM16" s="59"/>
      <c r="FN16" s="59"/>
      <c r="FO16" s="59"/>
      <c r="FP16" s="59"/>
      <c r="FQ16" s="59"/>
      <c r="FR16" s="59"/>
      <c r="FS16" s="59"/>
      <c r="FT16" s="59"/>
      <c r="FU16" s="59"/>
      <c r="FV16" s="59"/>
      <c r="FW16" s="59"/>
      <c r="FX16" s="59"/>
      <c r="FY16" s="59"/>
      <c r="FZ16" s="59"/>
      <c r="GA16" s="59"/>
      <c r="GB16" s="59"/>
      <c r="GC16" s="59"/>
      <c r="GD16" s="59"/>
      <c r="GE16" s="59"/>
      <c r="GF16" s="59"/>
      <c r="GG16" s="59"/>
      <c r="GH16" s="59"/>
      <c r="GI16" s="59"/>
      <c r="GJ16" s="59"/>
      <c r="GK16" s="59"/>
      <c r="GL16" s="59"/>
      <c r="GM16" s="59"/>
      <c r="GN16" s="59"/>
    </row>
    <row r="17" spans="1:196" x14ac:dyDescent="0.3">
      <c r="A17" s="59"/>
      <c r="B17" s="59"/>
      <c r="C17" s="59"/>
      <c r="D17" s="59"/>
      <c r="E17" s="59"/>
      <c r="F17" s="59"/>
      <c r="G17" s="59"/>
      <c r="H17" s="59"/>
      <c r="I17" s="59"/>
      <c r="J17" s="59"/>
      <c r="K17" s="59"/>
      <c r="L17" s="59"/>
      <c r="M17" s="59"/>
      <c r="N17" s="59"/>
      <c r="O17" s="59"/>
      <c r="P17" s="59"/>
      <c r="Q17" s="59"/>
      <c r="R17" s="59"/>
      <c r="S17" s="59"/>
      <c r="T17" s="59"/>
      <c r="U17" s="59"/>
      <c r="V17" s="59"/>
      <c r="W17" s="59"/>
      <c r="X17" s="59"/>
      <c r="Y17" s="59"/>
      <c r="Z17" s="59"/>
      <c r="AA17" s="59"/>
      <c r="AB17" s="59"/>
      <c r="AC17" s="59"/>
      <c r="AD17" s="59"/>
      <c r="AE17" s="59"/>
      <c r="AF17" s="59"/>
      <c r="AG17" s="59"/>
      <c r="AH17" s="59"/>
      <c r="AI17" s="59"/>
      <c r="AJ17" s="59"/>
      <c r="AK17" s="59"/>
      <c r="AL17" s="59"/>
      <c r="AM17" s="59"/>
      <c r="AN17" s="59"/>
      <c r="AO17" s="59"/>
      <c r="AP17" s="59"/>
      <c r="AQ17" s="59"/>
      <c r="AR17" s="59"/>
      <c r="AS17" s="59"/>
      <c r="AT17" s="59"/>
      <c r="AU17" s="59"/>
      <c r="AV17" s="59"/>
      <c r="AW17" s="59"/>
      <c r="AX17" s="59"/>
      <c r="AY17" s="59"/>
      <c r="AZ17" s="59"/>
      <c r="BA17" s="59"/>
      <c r="BB17" s="59"/>
      <c r="BC17" s="59"/>
      <c r="BD17" s="59"/>
      <c r="BE17" s="59"/>
      <c r="BF17" s="59"/>
      <c r="BG17" s="59"/>
      <c r="BH17" s="59"/>
      <c r="BI17" s="59"/>
      <c r="BJ17" s="59"/>
      <c r="BK17" s="59"/>
      <c r="BL17" s="59"/>
      <c r="BM17" s="59"/>
      <c r="BN17" s="59"/>
      <c r="BO17" s="59"/>
      <c r="BP17" s="59"/>
      <c r="BQ17" s="59"/>
      <c r="BR17" s="59"/>
      <c r="BS17" s="59"/>
      <c r="BT17" s="59"/>
      <c r="BU17" s="59"/>
      <c r="BV17" s="59"/>
      <c r="BW17" s="59"/>
      <c r="BX17" s="59"/>
      <c r="BY17" s="59"/>
      <c r="BZ17" s="59"/>
      <c r="CA17" s="59"/>
      <c r="CB17" s="59"/>
      <c r="CC17" s="59"/>
      <c r="CD17" s="59"/>
      <c r="CE17" s="59"/>
      <c r="CF17" s="59"/>
      <c r="CG17" s="59"/>
      <c r="CH17" s="59"/>
      <c r="CI17" s="59"/>
      <c r="CJ17" s="59"/>
      <c r="CK17" s="59"/>
      <c r="CL17" s="59"/>
      <c r="CM17" s="59"/>
      <c r="CN17" s="59"/>
      <c r="CO17" s="59"/>
      <c r="CP17" s="59"/>
      <c r="CQ17" s="59"/>
      <c r="CR17" s="59"/>
      <c r="CS17" s="59"/>
      <c r="CT17" s="59"/>
      <c r="CU17" s="59"/>
      <c r="CV17" s="59"/>
      <c r="CW17" s="59"/>
      <c r="CX17" s="59"/>
      <c r="CY17" s="59"/>
      <c r="CZ17" s="59"/>
      <c r="DA17" s="59"/>
      <c r="DB17" s="59"/>
      <c r="DC17" s="59"/>
      <c r="DD17" s="59"/>
      <c r="DE17" s="59"/>
      <c r="DF17" s="59"/>
      <c r="DG17" s="59"/>
      <c r="DH17" s="59"/>
      <c r="DI17" s="59"/>
      <c r="DJ17" s="59"/>
      <c r="DK17" s="59"/>
      <c r="DL17" s="59"/>
      <c r="DM17" s="59"/>
      <c r="DN17" s="59"/>
      <c r="DO17" s="59"/>
      <c r="DP17" s="59"/>
      <c r="DQ17" s="59"/>
      <c r="DR17" s="59"/>
      <c r="DS17" s="59"/>
      <c r="DT17" s="59"/>
      <c r="DU17" s="59"/>
      <c r="DV17" s="59"/>
      <c r="DW17" s="59"/>
      <c r="DX17" s="59"/>
      <c r="DY17" s="59"/>
      <c r="DZ17" s="59"/>
      <c r="EA17" s="59"/>
      <c r="EB17" s="59"/>
      <c r="EC17" s="59"/>
      <c r="ED17" s="59"/>
      <c r="EE17" s="59"/>
      <c r="EF17" s="59"/>
      <c r="EG17" s="59"/>
      <c r="EH17" s="59"/>
      <c r="EI17" s="59"/>
      <c r="EJ17" s="59"/>
      <c r="EK17" s="59"/>
      <c r="EL17" s="59"/>
      <c r="EM17" s="59"/>
      <c r="EN17" s="59"/>
      <c r="EO17" s="59"/>
      <c r="EP17" s="59"/>
      <c r="EQ17" s="59"/>
      <c r="ER17" s="59"/>
      <c r="ES17" s="59"/>
      <c r="ET17" s="59"/>
      <c r="EU17" s="59"/>
      <c r="EV17" s="59"/>
      <c r="EW17" s="59"/>
      <c r="EX17" s="59"/>
      <c r="EY17" s="59"/>
      <c r="EZ17" s="59"/>
      <c r="FA17" s="59"/>
      <c r="FB17" s="59"/>
      <c r="FC17" s="59"/>
      <c r="FD17" s="59"/>
      <c r="FE17" s="59"/>
      <c r="FF17" s="59"/>
      <c r="FG17" s="59"/>
      <c r="FH17" s="59"/>
      <c r="FI17" s="59"/>
      <c r="FJ17" s="59"/>
      <c r="FK17" s="59"/>
      <c r="FL17" s="59"/>
      <c r="FM17" s="59"/>
      <c r="FN17" s="59"/>
      <c r="FO17" s="59"/>
      <c r="FP17" s="59"/>
      <c r="FQ17" s="59"/>
      <c r="FR17" s="59"/>
      <c r="FS17" s="59"/>
      <c r="FT17" s="59"/>
      <c r="FU17" s="59"/>
      <c r="FV17" s="59"/>
      <c r="FW17" s="59"/>
      <c r="FX17" s="59"/>
      <c r="FY17" s="59"/>
      <c r="FZ17" s="59"/>
      <c r="GA17" s="59"/>
      <c r="GB17" s="59"/>
      <c r="GC17" s="59"/>
      <c r="GD17" s="59"/>
      <c r="GE17" s="59"/>
      <c r="GF17" s="59"/>
      <c r="GG17" s="59"/>
      <c r="GH17" s="59"/>
      <c r="GI17" s="59"/>
      <c r="GJ17" s="59"/>
      <c r="GK17" s="59"/>
      <c r="GL17" s="59"/>
      <c r="GM17" s="59"/>
      <c r="GN17" s="59"/>
    </row>
    <row r="18" spans="1:196" x14ac:dyDescent="0.3">
      <c r="A18" s="59"/>
      <c r="B18" s="59"/>
      <c r="C18" s="59"/>
      <c r="D18" s="59"/>
      <c r="E18" s="59"/>
      <c r="F18" s="59"/>
      <c r="G18" s="59"/>
      <c r="H18" s="59"/>
      <c r="I18" s="59"/>
      <c r="J18" s="59"/>
      <c r="K18" s="59"/>
      <c r="L18" s="59"/>
      <c r="M18" s="59"/>
      <c r="N18" s="59"/>
      <c r="O18" s="59"/>
      <c r="P18" s="59"/>
      <c r="Q18" s="59"/>
      <c r="R18" s="59"/>
      <c r="S18" s="59"/>
      <c r="T18" s="59"/>
      <c r="U18" s="59"/>
      <c r="V18" s="59"/>
      <c r="W18" s="59"/>
      <c r="X18" s="59"/>
      <c r="Y18" s="59"/>
      <c r="Z18" s="59"/>
      <c r="AA18" s="59"/>
      <c r="AB18" s="59"/>
      <c r="AC18" s="59"/>
      <c r="AD18" s="59"/>
      <c r="AE18" s="59"/>
      <c r="AF18" s="59"/>
      <c r="AG18" s="59"/>
      <c r="AH18" s="59"/>
      <c r="AI18" s="59"/>
      <c r="AJ18" s="59"/>
      <c r="AK18" s="59"/>
      <c r="AL18" s="59"/>
      <c r="AM18" s="59"/>
      <c r="AN18" s="59"/>
      <c r="AO18" s="59"/>
      <c r="AP18" s="59"/>
      <c r="AQ18" s="59"/>
      <c r="AR18" s="59"/>
      <c r="AS18" s="59"/>
      <c r="AT18" s="59"/>
      <c r="AU18" s="59"/>
      <c r="AV18" s="59"/>
      <c r="AW18" s="59"/>
      <c r="AX18" s="59"/>
      <c r="AY18" s="59"/>
      <c r="AZ18" s="59"/>
      <c r="BA18" s="59"/>
      <c r="BB18" s="59"/>
      <c r="BC18" s="59"/>
      <c r="BD18" s="59"/>
      <c r="BE18" s="59"/>
      <c r="BF18" s="59"/>
      <c r="BG18" s="59"/>
      <c r="BH18" s="59"/>
      <c r="BI18" s="59"/>
      <c r="BJ18" s="59"/>
      <c r="BK18" s="59"/>
      <c r="BL18" s="59"/>
      <c r="BM18" s="59"/>
      <c r="BN18" s="59"/>
      <c r="BO18" s="59"/>
      <c r="BP18" s="59"/>
      <c r="BQ18" s="59"/>
      <c r="BR18" s="59"/>
      <c r="BS18" s="59"/>
      <c r="BT18" s="59"/>
      <c r="BU18" s="59"/>
      <c r="BV18" s="59"/>
      <c r="BW18" s="59"/>
      <c r="BX18" s="59"/>
      <c r="BY18" s="59"/>
      <c r="BZ18" s="59"/>
      <c r="CA18" s="59"/>
      <c r="CB18" s="59"/>
      <c r="CC18" s="59"/>
      <c r="CD18" s="59"/>
      <c r="CE18" s="59"/>
      <c r="CF18" s="59"/>
      <c r="CG18" s="59"/>
      <c r="CH18" s="59"/>
      <c r="CI18" s="59"/>
      <c r="CJ18" s="59"/>
      <c r="CK18" s="59"/>
      <c r="CL18" s="59"/>
      <c r="CM18" s="59"/>
      <c r="CN18" s="59"/>
      <c r="CO18" s="59"/>
      <c r="CP18" s="59"/>
      <c r="CQ18" s="59"/>
      <c r="CR18" s="59"/>
      <c r="CS18" s="59"/>
      <c r="CT18" s="59"/>
      <c r="CU18" s="59"/>
      <c r="CV18" s="59"/>
      <c r="CW18" s="59"/>
      <c r="CX18" s="59"/>
      <c r="CY18" s="59"/>
      <c r="CZ18" s="59"/>
      <c r="DA18" s="59"/>
      <c r="DB18" s="59"/>
      <c r="DC18" s="59"/>
      <c r="DD18" s="59"/>
      <c r="DE18" s="59"/>
      <c r="DF18" s="59"/>
      <c r="DG18" s="59"/>
      <c r="DH18" s="59"/>
      <c r="DI18" s="59"/>
      <c r="DJ18" s="59"/>
      <c r="DK18" s="59"/>
      <c r="DL18" s="59"/>
      <c r="DM18" s="59"/>
      <c r="DN18" s="59"/>
      <c r="DO18" s="59"/>
      <c r="DP18" s="59"/>
      <c r="DQ18" s="59"/>
      <c r="DR18" s="59"/>
      <c r="DS18" s="59"/>
      <c r="DT18" s="59"/>
      <c r="DU18" s="59"/>
      <c r="DV18" s="59"/>
      <c r="DW18" s="59"/>
      <c r="DX18" s="59"/>
      <c r="DY18" s="59"/>
      <c r="DZ18" s="59"/>
      <c r="EA18" s="59"/>
      <c r="EB18" s="59"/>
      <c r="EC18" s="59"/>
      <c r="ED18" s="59"/>
      <c r="EE18" s="59"/>
      <c r="EF18" s="59"/>
      <c r="EG18" s="59"/>
      <c r="EH18" s="59"/>
      <c r="EI18" s="59"/>
      <c r="EJ18" s="59"/>
      <c r="EK18" s="59"/>
      <c r="EL18" s="59"/>
      <c r="EM18" s="59"/>
      <c r="EN18" s="59"/>
      <c r="EO18" s="59"/>
      <c r="EP18" s="59"/>
      <c r="EQ18" s="59"/>
      <c r="ER18" s="59"/>
      <c r="ES18" s="59"/>
      <c r="ET18" s="59"/>
      <c r="EU18" s="59"/>
      <c r="EV18" s="59"/>
      <c r="EW18" s="59"/>
      <c r="EX18" s="59"/>
      <c r="EY18" s="59"/>
      <c r="EZ18" s="59"/>
      <c r="FA18" s="59"/>
      <c r="FB18" s="59"/>
      <c r="FC18" s="59"/>
      <c r="FD18" s="59"/>
      <c r="FE18" s="59"/>
      <c r="FF18" s="59"/>
      <c r="FG18" s="59"/>
      <c r="FH18" s="59"/>
      <c r="FI18" s="59"/>
      <c r="FJ18" s="59"/>
      <c r="FK18" s="59"/>
      <c r="FL18" s="59"/>
      <c r="FM18" s="59"/>
      <c r="FN18" s="59"/>
      <c r="FO18" s="59"/>
      <c r="FP18" s="59"/>
      <c r="FQ18" s="59"/>
      <c r="FR18" s="59"/>
      <c r="FS18" s="59"/>
      <c r="FT18" s="59"/>
      <c r="FU18" s="59"/>
      <c r="FV18" s="59"/>
      <c r="FW18" s="59"/>
      <c r="FX18" s="59"/>
      <c r="FY18" s="59"/>
      <c r="FZ18" s="59"/>
      <c r="GA18" s="59"/>
      <c r="GB18" s="59"/>
      <c r="GC18" s="59"/>
      <c r="GD18" s="59"/>
      <c r="GE18" s="59"/>
      <c r="GF18" s="59"/>
      <c r="GG18" s="59"/>
      <c r="GH18" s="59"/>
      <c r="GI18" s="59"/>
      <c r="GJ18" s="59"/>
      <c r="GK18" s="59"/>
      <c r="GL18" s="59"/>
      <c r="GM18" s="59"/>
      <c r="GN18" s="59"/>
    </row>
    <row r="19" spans="1:196" x14ac:dyDescent="0.3">
      <c r="A19" s="59"/>
      <c r="B19" s="59"/>
      <c r="C19" s="59"/>
      <c r="D19" s="59"/>
      <c r="E19" s="59"/>
      <c r="F19" s="59"/>
      <c r="G19" s="59"/>
      <c r="H19" s="59"/>
      <c r="I19" s="59"/>
      <c r="J19" s="59"/>
      <c r="K19" s="59"/>
      <c r="L19" s="59"/>
      <c r="M19" s="59"/>
      <c r="N19" s="59"/>
      <c r="O19" s="59"/>
      <c r="P19" s="59"/>
      <c r="Q19" s="59"/>
      <c r="R19" s="59"/>
      <c r="S19" s="59"/>
      <c r="T19" s="59"/>
      <c r="U19" s="59"/>
      <c r="V19" s="59"/>
      <c r="W19" s="59"/>
      <c r="X19" s="59"/>
      <c r="Y19" s="59"/>
      <c r="Z19" s="59"/>
      <c r="AA19" s="59"/>
      <c r="AB19" s="59"/>
      <c r="AC19" s="59"/>
      <c r="AD19" s="59"/>
      <c r="AE19" s="59"/>
      <c r="AF19" s="59"/>
      <c r="AG19" s="59"/>
      <c r="AH19" s="59"/>
      <c r="AI19" s="59"/>
      <c r="AJ19" s="59"/>
      <c r="AK19" s="59"/>
      <c r="AL19" s="59"/>
      <c r="AM19" s="59"/>
      <c r="AN19" s="59"/>
      <c r="AO19" s="59"/>
      <c r="AP19" s="59"/>
      <c r="AQ19" s="59"/>
      <c r="AR19" s="59"/>
      <c r="AS19" s="59"/>
      <c r="AT19" s="59"/>
      <c r="AU19" s="59"/>
      <c r="AV19" s="59"/>
      <c r="AW19" s="59"/>
      <c r="AX19" s="59"/>
      <c r="AY19" s="59"/>
      <c r="AZ19" s="59"/>
      <c r="BA19" s="59"/>
      <c r="BB19" s="59"/>
      <c r="BC19" s="59"/>
      <c r="BD19" s="59"/>
      <c r="BE19" s="59"/>
      <c r="BF19" s="59"/>
      <c r="BG19" s="59"/>
      <c r="BH19" s="59"/>
      <c r="BI19" s="59"/>
      <c r="BJ19" s="59"/>
      <c r="BK19" s="59"/>
      <c r="BL19" s="59"/>
      <c r="BM19" s="59"/>
      <c r="BN19" s="59"/>
      <c r="BO19" s="59"/>
      <c r="BP19" s="59"/>
      <c r="BQ19" s="59"/>
      <c r="BR19" s="59"/>
      <c r="BS19" s="59"/>
      <c r="BT19" s="59"/>
      <c r="BU19" s="59"/>
      <c r="BV19" s="59"/>
      <c r="BW19" s="59"/>
      <c r="BX19" s="59"/>
      <c r="BY19" s="59"/>
      <c r="BZ19" s="59"/>
      <c r="CA19" s="59"/>
      <c r="CB19" s="59"/>
      <c r="CC19" s="59"/>
      <c r="CD19" s="59"/>
      <c r="CE19" s="59"/>
      <c r="CF19" s="59"/>
      <c r="CG19" s="59"/>
      <c r="CH19" s="59"/>
      <c r="CI19" s="59"/>
      <c r="CJ19" s="59"/>
      <c r="CK19" s="59"/>
      <c r="CL19" s="59"/>
      <c r="CM19" s="59"/>
      <c r="CN19" s="59"/>
      <c r="CO19" s="59"/>
      <c r="CP19" s="59"/>
      <c r="CQ19" s="59"/>
      <c r="CR19" s="59"/>
      <c r="CS19" s="59"/>
      <c r="CT19" s="59"/>
      <c r="CU19" s="59"/>
      <c r="CV19" s="59"/>
      <c r="CW19" s="59"/>
      <c r="CX19" s="59"/>
      <c r="CY19" s="59"/>
      <c r="CZ19" s="59"/>
      <c r="DA19" s="59"/>
      <c r="DB19" s="59"/>
      <c r="DC19" s="59"/>
      <c r="DD19" s="59"/>
      <c r="DE19" s="59"/>
      <c r="DF19" s="59"/>
      <c r="DG19" s="59"/>
      <c r="DH19" s="59"/>
      <c r="DI19" s="59"/>
      <c r="DJ19" s="59"/>
      <c r="DK19" s="59"/>
      <c r="DL19" s="59"/>
      <c r="DM19" s="59"/>
      <c r="DN19" s="59"/>
      <c r="DO19" s="59"/>
      <c r="DP19" s="59"/>
      <c r="DQ19" s="59"/>
      <c r="DR19" s="59"/>
      <c r="DS19" s="59"/>
      <c r="DT19" s="59"/>
      <c r="DU19" s="59"/>
      <c r="DV19" s="59"/>
      <c r="DW19" s="59"/>
      <c r="DX19" s="59"/>
      <c r="DY19" s="59"/>
      <c r="DZ19" s="59"/>
      <c r="EA19" s="59"/>
      <c r="EB19" s="59"/>
      <c r="EC19" s="59"/>
      <c r="ED19" s="59"/>
      <c r="EE19" s="59"/>
      <c r="EF19" s="59"/>
      <c r="EG19" s="59"/>
      <c r="EH19" s="59"/>
      <c r="EI19" s="59"/>
      <c r="EJ19" s="59"/>
      <c r="EK19" s="59"/>
      <c r="EL19" s="59"/>
      <c r="EM19" s="59"/>
      <c r="EN19" s="59"/>
      <c r="EO19" s="59"/>
      <c r="EP19" s="59"/>
      <c r="EQ19" s="59"/>
      <c r="ER19" s="59"/>
      <c r="ES19" s="59"/>
      <c r="ET19" s="59"/>
      <c r="EU19" s="59"/>
      <c r="EV19" s="59"/>
      <c r="EW19" s="59"/>
      <c r="EX19" s="59"/>
      <c r="EY19" s="59"/>
      <c r="EZ19" s="59"/>
      <c r="FA19" s="59"/>
      <c r="FB19" s="59"/>
      <c r="FC19" s="59"/>
      <c r="FD19" s="59"/>
      <c r="FE19" s="59"/>
      <c r="FF19" s="59"/>
      <c r="FG19" s="59"/>
      <c r="FH19" s="59"/>
      <c r="FI19" s="59"/>
      <c r="FJ19" s="59"/>
      <c r="FK19" s="59"/>
      <c r="FL19" s="59"/>
      <c r="FM19" s="59"/>
      <c r="FN19" s="59"/>
      <c r="FO19" s="59"/>
      <c r="FP19" s="59"/>
      <c r="FQ19" s="59"/>
      <c r="FR19" s="59"/>
      <c r="FS19" s="59"/>
      <c r="FT19" s="59"/>
      <c r="FU19" s="59"/>
      <c r="FV19" s="59"/>
      <c r="FW19" s="59"/>
      <c r="FX19" s="59"/>
      <c r="FY19" s="59"/>
      <c r="FZ19" s="59"/>
      <c r="GA19" s="59"/>
      <c r="GB19" s="59"/>
      <c r="GC19" s="59"/>
      <c r="GD19" s="59"/>
      <c r="GE19" s="59"/>
      <c r="GF19" s="59"/>
      <c r="GG19" s="59"/>
      <c r="GH19" s="59"/>
      <c r="GI19" s="59"/>
      <c r="GJ19" s="59"/>
      <c r="GK19" s="59"/>
      <c r="GL19" s="59"/>
      <c r="GM19" s="59"/>
      <c r="GN19" s="59"/>
    </row>
    <row r="20" spans="1:196" x14ac:dyDescent="0.3">
      <c r="A20" s="59"/>
      <c r="B20" s="59"/>
      <c r="C20" s="59"/>
      <c r="D20" s="59"/>
      <c r="E20" s="59"/>
      <c r="F20" s="59"/>
      <c r="G20" s="59"/>
      <c r="H20" s="59"/>
      <c r="I20" s="59"/>
      <c r="J20" s="59"/>
      <c r="K20" s="59"/>
      <c r="L20" s="59"/>
      <c r="M20" s="59"/>
      <c r="N20" s="59"/>
      <c r="O20" s="59"/>
      <c r="P20" s="59"/>
      <c r="Q20" s="59"/>
      <c r="R20" s="59"/>
      <c r="S20" s="59"/>
      <c r="T20" s="59"/>
      <c r="U20" s="59"/>
      <c r="V20" s="59"/>
      <c r="W20" s="59"/>
      <c r="X20" s="59"/>
      <c r="Y20" s="59"/>
      <c r="Z20" s="59"/>
      <c r="AA20" s="59"/>
      <c r="AB20" s="59"/>
      <c r="AC20" s="59"/>
      <c r="AD20" s="59"/>
      <c r="AE20" s="59"/>
      <c r="AF20" s="59"/>
      <c r="AG20" s="59"/>
      <c r="AH20" s="59"/>
      <c r="AI20" s="59"/>
      <c r="AJ20" s="59"/>
      <c r="AK20" s="59"/>
      <c r="AL20" s="59"/>
      <c r="AM20" s="59"/>
      <c r="AN20" s="59"/>
      <c r="AO20" s="59"/>
      <c r="AP20" s="59"/>
      <c r="AQ20" s="59"/>
      <c r="AR20" s="59"/>
      <c r="AS20" s="59"/>
      <c r="AT20" s="59"/>
      <c r="AU20" s="59"/>
      <c r="AV20" s="59"/>
      <c r="AW20" s="59"/>
      <c r="AX20" s="59"/>
      <c r="AY20" s="59"/>
      <c r="AZ20" s="59"/>
      <c r="BA20" s="59"/>
      <c r="BB20" s="59"/>
      <c r="BC20" s="59"/>
      <c r="BD20" s="59"/>
      <c r="BE20" s="59"/>
      <c r="BF20" s="59"/>
      <c r="BG20" s="59"/>
      <c r="BH20" s="59"/>
      <c r="BI20" s="59"/>
      <c r="BJ20" s="59"/>
      <c r="BK20" s="59"/>
      <c r="BL20" s="59"/>
      <c r="BM20" s="59"/>
      <c r="BN20" s="59"/>
      <c r="BO20" s="59"/>
      <c r="BP20" s="59"/>
      <c r="BQ20" s="59"/>
      <c r="BR20" s="59"/>
      <c r="BS20" s="59"/>
      <c r="BT20" s="59"/>
      <c r="BU20" s="59"/>
      <c r="BV20" s="59"/>
      <c r="BW20" s="59"/>
      <c r="BX20" s="59"/>
      <c r="BY20" s="59"/>
      <c r="BZ20" s="59"/>
      <c r="CA20" s="59"/>
      <c r="CB20" s="59"/>
      <c r="CC20" s="59"/>
      <c r="CD20" s="59"/>
      <c r="CE20" s="59"/>
      <c r="CF20" s="59"/>
      <c r="CG20" s="59"/>
      <c r="CH20" s="59"/>
      <c r="CI20" s="59"/>
      <c r="CJ20" s="59"/>
      <c r="CK20" s="59"/>
      <c r="CL20" s="59"/>
      <c r="CM20" s="59"/>
      <c r="CN20" s="59"/>
      <c r="CO20" s="59"/>
      <c r="CP20" s="59"/>
      <c r="CQ20" s="59"/>
      <c r="CR20" s="59"/>
      <c r="CS20" s="59"/>
      <c r="CT20" s="59"/>
      <c r="CU20" s="59"/>
      <c r="CV20" s="59"/>
      <c r="CW20" s="59"/>
      <c r="CX20" s="59"/>
      <c r="CY20" s="59"/>
      <c r="CZ20" s="59"/>
      <c r="DA20" s="59"/>
      <c r="DB20" s="59"/>
      <c r="DC20" s="59"/>
      <c r="DD20" s="59"/>
      <c r="DE20" s="59"/>
      <c r="DF20" s="59"/>
      <c r="DG20" s="59"/>
      <c r="DH20" s="59"/>
      <c r="DI20" s="59"/>
      <c r="DJ20" s="59"/>
      <c r="DK20" s="59"/>
      <c r="DL20" s="59"/>
      <c r="DM20" s="59"/>
      <c r="DN20" s="59"/>
      <c r="DO20" s="59"/>
      <c r="DP20" s="59"/>
      <c r="DQ20" s="59"/>
      <c r="DR20" s="59"/>
      <c r="DS20" s="59"/>
      <c r="DT20" s="59"/>
      <c r="DU20" s="59"/>
      <c r="DV20" s="59"/>
      <c r="DW20" s="59"/>
      <c r="DX20" s="59"/>
      <c r="DY20" s="59"/>
      <c r="DZ20" s="59"/>
      <c r="EA20" s="59"/>
      <c r="EB20" s="59"/>
      <c r="EC20" s="59"/>
      <c r="ED20" s="59"/>
      <c r="EE20" s="59"/>
      <c r="EF20" s="59"/>
      <c r="EG20" s="59"/>
      <c r="EH20" s="59"/>
      <c r="EI20" s="59"/>
      <c r="EJ20" s="59"/>
      <c r="EK20" s="59"/>
      <c r="EL20" s="59"/>
      <c r="EM20" s="59"/>
      <c r="EN20" s="59"/>
      <c r="EO20" s="59"/>
      <c r="EP20" s="59"/>
      <c r="EQ20" s="59"/>
      <c r="ER20" s="59"/>
      <c r="ES20" s="59"/>
      <c r="ET20" s="59"/>
      <c r="EU20" s="59"/>
      <c r="EV20" s="59"/>
      <c r="EW20" s="59"/>
      <c r="EX20" s="59"/>
      <c r="EY20" s="59"/>
      <c r="EZ20" s="59"/>
      <c r="FA20" s="59"/>
      <c r="FB20" s="59"/>
      <c r="FC20" s="59"/>
      <c r="FD20" s="59"/>
      <c r="FE20" s="59"/>
      <c r="FF20" s="59"/>
      <c r="FG20" s="59"/>
      <c r="FH20" s="59"/>
      <c r="FI20" s="59"/>
      <c r="FJ20" s="59"/>
      <c r="FK20" s="59"/>
      <c r="FL20" s="59"/>
      <c r="FM20" s="59"/>
      <c r="FN20" s="59"/>
      <c r="FO20" s="59"/>
      <c r="FP20" s="59"/>
      <c r="FQ20" s="59"/>
      <c r="FR20" s="59"/>
      <c r="FS20" s="59"/>
      <c r="FT20" s="59"/>
      <c r="FU20" s="59"/>
      <c r="FV20" s="59"/>
      <c r="FW20" s="59"/>
      <c r="FX20" s="59"/>
      <c r="FY20" s="59"/>
      <c r="FZ20" s="59"/>
      <c r="GA20" s="59"/>
      <c r="GB20" s="59"/>
      <c r="GC20" s="59"/>
      <c r="GD20" s="59"/>
      <c r="GE20" s="59"/>
      <c r="GF20" s="59"/>
      <c r="GG20" s="59"/>
      <c r="GH20" s="59"/>
      <c r="GI20" s="59"/>
      <c r="GJ20" s="59"/>
      <c r="GK20" s="59"/>
      <c r="GL20" s="59"/>
      <c r="GM20" s="59"/>
      <c r="GN20" s="59"/>
    </row>
    <row r="21" spans="1:196" x14ac:dyDescent="0.3">
      <c r="A21" s="59"/>
      <c r="B21" s="59"/>
      <c r="C21" s="59"/>
      <c r="D21" s="59"/>
      <c r="E21" s="59"/>
      <c r="F21" s="59"/>
      <c r="G21" s="59"/>
      <c r="H21" s="59"/>
      <c r="I21" s="59"/>
      <c r="J21" s="59"/>
      <c r="K21" s="59"/>
      <c r="L21" s="59"/>
      <c r="M21" s="59"/>
      <c r="N21" s="59"/>
      <c r="O21" s="59"/>
      <c r="P21" s="59"/>
      <c r="Q21" s="59"/>
      <c r="R21" s="59"/>
      <c r="S21" s="59"/>
      <c r="T21" s="59"/>
      <c r="U21" s="59"/>
      <c r="V21" s="59"/>
      <c r="W21" s="59"/>
      <c r="X21" s="59"/>
      <c r="Y21" s="59"/>
      <c r="Z21" s="59"/>
      <c r="AA21" s="59"/>
      <c r="AB21" s="59"/>
      <c r="AC21" s="59"/>
      <c r="AD21" s="59"/>
      <c r="AE21" s="59"/>
      <c r="AF21" s="59"/>
      <c r="AG21" s="59"/>
      <c r="AH21" s="59"/>
      <c r="AI21" s="59"/>
      <c r="AJ21" s="59"/>
      <c r="AK21" s="59"/>
      <c r="AL21" s="59"/>
      <c r="AM21" s="59"/>
      <c r="AN21" s="59"/>
      <c r="AO21" s="59"/>
      <c r="AP21" s="59"/>
      <c r="AQ21" s="59"/>
      <c r="AR21" s="59"/>
      <c r="AS21" s="59"/>
      <c r="AT21" s="59"/>
      <c r="AU21" s="59"/>
      <c r="AV21" s="59"/>
      <c r="AW21" s="59"/>
      <c r="AX21" s="59"/>
      <c r="AY21" s="59"/>
      <c r="AZ21" s="59"/>
      <c r="BA21" s="59"/>
      <c r="BB21" s="59"/>
      <c r="BC21" s="59"/>
      <c r="BD21" s="59"/>
      <c r="BE21" s="59"/>
      <c r="BF21" s="59"/>
      <c r="BG21" s="59"/>
      <c r="BH21" s="59"/>
      <c r="BI21" s="59"/>
      <c r="BJ21" s="59"/>
      <c r="BK21" s="59"/>
      <c r="BL21" s="59"/>
      <c r="BM21" s="59"/>
      <c r="BN21" s="59"/>
      <c r="BO21" s="59"/>
      <c r="BP21" s="59"/>
      <c r="BQ21" s="59"/>
      <c r="BR21" s="59"/>
      <c r="BS21" s="59"/>
      <c r="BT21" s="59"/>
      <c r="BU21" s="59"/>
      <c r="BV21" s="59"/>
      <c r="BW21" s="59"/>
      <c r="BX21" s="59"/>
      <c r="BY21" s="59"/>
      <c r="BZ21" s="59"/>
      <c r="CA21" s="59"/>
      <c r="CB21" s="59"/>
      <c r="CC21" s="59"/>
      <c r="CD21" s="59"/>
      <c r="CE21" s="59"/>
      <c r="CF21" s="59"/>
      <c r="CG21" s="59"/>
      <c r="CH21" s="59"/>
      <c r="CI21" s="59"/>
      <c r="CJ21" s="59"/>
      <c r="CK21" s="59"/>
      <c r="CL21" s="59"/>
      <c r="CM21" s="59"/>
      <c r="CN21" s="59"/>
      <c r="CO21" s="59"/>
      <c r="CP21" s="59"/>
      <c r="CQ21" s="59"/>
      <c r="CR21" s="59"/>
      <c r="CS21" s="59"/>
      <c r="CT21" s="59"/>
      <c r="CU21" s="59"/>
      <c r="CV21" s="59"/>
      <c r="CW21" s="59"/>
      <c r="CX21" s="59"/>
      <c r="CY21" s="59"/>
      <c r="CZ21" s="59"/>
      <c r="DA21" s="59"/>
      <c r="DB21" s="59"/>
      <c r="DC21" s="59"/>
      <c r="DD21" s="59"/>
      <c r="DE21" s="59"/>
      <c r="DF21" s="59"/>
      <c r="DG21" s="59"/>
      <c r="DH21" s="59"/>
      <c r="DI21" s="59"/>
      <c r="DJ21" s="59"/>
      <c r="DK21" s="59"/>
      <c r="DL21" s="59"/>
      <c r="DM21" s="59"/>
      <c r="DN21" s="59"/>
      <c r="DO21" s="59"/>
      <c r="DP21" s="59"/>
      <c r="DQ21" s="59"/>
      <c r="DR21" s="59"/>
      <c r="DS21" s="59"/>
      <c r="DT21" s="59"/>
      <c r="DU21" s="59"/>
      <c r="DV21" s="59"/>
      <c r="DW21" s="59"/>
      <c r="DX21" s="59"/>
      <c r="DY21" s="59"/>
      <c r="DZ21" s="59"/>
      <c r="EA21" s="59"/>
      <c r="EB21" s="59"/>
      <c r="EC21" s="59"/>
      <c r="ED21" s="59"/>
      <c r="EE21" s="59"/>
      <c r="EF21" s="59"/>
      <c r="EG21" s="59"/>
      <c r="EH21" s="59"/>
      <c r="EI21" s="59"/>
      <c r="EJ21" s="59"/>
      <c r="EK21" s="59"/>
      <c r="EL21" s="59"/>
      <c r="EM21" s="59"/>
      <c r="EN21" s="59"/>
      <c r="EO21" s="59"/>
      <c r="EP21" s="59"/>
      <c r="EQ21" s="59"/>
      <c r="ER21" s="59"/>
      <c r="ES21" s="59"/>
      <c r="ET21" s="59"/>
      <c r="EU21" s="59"/>
      <c r="EV21" s="59"/>
      <c r="EW21" s="59"/>
      <c r="EX21" s="59"/>
      <c r="EY21" s="59"/>
      <c r="EZ21" s="59"/>
      <c r="FA21" s="59"/>
      <c r="FB21" s="59"/>
      <c r="FC21" s="59"/>
      <c r="FD21" s="59"/>
      <c r="FE21" s="59"/>
      <c r="FF21" s="59"/>
      <c r="FG21" s="59"/>
      <c r="FH21" s="59"/>
      <c r="FI21" s="59"/>
      <c r="FJ21" s="59"/>
      <c r="FK21" s="59"/>
      <c r="FL21" s="59"/>
      <c r="FM21" s="59"/>
      <c r="FN21" s="59"/>
      <c r="FO21" s="59"/>
      <c r="FP21" s="59"/>
      <c r="FQ21" s="59"/>
      <c r="FR21" s="59"/>
      <c r="FS21" s="59"/>
      <c r="FT21" s="59"/>
      <c r="FU21" s="59"/>
      <c r="FV21" s="59"/>
      <c r="FW21" s="59"/>
      <c r="FX21" s="59"/>
      <c r="FY21" s="59"/>
      <c r="FZ21" s="59"/>
      <c r="GA21" s="59"/>
      <c r="GB21" s="59"/>
      <c r="GC21" s="59"/>
      <c r="GD21" s="59"/>
      <c r="GE21" s="59"/>
      <c r="GF21" s="59"/>
      <c r="GG21" s="59"/>
      <c r="GH21" s="59"/>
      <c r="GI21" s="59"/>
      <c r="GJ21" s="59"/>
      <c r="GK21" s="59"/>
      <c r="GL21" s="59"/>
      <c r="GM21" s="59"/>
      <c r="GN21" s="59"/>
    </row>
    <row r="22" spans="1:196" x14ac:dyDescent="0.3">
      <c r="A22" s="59"/>
      <c r="B22" s="59"/>
      <c r="C22" s="59"/>
      <c r="D22" s="59"/>
      <c r="E22" s="59"/>
      <c r="F22" s="59"/>
      <c r="G22" s="59"/>
      <c r="H22" s="59"/>
      <c r="I22" s="59"/>
      <c r="J22" s="59"/>
      <c r="K22" s="59"/>
      <c r="L22" s="59"/>
      <c r="M22" s="59"/>
      <c r="N22" s="59"/>
      <c r="O22" s="59"/>
      <c r="P22" s="59"/>
      <c r="Q22" s="59"/>
      <c r="R22" s="59"/>
      <c r="S22" s="59"/>
      <c r="T22" s="59"/>
      <c r="U22" s="59"/>
      <c r="V22" s="59"/>
      <c r="W22" s="59"/>
      <c r="X22" s="59"/>
      <c r="Y22" s="59"/>
      <c r="Z22" s="59"/>
      <c r="AA22" s="59"/>
      <c r="AB22" s="59"/>
      <c r="AC22" s="59"/>
      <c r="AD22" s="59"/>
      <c r="AE22" s="59"/>
      <c r="AF22" s="59"/>
      <c r="AG22" s="59"/>
      <c r="AH22" s="59"/>
      <c r="AI22" s="59"/>
      <c r="AJ22" s="59"/>
      <c r="AK22" s="59"/>
      <c r="AL22" s="59"/>
      <c r="AM22" s="59"/>
      <c r="AN22" s="59"/>
      <c r="AO22" s="59"/>
      <c r="AP22" s="59"/>
      <c r="AQ22" s="59"/>
      <c r="AR22" s="59"/>
      <c r="AS22" s="59"/>
      <c r="AT22" s="59"/>
      <c r="AU22" s="59"/>
      <c r="AV22" s="59"/>
      <c r="AW22" s="59"/>
      <c r="AX22" s="59"/>
      <c r="AY22" s="59"/>
      <c r="AZ22" s="59"/>
      <c r="BA22" s="59"/>
      <c r="BB22" s="59"/>
      <c r="BC22" s="59"/>
      <c r="BD22" s="59"/>
      <c r="BE22" s="59"/>
      <c r="BF22" s="59"/>
      <c r="BG22" s="59"/>
      <c r="BH22" s="59"/>
      <c r="BI22" s="59"/>
      <c r="BJ22" s="59"/>
      <c r="BK22" s="59"/>
      <c r="BL22" s="59"/>
      <c r="BM22" s="59"/>
      <c r="BN22" s="59"/>
      <c r="BO22" s="59"/>
      <c r="BP22" s="59"/>
      <c r="BQ22" s="59"/>
      <c r="BR22" s="59"/>
      <c r="BS22" s="59"/>
      <c r="BT22" s="59"/>
      <c r="BU22" s="59"/>
      <c r="BV22" s="59"/>
      <c r="BW22" s="59"/>
      <c r="BX22" s="59"/>
      <c r="BY22" s="59"/>
      <c r="BZ22" s="59"/>
      <c r="CA22" s="59"/>
      <c r="CB22" s="59"/>
      <c r="CC22" s="59"/>
      <c r="CD22" s="59"/>
      <c r="CE22" s="59"/>
      <c r="CF22" s="59"/>
      <c r="CG22" s="59"/>
      <c r="CH22" s="59"/>
      <c r="CI22" s="59"/>
      <c r="CJ22" s="59"/>
      <c r="CK22" s="59"/>
      <c r="CL22" s="59"/>
      <c r="CM22" s="59"/>
      <c r="CN22" s="59"/>
      <c r="CO22" s="59"/>
      <c r="CP22" s="59"/>
      <c r="CQ22" s="59"/>
      <c r="CR22" s="59"/>
      <c r="CS22" s="59"/>
      <c r="CT22" s="59"/>
      <c r="CU22" s="59"/>
      <c r="CV22" s="59"/>
      <c r="CW22" s="59"/>
      <c r="CX22" s="59"/>
      <c r="CY22" s="59"/>
      <c r="CZ22" s="59"/>
      <c r="DA22" s="59"/>
      <c r="DB22" s="59"/>
      <c r="DC22" s="59"/>
      <c r="DD22" s="59"/>
      <c r="DE22" s="59"/>
      <c r="DF22" s="59"/>
      <c r="DG22" s="59"/>
      <c r="DH22" s="59"/>
      <c r="DI22" s="59"/>
      <c r="DJ22" s="59"/>
      <c r="DK22" s="59"/>
      <c r="DL22" s="59"/>
      <c r="DM22" s="59"/>
      <c r="DN22" s="59"/>
      <c r="DO22" s="59"/>
      <c r="DP22" s="59"/>
      <c r="DQ22" s="59"/>
      <c r="DR22" s="59"/>
      <c r="DS22" s="59"/>
      <c r="DT22" s="59"/>
      <c r="DU22" s="59"/>
      <c r="DV22" s="59"/>
      <c r="DW22" s="59"/>
      <c r="DX22" s="59"/>
      <c r="DY22" s="59"/>
      <c r="DZ22" s="59"/>
      <c r="EA22" s="59"/>
      <c r="EB22" s="59"/>
      <c r="EC22" s="59"/>
      <c r="ED22" s="59"/>
      <c r="EE22" s="59"/>
      <c r="EF22" s="59"/>
      <c r="EG22" s="59"/>
      <c r="EH22" s="59"/>
      <c r="EI22" s="59"/>
      <c r="EJ22" s="59"/>
      <c r="EK22" s="59"/>
      <c r="EL22" s="59"/>
      <c r="EM22" s="59"/>
      <c r="EN22" s="59"/>
      <c r="EO22" s="59"/>
      <c r="EP22" s="59"/>
      <c r="EQ22" s="59"/>
      <c r="ER22" s="59"/>
      <c r="ES22" s="59"/>
      <c r="ET22" s="59"/>
      <c r="EU22" s="59"/>
      <c r="EV22" s="59"/>
      <c r="EW22" s="59"/>
      <c r="EX22" s="59"/>
      <c r="EY22" s="59"/>
      <c r="EZ22" s="59"/>
      <c r="FA22" s="59"/>
      <c r="FB22" s="59"/>
      <c r="FC22" s="59"/>
      <c r="FD22" s="59"/>
      <c r="FE22" s="59"/>
      <c r="FF22" s="59"/>
      <c r="FG22" s="59"/>
      <c r="FH22" s="59"/>
      <c r="FI22" s="59"/>
      <c r="FJ22" s="59"/>
      <c r="FK22" s="59"/>
      <c r="FL22" s="59"/>
      <c r="FM22" s="59"/>
      <c r="FN22" s="59"/>
      <c r="FO22" s="59"/>
      <c r="FP22" s="59"/>
      <c r="FQ22" s="59"/>
      <c r="FR22" s="59"/>
      <c r="FS22" s="59"/>
      <c r="FT22" s="59"/>
      <c r="FU22" s="59"/>
      <c r="FV22" s="59"/>
      <c r="FW22" s="59"/>
      <c r="FX22" s="59"/>
      <c r="FY22" s="59"/>
      <c r="FZ22" s="59"/>
      <c r="GA22" s="59"/>
      <c r="GB22" s="59"/>
      <c r="GC22" s="59"/>
      <c r="GD22" s="59"/>
      <c r="GE22" s="59"/>
      <c r="GF22" s="59"/>
      <c r="GG22" s="59"/>
      <c r="GH22" s="59"/>
      <c r="GI22" s="59"/>
      <c r="GJ22" s="59"/>
      <c r="GK22" s="59"/>
      <c r="GL22" s="59"/>
      <c r="GM22" s="59"/>
      <c r="GN22" s="59"/>
    </row>
    <row r="23" spans="1:196" x14ac:dyDescent="0.3">
      <c r="A23" s="59"/>
      <c r="B23" s="59"/>
      <c r="C23" s="59"/>
      <c r="D23" s="59"/>
      <c r="E23" s="59"/>
      <c r="F23" s="59"/>
      <c r="G23" s="59"/>
      <c r="H23" s="59"/>
      <c r="I23" s="59"/>
      <c r="J23" s="59"/>
      <c r="K23" s="59"/>
      <c r="L23" s="59"/>
      <c r="M23" s="59"/>
      <c r="N23" s="59"/>
      <c r="O23" s="59"/>
      <c r="P23" s="59"/>
      <c r="Q23" s="59"/>
      <c r="R23" s="59"/>
      <c r="S23" s="59"/>
      <c r="T23" s="59"/>
      <c r="U23" s="59"/>
      <c r="V23" s="59"/>
      <c r="W23" s="59"/>
      <c r="X23" s="59"/>
      <c r="Y23" s="59"/>
      <c r="Z23" s="59"/>
      <c r="AA23" s="59"/>
      <c r="AB23" s="59"/>
      <c r="AC23" s="59"/>
      <c r="AD23" s="59"/>
      <c r="AE23" s="59"/>
      <c r="AF23" s="59"/>
      <c r="AG23" s="59"/>
      <c r="AH23" s="59"/>
      <c r="AI23" s="59"/>
      <c r="AJ23" s="59"/>
      <c r="AK23" s="59"/>
      <c r="AL23" s="59"/>
      <c r="AM23" s="59"/>
      <c r="AN23" s="59"/>
      <c r="AO23" s="59"/>
      <c r="AP23" s="59"/>
      <c r="AQ23" s="59"/>
      <c r="AR23" s="59"/>
      <c r="AS23" s="59"/>
      <c r="AT23" s="59"/>
      <c r="AU23" s="59"/>
      <c r="AV23" s="59"/>
      <c r="AW23" s="59"/>
      <c r="AX23" s="59"/>
      <c r="AY23" s="59"/>
      <c r="AZ23" s="59"/>
      <c r="BA23" s="59"/>
      <c r="BB23" s="59"/>
      <c r="BC23" s="59"/>
      <c r="BD23" s="59"/>
      <c r="BE23" s="59"/>
      <c r="BF23" s="59"/>
      <c r="BG23" s="59"/>
      <c r="BH23" s="59"/>
      <c r="BI23" s="59"/>
      <c r="BJ23" s="59"/>
      <c r="BK23" s="59"/>
      <c r="BL23" s="59"/>
      <c r="BM23" s="59"/>
      <c r="BN23" s="59"/>
      <c r="BO23" s="59"/>
      <c r="BP23" s="59"/>
      <c r="BQ23" s="59"/>
      <c r="BR23" s="59"/>
      <c r="BS23" s="59"/>
      <c r="BT23" s="59"/>
      <c r="BU23" s="59"/>
      <c r="BV23" s="59"/>
      <c r="BW23" s="59"/>
      <c r="BX23" s="59"/>
      <c r="BY23" s="59"/>
      <c r="BZ23" s="59"/>
      <c r="CA23" s="59"/>
      <c r="CB23" s="59"/>
      <c r="CC23" s="59"/>
      <c r="CD23" s="59"/>
      <c r="CE23" s="59"/>
      <c r="CF23" s="59"/>
      <c r="CG23" s="59"/>
      <c r="CH23" s="59"/>
      <c r="CI23" s="59"/>
      <c r="CJ23" s="59"/>
      <c r="CK23" s="59"/>
      <c r="CL23" s="59"/>
      <c r="CM23" s="59"/>
      <c r="CN23" s="59"/>
      <c r="CO23" s="59"/>
      <c r="CP23" s="59"/>
      <c r="CQ23" s="59"/>
      <c r="CR23" s="59"/>
      <c r="CS23" s="59"/>
      <c r="CT23" s="59"/>
      <c r="CU23" s="59"/>
      <c r="CV23" s="59"/>
      <c r="CW23" s="59"/>
      <c r="CX23" s="59"/>
      <c r="CY23" s="59"/>
      <c r="CZ23" s="59"/>
      <c r="DA23" s="59"/>
      <c r="DB23" s="59"/>
      <c r="DC23" s="59"/>
      <c r="DD23" s="59"/>
      <c r="DE23" s="59"/>
      <c r="DF23" s="59"/>
      <c r="DG23" s="59"/>
      <c r="DH23" s="59"/>
      <c r="DI23" s="59"/>
      <c r="DJ23" s="59"/>
      <c r="DK23" s="59"/>
      <c r="DL23" s="59"/>
      <c r="DM23" s="59"/>
      <c r="DN23" s="59"/>
      <c r="DO23" s="59"/>
      <c r="DP23" s="59"/>
      <c r="DQ23" s="59"/>
      <c r="DR23" s="59"/>
      <c r="DS23" s="59"/>
      <c r="DT23" s="59"/>
      <c r="DU23" s="59"/>
      <c r="DV23" s="59"/>
      <c r="DW23" s="59"/>
      <c r="DX23" s="59"/>
      <c r="DY23" s="59"/>
      <c r="DZ23" s="59"/>
      <c r="EA23" s="59"/>
      <c r="EB23" s="59"/>
      <c r="EC23" s="59"/>
      <c r="ED23" s="59"/>
      <c r="EE23" s="59"/>
      <c r="EF23" s="59"/>
      <c r="EG23" s="59"/>
      <c r="EH23" s="59"/>
      <c r="EI23" s="59"/>
      <c r="EJ23" s="59"/>
      <c r="EK23" s="59"/>
      <c r="EL23" s="59"/>
      <c r="EM23" s="59"/>
      <c r="EN23" s="59"/>
      <c r="EO23" s="59"/>
      <c r="EP23" s="59"/>
      <c r="EQ23" s="59"/>
      <c r="ER23" s="59"/>
      <c r="ES23" s="59"/>
      <c r="ET23" s="59"/>
      <c r="EU23" s="59"/>
      <c r="EV23" s="59"/>
      <c r="EW23" s="59"/>
      <c r="EX23" s="59"/>
      <c r="EY23" s="59"/>
      <c r="EZ23" s="59"/>
      <c r="FA23" s="59"/>
      <c r="FB23" s="59"/>
      <c r="FC23" s="59"/>
      <c r="FD23" s="59"/>
      <c r="FE23" s="59"/>
      <c r="FF23" s="59"/>
      <c r="FG23" s="59"/>
      <c r="FH23" s="59"/>
      <c r="FI23" s="59"/>
      <c r="FJ23" s="59"/>
      <c r="FK23" s="59"/>
      <c r="FL23" s="59"/>
      <c r="FM23" s="59"/>
      <c r="FN23" s="59"/>
      <c r="FO23" s="59"/>
      <c r="FP23" s="59"/>
      <c r="FQ23" s="59"/>
      <c r="FR23" s="59"/>
      <c r="FS23" s="59"/>
      <c r="FT23" s="59"/>
      <c r="FU23" s="59"/>
      <c r="FV23" s="59"/>
      <c r="FW23" s="59"/>
      <c r="FX23" s="59"/>
      <c r="FY23" s="59"/>
      <c r="FZ23" s="59"/>
      <c r="GA23" s="59"/>
      <c r="GB23" s="59"/>
      <c r="GC23" s="59"/>
      <c r="GD23" s="59"/>
      <c r="GE23" s="59"/>
      <c r="GF23" s="59"/>
      <c r="GG23" s="59"/>
      <c r="GH23" s="59"/>
      <c r="GI23" s="59"/>
      <c r="GJ23" s="59"/>
      <c r="GK23" s="59"/>
      <c r="GL23" s="59"/>
      <c r="GM23" s="59"/>
      <c r="GN23" s="59"/>
    </row>
    <row r="24" spans="1:196" x14ac:dyDescent="0.3">
      <c r="A24" s="59"/>
      <c r="B24" s="59"/>
      <c r="C24" s="59"/>
      <c r="D24" s="59"/>
      <c r="E24" s="59"/>
      <c r="F24" s="59"/>
      <c r="G24" s="59"/>
      <c r="H24" s="59"/>
      <c r="I24" s="59"/>
      <c r="J24" s="59"/>
      <c r="K24" s="59"/>
      <c r="L24" s="59"/>
      <c r="M24" s="59"/>
      <c r="N24" s="59"/>
      <c r="O24" s="59"/>
      <c r="P24" s="59"/>
      <c r="Q24" s="59"/>
      <c r="R24" s="59"/>
      <c r="S24" s="59"/>
      <c r="T24" s="59"/>
      <c r="U24" s="59"/>
      <c r="V24" s="59"/>
      <c r="W24" s="59"/>
      <c r="X24" s="59"/>
      <c r="Y24" s="59"/>
      <c r="Z24" s="59"/>
      <c r="AA24" s="59"/>
      <c r="AB24" s="59"/>
      <c r="AC24" s="59"/>
      <c r="AD24" s="59"/>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c r="BU24" s="59"/>
      <c r="BV24" s="59"/>
      <c r="BW24" s="59"/>
      <c r="BX24" s="59"/>
      <c r="BY24" s="59"/>
      <c r="BZ24" s="59"/>
      <c r="CA24" s="59"/>
      <c r="CB24" s="59"/>
      <c r="CC24" s="59"/>
      <c r="CD24" s="59"/>
      <c r="CE24" s="59"/>
      <c r="CF24" s="59"/>
      <c r="CG24" s="59"/>
      <c r="CH24" s="59"/>
      <c r="CI24" s="59"/>
      <c r="CJ24" s="59"/>
      <c r="CK24" s="59"/>
      <c r="CL24" s="59"/>
      <c r="CM24" s="59"/>
      <c r="CN24" s="59"/>
      <c r="CO24" s="59"/>
      <c r="CP24" s="59"/>
      <c r="CQ24" s="59"/>
      <c r="CR24" s="59"/>
      <c r="CS24" s="59"/>
      <c r="CT24" s="59"/>
      <c r="CU24" s="59"/>
      <c r="CV24" s="59"/>
      <c r="CW24" s="59"/>
      <c r="CX24" s="59"/>
      <c r="CY24" s="59"/>
      <c r="CZ24" s="59"/>
      <c r="DA24" s="59"/>
      <c r="DB24" s="59"/>
      <c r="DC24" s="59"/>
      <c r="DD24" s="59"/>
      <c r="DE24" s="59"/>
      <c r="DF24" s="59"/>
      <c r="DG24" s="59"/>
      <c r="DH24" s="59"/>
      <c r="DI24" s="59"/>
      <c r="DJ24" s="59"/>
      <c r="DK24" s="59"/>
      <c r="DL24" s="59"/>
      <c r="DM24" s="59"/>
      <c r="DN24" s="59"/>
      <c r="DO24" s="59"/>
      <c r="DP24" s="59"/>
      <c r="DQ24" s="59"/>
      <c r="DR24" s="59"/>
      <c r="DS24" s="59"/>
      <c r="DT24" s="59"/>
      <c r="DU24" s="59"/>
      <c r="DV24" s="59"/>
      <c r="DW24" s="59"/>
      <c r="DX24" s="59"/>
      <c r="DY24" s="59"/>
      <c r="DZ24" s="59"/>
      <c r="EA24" s="59"/>
      <c r="EB24" s="59"/>
      <c r="EC24" s="59"/>
      <c r="ED24" s="59"/>
      <c r="EE24" s="59"/>
      <c r="EF24" s="59"/>
      <c r="EG24" s="59"/>
      <c r="EH24" s="59"/>
      <c r="EI24" s="59"/>
      <c r="EJ24" s="59"/>
      <c r="EK24" s="59"/>
      <c r="EL24" s="59"/>
      <c r="EM24" s="59"/>
      <c r="EN24" s="59"/>
      <c r="EO24" s="59"/>
      <c r="EP24" s="59"/>
      <c r="EQ24" s="59"/>
      <c r="ER24" s="59"/>
      <c r="ES24" s="59"/>
      <c r="ET24" s="59"/>
      <c r="EU24" s="59"/>
      <c r="EV24" s="59"/>
      <c r="EW24" s="59"/>
      <c r="EX24" s="59"/>
      <c r="EY24" s="59"/>
      <c r="EZ24" s="59"/>
      <c r="FA24" s="59"/>
      <c r="FB24" s="59"/>
      <c r="FC24" s="59"/>
      <c r="FD24" s="59"/>
      <c r="FE24" s="59"/>
      <c r="FF24" s="59"/>
      <c r="FG24" s="59"/>
      <c r="FH24" s="59"/>
      <c r="FI24" s="59"/>
      <c r="FJ24" s="59"/>
      <c r="FK24" s="59"/>
      <c r="FL24" s="59"/>
      <c r="FM24" s="59"/>
      <c r="FN24" s="59"/>
      <c r="FO24" s="59"/>
      <c r="FP24" s="59"/>
      <c r="FQ24" s="59"/>
      <c r="FR24" s="59"/>
      <c r="FS24" s="59"/>
      <c r="FT24" s="59"/>
      <c r="FU24" s="59"/>
      <c r="FV24" s="59"/>
      <c r="FW24" s="59"/>
      <c r="FX24" s="59"/>
      <c r="FY24" s="59"/>
      <c r="FZ24" s="59"/>
      <c r="GA24" s="59"/>
      <c r="GB24" s="59"/>
      <c r="GC24" s="59"/>
      <c r="GD24" s="59"/>
      <c r="GE24" s="59"/>
      <c r="GF24" s="59"/>
      <c r="GG24" s="59"/>
      <c r="GH24" s="59"/>
      <c r="GI24" s="59"/>
      <c r="GJ24" s="59"/>
      <c r="GK24" s="59"/>
      <c r="GL24" s="59"/>
      <c r="GM24" s="59"/>
      <c r="GN24" s="59"/>
    </row>
    <row r="25" spans="1:196" x14ac:dyDescent="0.3">
      <c r="A25" s="59"/>
      <c r="B25" s="59"/>
      <c r="C25" s="59"/>
      <c r="D25" s="59"/>
      <c r="E25" s="59"/>
      <c r="F25" s="59"/>
      <c r="G25" s="59"/>
      <c r="H25" s="59"/>
      <c r="I25" s="59"/>
      <c r="J25" s="59"/>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c r="BU25" s="59"/>
      <c r="BV25" s="59"/>
      <c r="BW25" s="59"/>
      <c r="BX25" s="59"/>
      <c r="BY25" s="59"/>
      <c r="BZ25" s="59"/>
      <c r="CA25" s="59"/>
      <c r="CB25" s="59"/>
      <c r="CC25" s="59"/>
      <c r="CD25" s="59"/>
      <c r="CE25" s="59"/>
      <c r="CF25" s="59"/>
      <c r="CG25" s="59"/>
      <c r="CH25" s="59"/>
      <c r="CI25" s="59"/>
      <c r="CJ25" s="59"/>
      <c r="CK25" s="59"/>
      <c r="CL25" s="59"/>
      <c r="CM25" s="59"/>
      <c r="CN25" s="59"/>
      <c r="CO25" s="59"/>
      <c r="CP25" s="59"/>
      <c r="CQ25" s="59"/>
      <c r="CR25" s="59"/>
      <c r="CS25" s="59"/>
      <c r="CT25" s="59"/>
      <c r="CU25" s="59"/>
      <c r="CV25" s="59"/>
      <c r="CW25" s="59"/>
      <c r="CX25" s="59"/>
      <c r="CY25" s="59"/>
      <c r="CZ25" s="59"/>
      <c r="DA25" s="59"/>
      <c r="DB25" s="59"/>
      <c r="DC25" s="59"/>
      <c r="DD25" s="59"/>
      <c r="DE25" s="59"/>
      <c r="DF25" s="59"/>
      <c r="DG25" s="59"/>
      <c r="DH25" s="59"/>
      <c r="DI25" s="59"/>
      <c r="DJ25" s="59"/>
      <c r="DK25" s="59"/>
      <c r="DL25" s="59"/>
      <c r="DM25" s="59"/>
      <c r="DN25" s="59"/>
      <c r="DO25" s="59"/>
      <c r="DP25" s="59"/>
      <c r="DQ25" s="59"/>
      <c r="DR25" s="59"/>
      <c r="DS25" s="59"/>
      <c r="DT25" s="59"/>
      <c r="DU25" s="59"/>
      <c r="DV25" s="59"/>
      <c r="DW25" s="59"/>
      <c r="DX25" s="59"/>
      <c r="DY25" s="59"/>
      <c r="DZ25" s="59"/>
      <c r="EA25" s="59"/>
      <c r="EB25" s="59"/>
      <c r="EC25" s="59"/>
      <c r="ED25" s="59"/>
      <c r="EE25" s="59"/>
      <c r="EF25" s="59"/>
      <c r="EG25" s="59"/>
      <c r="EH25" s="59"/>
      <c r="EI25" s="59"/>
      <c r="EJ25" s="59"/>
      <c r="EK25" s="59"/>
      <c r="EL25" s="59"/>
      <c r="EM25" s="59"/>
      <c r="EN25" s="59"/>
      <c r="EO25" s="59"/>
      <c r="EP25" s="59"/>
      <c r="EQ25" s="59"/>
      <c r="ER25" s="59"/>
      <c r="ES25" s="59"/>
      <c r="ET25" s="59"/>
      <c r="EU25" s="59"/>
      <c r="EV25" s="59"/>
      <c r="EW25" s="59"/>
      <c r="EX25" s="59"/>
      <c r="EY25" s="59"/>
      <c r="EZ25" s="59"/>
      <c r="FA25" s="59"/>
      <c r="FB25" s="59"/>
      <c r="FC25" s="59"/>
      <c r="FD25" s="59"/>
      <c r="FE25" s="59"/>
      <c r="FF25" s="59"/>
      <c r="FG25" s="59"/>
      <c r="FH25" s="59"/>
      <c r="FI25" s="59"/>
      <c r="FJ25" s="59"/>
      <c r="FK25" s="59"/>
      <c r="FL25" s="59"/>
      <c r="FM25" s="59"/>
      <c r="FN25" s="59"/>
      <c r="FO25" s="59"/>
      <c r="FP25" s="59"/>
      <c r="FQ25" s="59"/>
      <c r="FR25" s="59"/>
      <c r="FS25" s="59"/>
      <c r="FT25" s="59"/>
      <c r="FU25" s="59"/>
      <c r="FV25" s="59"/>
      <c r="FW25" s="59"/>
      <c r="FX25" s="59"/>
      <c r="FY25" s="59"/>
      <c r="FZ25" s="59"/>
      <c r="GA25" s="59"/>
      <c r="GB25" s="59"/>
      <c r="GC25" s="59"/>
      <c r="GD25" s="59"/>
      <c r="GE25" s="59"/>
      <c r="GF25" s="59"/>
      <c r="GG25" s="59"/>
      <c r="GH25" s="59"/>
      <c r="GI25" s="59"/>
      <c r="GJ25" s="59"/>
      <c r="GK25" s="59"/>
      <c r="GL25" s="59"/>
      <c r="GM25" s="59"/>
      <c r="GN25" s="59"/>
    </row>
    <row r="26" spans="1:196" x14ac:dyDescent="0.3">
      <c r="A26" s="59"/>
      <c r="B26" s="59"/>
      <c r="C26" s="59"/>
      <c r="D26" s="59"/>
      <c r="E26" s="59"/>
      <c r="F26" s="59"/>
      <c r="G26" s="59"/>
      <c r="H26" s="59"/>
      <c r="I26" s="59"/>
      <c r="J26" s="59"/>
      <c r="K26" s="59"/>
      <c r="L26" s="59"/>
      <c r="M26" s="59"/>
      <c r="N26" s="59"/>
      <c r="O26" s="59"/>
      <c r="P26" s="59"/>
      <c r="Q26" s="59"/>
      <c r="R26" s="59"/>
      <c r="S26" s="59"/>
      <c r="T26" s="59"/>
      <c r="U26" s="59"/>
      <c r="V26" s="59"/>
      <c r="W26" s="59"/>
      <c r="X26" s="59"/>
      <c r="Y26" s="59"/>
      <c r="Z26" s="59"/>
      <c r="AA26" s="59"/>
      <c r="AB26" s="59"/>
      <c r="AC26" s="59"/>
      <c r="AD26" s="59"/>
      <c r="AE26" s="59"/>
      <c r="AF26" s="59"/>
      <c r="AG26" s="59"/>
      <c r="AH26" s="59"/>
      <c r="AI26" s="59"/>
      <c r="AJ26" s="59"/>
      <c r="AK26" s="59"/>
      <c r="AL26" s="59"/>
      <c r="AM26" s="59"/>
      <c r="AN26" s="59"/>
      <c r="AO26" s="59"/>
      <c r="AP26" s="59"/>
      <c r="AQ26" s="59"/>
      <c r="AR26" s="59"/>
      <c r="AS26" s="59"/>
      <c r="AT26" s="59"/>
      <c r="AU26" s="59"/>
      <c r="AV26" s="59"/>
      <c r="AW26" s="59"/>
      <c r="AX26" s="59"/>
      <c r="AY26" s="59"/>
      <c r="AZ26" s="59"/>
      <c r="BA26" s="59"/>
      <c r="BB26" s="59"/>
      <c r="BC26" s="59"/>
      <c r="BD26" s="59"/>
      <c r="BE26" s="59"/>
      <c r="BF26" s="59"/>
      <c r="BG26" s="59"/>
      <c r="BH26" s="59"/>
      <c r="BI26" s="59"/>
      <c r="BJ26" s="59"/>
      <c r="BK26" s="59"/>
      <c r="BL26" s="59"/>
      <c r="BM26" s="59"/>
      <c r="BN26" s="59"/>
      <c r="BO26" s="59"/>
      <c r="BP26" s="59"/>
      <c r="BQ26" s="59"/>
      <c r="BR26" s="59"/>
      <c r="BS26" s="59"/>
      <c r="BT26" s="59"/>
      <c r="BU26" s="59"/>
      <c r="BV26" s="59"/>
      <c r="BW26" s="59"/>
      <c r="BX26" s="59"/>
      <c r="BY26" s="59"/>
      <c r="BZ26" s="59"/>
      <c r="CA26" s="59"/>
      <c r="CB26" s="59"/>
      <c r="CC26" s="59"/>
      <c r="CD26" s="59"/>
      <c r="CE26" s="59"/>
      <c r="CF26" s="59"/>
      <c r="CG26" s="59"/>
      <c r="CH26" s="59"/>
      <c r="CI26" s="59"/>
      <c r="CJ26" s="59"/>
      <c r="CK26" s="59"/>
      <c r="CL26" s="59"/>
      <c r="CM26" s="59"/>
      <c r="CN26" s="59"/>
      <c r="CO26" s="59"/>
      <c r="CP26" s="59"/>
      <c r="CQ26" s="59"/>
      <c r="CR26" s="59"/>
      <c r="CS26" s="59"/>
      <c r="CT26" s="59"/>
      <c r="CU26" s="59"/>
      <c r="CV26" s="59"/>
      <c r="CW26" s="59"/>
      <c r="CX26" s="59"/>
      <c r="CY26" s="59"/>
      <c r="CZ26" s="59"/>
      <c r="DA26" s="59"/>
      <c r="DB26" s="59"/>
      <c r="DC26" s="59"/>
      <c r="DD26" s="59"/>
      <c r="DE26" s="59"/>
      <c r="DF26" s="59"/>
      <c r="DG26" s="59"/>
      <c r="DH26" s="59"/>
      <c r="DI26" s="59"/>
      <c r="DJ26" s="59"/>
      <c r="DK26" s="59"/>
      <c r="DL26" s="59"/>
      <c r="DM26" s="59"/>
      <c r="DN26" s="59"/>
      <c r="DO26" s="59"/>
      <c r="DP26" s="59"/>
      <c r="DQ26" s="59"/>
      <c r="DR26" s="59"/>
      <c r="DS26" s="59"/>
      <c r="DT26" s="59"/>
      <c r="DU26" s="59"/>
      <c r="DV26" s="59"/>
      <c r="DW26" s="59"/>
      <c r="DX26" s="59"/>
      <c r="DY26" s="59"/>
      <c r="DZ26" s="59"/>
      <c r="EA26" s="59"/>
      <c r="EB26" s="59"/>
      <c r="EC26" s="59"/>
      <c r="ED26" s="59"/>
      <c r="EE26" s="59"/>
      <c r="EF26" s="59"/>
      <c r="EG26" s="59"/>
      <c r="EH26" s="59"/>
      <c r="EI26" s="59"/>
      <c r="EJ26" s="59"/>
      <c r="EK26" s="59"/>
      <c r="EL26" s="59"/>
      <c r="EM26" s="59"/>
      <c r="EN26" s="59"/>
      <c r="EO26" s="59"/>
      <c r="EP26" s="59"/>
      <c r="EQ26" s="59"/>
      <c r="ER26" s="59"/>
      <c r="ES26" s="59"/>
      <c r="ET26" s="59"/>
      <c r="EU26" s="59"/>
      <c r="EV26" s="59"/>
      <c r="EW26" s="59"/>
      <c r="EX26" s="59"/>
      <c r="EY26" s="59"/>
      <c r="EZ26" s="59"/>
      <c r="FA26" s="59"/>
      <c r="FB26" s="59"/>
      <c r="FC26" s="59"/>
      <c r="FD26" s="59"/>
      <c r="FE26" s="59"/>
      <c r="FF26" s="59"/>
      <c r="FG26" s="59"/>
      <c r="FH26" s="59"/>
      <c r="FI26" s="59"/>
      <c r="FJ26" s="59"/>
      <c r="FK26" s="59"/>
      <c r="FL26" s="59"/>
      <c r="FM26" s="59"/>
      <c r="FN26" s="59"/>
      <c r="FO26" s="59"/>
      <c r="FP26" s="59"/>
      <c r="FQ26" s="59"/>
      <c r="FR26" s="59"/>
      <c r="FS26" s="59"/>
      <c r="FT26" s="59"/>
      <c r="FU26" s="59"/>
      <c r="FV26" s="59"/>
      <c r="FW26" s="59"/>
      <c r="FX26" s="59"/>
      <c r="FY26" s="59"/>
      <c r="FZ26" s="59"/>
      <c r="GA26" s="59"/>
      <c r="GB26" s="59"/>
      <c r="GC26" s="59"/>
      <c r="GD26" s="59"/>
      <c r="GE26" s="59"/>
      <c r="GF26" s="59"/>
      <c r="GG26" s="59"/>
      <c r="GH26" s="59"/>
      <c r="GI26" s="59"/>
      <c r="GJ26" s="59"/>
      <c r="GK26" s="59"/>
      <c r="GL26" s="59"/>
      <c r="GM26" s="59"/>
      <c r="GN26" s="59"/>
    </row>
    <row r="27" spans="1:196" x14ac:dyDescent="0.3">
      <c r="A27" s="59"/>
      <c r="B27" s="59"/>
      <c r="C27" s="59"/>
      <c r="D27" s="59"/>
      <c r="E27" s="59"/>
      <c r="F27" s="59"/>
      <c r="G27" s="59"/>
      <c r="H27" s="59"/>
      <c r="I27" s="59"/>
      <c r="J27" s="59"/>
      <c r="K27" s="59"/>
      <c r="L27" s="59"/>
      <c r="M27" s="59"/>
      <c r="N27" s="59"/>
      <c r="O27" s="59"/>
      <c r="P27" s="59"/>
      <c r="Q27" s="59"/>
      <c r="R27" s="59"/>
      <c r="S27" s="59"/>
      <c r="T27" s="59"/>
      <c r="U27" s="59"/>
      <c r="V27" s="59"/>
      <c r="W27" s="59"/>
      <c r="X27" s="59"/>
      <c r="Y27" s="59"/>
      <c r="Z27" s="59"/>
      <c r="AA27" s="59"/>
      <c r="AB27" s="59"/>
      <c r="AC27" s="59"/>
      <c r="AD27" s="59"/>
      <c r="AE27" s="59"/>
      <c r="AF27" s="59"/>
      <c r="AG27" s="59"/>
      <c r="AH27" s="59"/>
      <c r="AI27" s="59"/>
      <c r="AJ27" s="59"/>
      <c r="AK27" s="59"/>
      <c r="AL27" s="59"/>
      <c r="AM27" s="59"/>
      <c r="AN27" s="59"/>
      <c r="AO27" s="59"/>
      <c r="AP27" s="59"/>
      <c r="AQ27" s="59"/>
      <c r="AR27" s="59"/>
      <c r="AS27" s="59"/>
      <c r="AT27" s="59"/>
      <c r="AU27" s="59"/>
      <c r="AV27" s="59"/>
      <c r="AW27" s="59"/>
      <c r="AX27" s="59"/>
      <c r="AY27" s="59"/>
      <c r="AZ27" s="59"/>
      <c r="BA27" s="59"/>
      <c r="BB27" s="59"/>
      <c r="BC27" s="59"/>
      <c r="BD27" s="59"/>
      <c r="BE27" s="59"/>
      <c r="BF27" s="59"/>
      <c r="BG27" s="59"/>
      <c r="BH27" s="59"/>
      <c r="BI27" s="59"/>
      <c r="BJ27" s="59"/>
      <c r="BK27" s="59"/>
      <c r="BL27" s="59"/>
      <c r="BM27" s="59"/>
      <c r="BN27" s="59"/>
      <c r="BO27" s="59"/>
      <c r="BP27" s="59"/>
      <c r="BQ27" s="59"/>
      <c r="BR27" s="59"/>
      <c r="BS27" s="59"/>
      <c r="BT27" s="59"/>
      <c r="BU27" s="59"/>
      <c r="BV27" s="59"/>
      <c r="BW27" s="59"/>
      <c r="BX27" s="59"/>
      <c r="BY27" s="59"/>
      <c r="BZ27" s="59"/>
      <c r="CA27" s="59"/>
      <c r="CB27" s="59"/>
      <c r="CC27" s="59"/>
      <c r="CD27" s="59"/>
      <c r="CE27" s="59"/>
      <c r="CF27" s="59"/>
      <c r="CG27" s="59"/>
      <c r="CH27" s="59"/>
      <c r="CI27" s="59"/>
      <c r="CJ27" s="59"/>
      <c r="CK27" s="59"/>
      <c r="CL27" s="59"/>
      <c r="CM27" s="59"/>
      <c r="CN27" s="59"/>
      <c r="CO27" s="59"/>
      <c r="CP27" s="59"/>
      <c r="CQ27" s="59"/>
      <c r="CR27" s="59"/>
      <c r="CS27" s="59"/>
      <c r="CT27" s="59"/>
      <c r="CU27" s="59"/>
      <c r="CV27" s="59"/>
      <c r="CW27" s="59"/>
      <c r="CX27" s="59"/>
      <c r="CY27" s="59"/>
      <c r="CZ27" s="59"/>
      <c r="DA27" s="59"/>
      <c r="DB27" s="59"/>
      <c r="DC27" s="59"/>
      <c r="DD27" s="59"/>
      <c r="DE27" s="59"/>
      <c r="DF27" s="59"/>
      <c r="DG27" s="59"/>
      <c r="DH27" s="59"/>
      <c r="DI27" s="59"/>
      <c r="DJ27" s="59"/>
      <c r="DK27" s="59"/>
      <c r="DL27" s="59"/>
      <c r="DM27" s="59"/>
      <c r="DN27" s="59"/>
      <c r="DO27" s="59"/>
      <c r="DP27" s="59"/>
      <c r="DQ27" s="59"/>
      <c r="DR27" s="59"/>
      <c r="DS27" s="59"/>
      <c r="DT27" s="59"/>
      <c r="DU27" s="59"/>
      <c r="DV27" s="59"/>
      <c r="DW27" s="59"/>
      <c r="DX27" s="59"/>
      <c r="DY27" s="59"/>
      <c r="DZ27" s="59"/>
      <c r="EA27" s="59"/>
      <c r="EB27" s="59"/>
      <c r="EC27" s="59"/>
      <c r="ED27" s="59"/>
      <c r="EE27" s="59"/>
      <c r="EF27" s="59"/>
      <c r="EG27" s="59"/>
      <c r="EH27" s="59"/>
      <c r="EI27" s="59"/>
      <c r="EJ27" s="59"/>
      <c r="EK27" s="59"/>
      <c r="EL27" s="59"/>
      <c r="EM27" s="59"/>
      <c r="EN27" s="59"/>
      <c r="EO27" s="59"/>
      <c r="EP27" s="59"/>
      <c r="EQ27" s="59"/>
      <c r="ER27" s="59"/>
      <c r="ES27" s="59"/>
      <c r="ET27" s="59"/>
      <c r="EU27" s="59"/>
      <c r="EV27" s="59"/>
      <c r="EW27" s="59"/>
      <c r="EX27" s="59"/>
      <c r="EY27" s="59"/>
      <c r="EZ27" s="59"/>
      <c r="FA27" s="59"/>
      <c r="FB27" s="59"/>
      <c r="FC27" s="59"/>
      <c r="FD27" s="59"/>
      <c r="FE27" s="59"/>
      <c r="FF27" s="59"/>
      <c r="FG27" s="59"/>
      <c r="FH27" s="59"/>
      <c r="FI27" s="59"/>
      <c r="FJ27" s="59"/>
      <c r="FK27" s="59"/>
      <c r="FL27" s="59"/>
      <c r="FM27" s="59"/>
      <c r="FN27" s="59"/>
      <c r="FO27" s="59"/>
      <c r="FP27" s="59"/>
      <c r="FQ27" s="59"/>
      <c r="FR27" s="59"/>
      <c r="FS27" s="59"/>
      <c r="FT27" s="59"/>
      <c r="FU27" s="59"/>
      <c r="FV27" s="59"/>
      <c r="FW27" s="59"/>
      <c r="FX27" s="59"/>
      <c r="FY27" s="59"/>
      <c r="FZ27" s="59"/>
      <c r="GA27" s="59"/>
      <c r="GB27" s="59"/>
      <c r="GC27" s="59"/>
      <c r="GD27" s="59"/>
      <c r="GE27" s="59"/>
      <c r="GF27" s="59"/>
      <c r="GG27" s="59"/>
      <c r="GH27" s="59"/>
      <c r="GI27" s="59"/>
      <c r="GJ27" s="59"/>
      <c r="GK27" s="59"/>
      <c r="GL27" s="59"/>
      <c r="GM27" s="59"/>
      <c r="GN27" s="59"/>
    </row>
    <row r="28" spans="1:196" x14ac:dyDescent="0.3">
      <c r="A28" s="59"/>
      <c r="B28" s="59"/>
      <c r="C28" s="59"/>
      <c r="D28" s="59"/>
      <c r="E28" s="59"/>
      <c r="F28" s="59"/>
      <c r="G28" s="59"/>
      <c r="H28" s="59"/>
      <c r="I28" s="59"/>
      <c r="J28" s="59"/>
      <c r="K28" s="59"/>
      <c r="L28" s="59"/>
      <c r="M28" s="59"/>
      <c r="N28" s="59"/>
      <c r="O28" s="59"/>
      <c r="P28" s="59"/>
      <c r="Q28" s="59"/>
      <c r="R28" s="59"/>
      <c r="S28" s="59"/>
      <c r="T28" s="59"/>
      <c r="U28" s="59"/>
      <c r="V28" s="59"/>
      <c r="W28" s="59"/>
      <c r="X28" s="59"/>
      <c r="Y28" s="59"/>
      <c r="Z28" s="59"/>
      <c r="AA28" s="59"/>
      <c r="AB28" s="59"/>
      <c r="AC28" s="59"/>
      <c r="AD28" s="59"/>
      <c r="AE28" s="59"/>
      <c r="AF28" s="59"/>
      <c r="AG28" s="59"/>
      <c r="AH28" s="59"/>
      <c r="AI28" s="59"/>
      <c r="AJ28" s="59"/>
      <c r="AK28" s="59"/>
      <c r="AL28" s="59"/>
      <c r="AM28" s="59"/>
      <c r="AN28" s="59"/>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c r="BU28" s="59"/>
      <c r="BV28" s="59"/>
      <c r="BW28" s="59"/>
      <c r="BX28" s="59"/>
      <c r="BY28" s="59"/>
      <c r="BZ28" s="59"/>
      <c r="CA28" s="59"/>
      <c r="CB28" s="59"/>
      <c r="CC28" s="59"/>
      <c r="CD28" s="59"/>
      <c r="CE28" s="59"/>
      <c r="CF28" s="59"/>
      <c r="CG28" s="59"/>
      <c r="CH28" s="59"/>
      <c r="CI28" s="59"/>
      <c r="CJ28" s="59"/>
      <c r="CK28" s="59"/>
      <c r="CL28" s="59"/>
      <c r="CM28" s="59"/>
      <c r="CN28" s="59"/>
      <c r="CO28" s="59"/>
      <c r="CP28" s="59"/>
      <c r="CQ28" s="59"/>
      <c r="CR28" s="59"/>
      <c r="CS28" s="59"/>
      <c r="CT28" s="59"/>
      <c r="CU28" s="59"/>
      <c r="CV28" s="59"/>
      <c r="CW28" s="59"/>
      <c r="CX28" s="59"/>
      <c r="CY28" s="59"/>
      <c r="CZ28" s="59"/>
      <c r="DA28" s="59"/>
      <c r="DB28" s="59"/>
      <c r="DC28" s="59"/>
      <c r="DD28" s="59"/>
      <c r="DE28" s="59"/>
      <c r="DF28" s="59"/>
      <c r="DG28" s="59"/>
      <c r="DH28" s="59"/>
      <c r="DI28" s="59"/>
      <c r="DJ28" s="59"/>
      <c r="DK28" s="59"/>
      <c r="DL28" s="59"/>
      <c r="DM28" s="59"/>
      <c r="DN28" s="59"/>
      <c r="DO28" s="59"/>
      <c r="DP28" s="59"/>
      <c r="DQ28" s="59"/>
      <c r="DR28" s="59"/>
      <c r="DS28" s="59"/>
      <c r="DT28" s="59"/>
      <c r="DU28" s="59"/>
      <c r="DV28" s="59"/>
      <c r="DW28" s="59"/>
      <c r="DX28" s="59"/>
      <c r="DY28" s="59"/>
      <c r="DZ28" s="59"/>
      <c r="EA28" s="59"/>
      <c r="EB28" s="59"/>
      <c r="EC28" s="59"/>
      <c r="ED28" s="59"/>
      <c r="EE28" s="59"/>
      <c r="EF28" s="59"/>
      <c r="EG28" s="59"/>
      <c r="EH28" s="59"/>
      <c r="EI28" s="59"/>
      <c r="EJ28" s="59"/>
      <c r="EK28" s="59"/>
      <c r="EL28" s="59"/>
      <c r="EM28" s="59"/>
      <c r="EN28" s="59"/>
      <c r="EO28" s="59"/>
      <c r="EP28" s="59"/>
      <c r="EQ28" s="59"/>
      <c r="ER28" s="59"/>
      <c r="ES28" s="59"/>
      <c r="ET28" s="59"/>
      <c r="EU28" s="59"/>
      <c r="EV28" s="59"/>
      <c r="EW28" s="59"/>
      <c r="EX28" s="59"/>
      <c r="EY28" s="59"/>
      <c r="EZ28" s="59"/>
      <c r="FA28" s="59"/>
      <c r="FB28" s="59"/>
      <c r="FC28" s="59"/>
      <c r="FD28" s="59"/>
      <c r="FE28" s="59"/>
      <c r="FF28" s="59"/>
      <c r="FG28" s="59"/>
      <c r="FH28" s="59"/>
      <c r="FI28" s="59"/>
      <c r="FJ28" s="59"/>
      <c r="FK28" s="59"/>
      <c r="FL28" s="59"/>
      <c r="FM28" s="59"/>
      <c r="FN28" s="59"/>
      <c r="FO28" s="59"/>
      <c r="FP28" s="59"/>
      <c r="FQ28" s="59"/>
      <c r="FR28" s="59"/>
      <c r="FS28" s="59"/>
      <c r="FT28" s="59"/>
      <c r="FU28" s="59"/>
      <c r="FV28" s="59"/>
      <c r="FW28" s="59"/>
      <c r="FX28" s="59"/>
      <c r="FY28" s="59"/>
      <c r="FZ28" s="59"/>
      <c r="GA28" s="59"/>
      <c r="GB28" s="59"/>
      <c r="GC28" s="59"/>
      <c r="GD28" s="59"/>
      <c r="GE28" s="59"/>
      <c r="GF28" s="59"/>
      <c r="GG28" s="59"/>
      <c r="GH28" s="59"/>
      <c r="GI28" s="59"/>
      <c r="GJ28" s="59"/>
      <c r="GK28" s="59"/>
      <c r="GL28" s="59"/>
      <c r="GM28" s="59"/>
      <c r="GN28" s="59"/>
    </row>
    <row r="29" spans="1:196" x14ac:dyDescent="0.3">
      <c r="A29" s="59"/>
      <c r="B29" s="59"/>
      <c r="C29" s="59"/>
      <c r="D29" s="59"/>
      <c r="E29" s="59"/>
      <c r="F29" s="59"/>
      <c r="G29" s="59"/>
      <c r="H29" s="59"/>
      <c r="I29" s="59"/>
      <c r="J29" s="59"/>
      <c r="K29" s="59"/>
      <c r="L29" s="59"/>
      <c r="M29" s="59"/>
      <c r="N29" s="59"/>
      <c r="O29" s="59"/>
      <c r="P29" s="59"/>
      <c r="Q29" s="59"/>
      <c r="R29" s="59"/>
      <c r="S29" s="59"/>
      <c r="T29" s="59"/>
      <c r="U29" s="59"/>
      <c r="V29" s="59"/>
      <c r="W29" s="59"/>
      <c r="X29" s="59"/>
      <c r="Y29" s="59"/>
      <c r="Z29" s="59"/>
      <c r="AA29" s="59"/>
      <c r="AB29" s="59"/>
      <c r="AC29" s="59"/>
      <c r="AD29" s="59"/>
      <c r="AE29" s="59"/>
      <c r="AF29" s="59"/>
      <c r="AG29" s="59"/>
      <c r="AH29" s="59"/>
      <c r="AI29" s="59"/>
      <c r="AJ29" s="59"/>
      <c r="AK29" s="59"/>
      <c r="AL29" s="59"/>
      <c r="AM29" s="59"/>
      <c r="AN29" s="59"/>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c r="BU29" s="59"/>
      <c r="BV29" s="59"/>
      <c r="BW29" s="59"/>
      <c r="BX29" s="59"/>
      <c r="BY29" s="59"/>
      <c r="BZ29" s="59"/>
      <c r="CA29" s="59"/>
      <c r="CB29" s="59"/>
      <c r="CC29" s="59"/>
      <c r="CD29" s="59"/>
      <c r="CE29" s="59"/>
      <c r="CF29" s="59"/>
      <c r="CG29" s="59"/>
      <c r="CH29" s="59"/>
      <c r="CI29" s="59"/>
      <c r="CJ29" s="59"/>
      <c r="CK29" s="59"/>
      <c r="CL29" s="59"/>
      <c r="CM29" s="59"/>
      <c r="CN29" s="59"/>
      <c r="CO29" s="59"/>
      <c r="CP29" s="59"/>
      <c r="CQ29" s="59"/>
      <c r="CR29" s="59"/>
      <c r="CS29" s="59"/>
      <c r="CT29" s="59"/>
      <c r="CU29" s="59"/>
      <c r="CV29" s="59"/>
      <c r="CW29" s="59"/>
      <c r="CX29" s="59"/>
      <c r="CY29" s="59"/>
      <c r="CZ29" s="59"/>
      <c r="DA29" s="59"/>
      <c r="DB29" s="59"/>
      <c r="DC29" s="59"/>
      <c r="DD29" s="59"/>
      <c r="DE29" s="59"/>
      <c r="DF29" s="59"/>
      <c r="DG29" s="59"/>
      <c r="DH29" s="59"/>
      <c r="DI29" s="59"/>
      <c r="DJ29" s="59"/>
      <c r="DK29" s="59"/>
      <c r="DL29" s="59"/>
      <c r="DM29" s="59"/>
      <c r="DN29" s="59"/>
      <c r="DO29" s="59"/>
      <c r="DP29" s="59"/>
      <c r="DQ29" s="59"/>
      <c r="DR29" s="59"/>
      <c r="DS29" s="59"/>
      <c r="DT29" s="59"/>
      <c r="DU29" s="59"/>
      <c r="DV29" s="59"/>
      <c r="DW29" s="59"/>
      <c r="DX29" s="59"/>
      <c r="DY29" s="59"/>
      <c r="DZ29" s="59"/>
      <c r="EA29" s="59"/>
      <c r="EB29" s="59"/>
      <c r="EC29" s="59"/>
      <c r="ED29" s="59"/>
      <c r="EE29" s="59"/>
      <c r="EF29" s="59"/>
      <c r="EG29" s="59"/>
      <c r="EH29" s="59"/>
      <c r="EI29" s="59"/>
      <c r="EJ29" s="59"/>
      <c r="EK29" s="59"/>
      <c r="EL29" s="59"/>
      <c r="EM29" s="59"/>
      <c r="EN29" s="59"/>
      <c r="EO29" s="59"/>
      <c r="EP29" s="59"/>
      <c r="EQ29" s="59"/>
      <c r="ER29" s="59"/>
      <c r="ES29" s="59"/>
      <c r="ET29" s="59"/>
      <c r="EU29" s="59"/>
      <c r="EV29" s="59"/>
      <c r="EW29" s="59"/>
      <c r="EX29" s="59"/>
      <c r="EY29" s="59"/>
      <c r="EZ29" s="59"/>
      <c r="FA29" s="59"/>
      <c r="FB29" s="59"/>
      <c r="FC29" s="59"/>
      <c r="FD29" s="59"/>
      <c r="FE29" s="59"/>
      <c r="FF29" s="59"/>
      <c r="FG29" s="59"/>
      <c r="FH29" s="59"/>
      <c r="FI29" s="59"/>
      <c r="FJ29" s="59"/>
      <c r="FK29" s="59"/>
      <c r="FL29" s="59"/>
      <c r="FM29" s="59"/>
      <c r="FN29" s="59"/>
      <c r="FO29" s="59"/>
      <c r="FP29" s="59"/>
      <c r="FQ29" s="59"/>
      <c r="FR29" s="59"/>
      <c r="FS29" s="59"/>
      <c r="FT29" s="59"/>
      <c r="FU29" s="59"/>
      <c r="FV29" s="59"/>
      <c r="FW29" s="59"/>
      <c r="FX29" s="59"/>
      <c r="FY29" s="59"/>
      <c r="FZ29" s="59"/>
      <c r="GA29" s="59"/>
      <c r="GB29" s="59"/>
      <c r="GC29" s="59"/>
      <c r="GD29" s="59"/>
      <c r="GE29" s="59"/>
      <c r="GF29" s="59"/>
      <c r="GG29" s="59"/>
      <c r="GH29" s="59"/>
      <c r="GI29" s="59"/>
      <c r="GJ29" s="59"/>
      <c r="GK29" s="59"/>
      <c r="GL29" s="59"/>
      <c r="GM29" s="59"/>
      <c r="GN29" s="59"/>
    </row>
    <row r="30" spans="1:196" x14ac:dyDescent="0.3">
      <c r="A30" s="59"/>
      <c r="B30" s="59"/>
      <c r="C30" s="59"/>
      <c r="D30" s="59"/>
      <c r="E30" s="59"/>
      <c r="F30" s="59"/>
      <c r="G30" s="59"/>
      <c r="H30" s="59"/>
      <c r="I30" s="59"/>
      <c r="J30" s="59"/>
      <c r="K30" s="59"/>
      <c r="L30" s="59"/>
      <c r="M30" s="59"/>
      <c r="N30" s="59"/>
      <c r="O30" s="59"/>
      <c r="P30" s="59"/>
      <c r="Q30" s="59"/>
      <c r="R30" s="59"/>
      <c r="S30" s="59"/>
      <c r="T30" s="59"/>
      <c r="U30" s="59"/>
      <c r="V30" s="59"/>
      <c r="W30" s="59"/>
      <c r="X30" s="59"/>
      <c r="Y30" s="59"/>
      <c r="Z30" s="59"/>
      <c r="AA30" s="59"/>
      <c r="AB30" s="59"/>
      <c r="AC30" s="59"/>
      <c r="AD30" s="59"/>
      <c r="AE30" s="59"/>
      <c r="AF30" s="59"/>
      <c r="AG30" s="59"/>
      <c r="AH30" s="59"/>
      <c r="AI30" s="59"/>
      <c r="AJ30" s="59"/>
      <c r="AK30" s="59"/>
      <c r="AL30" s="59"/>
      <c r="AM30" s="59"/>
      <c r="AN30" s="59"/>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c r="BU30" s="59"/>
      <c r="BV30" s="59"/>
      <c r="BW30" s="59"/>
      <c r="BX30" s="59"/>
      <c r="BY30" s="59"/>
      <c r="BZ30" s="59"/>
      <c r="CA30" s="59"/>
      <c r="CB30" s="59"/>
      <c r="CC30" s="59"/>
      <c r="CD30" s="59"/>
      <c r="CE30" s="59"/>
      <c r="CF30" s="59"/>
      <c r="CG30" s="59"/>
      <c r="CH30" s="59"/>
      <c r="CI30" s="59"/>
      <c r="CJ30" s="59"/>
      <c r="CK30" s="59"/>
      <c r="CL30" s="59"/>
      <c r="CM30" s="59"/>
      <c r="CN30" s="59"/>
      <c r="CO30" s="59"/>
      <c r="CP30" s="59"/>
      <c r="CQ30" s="59"/>
      <c r="CR30" s="59"/>
      <c r="CS30" s="59"/>
      <c r="CT30" s="59"/>
      <c r="CU30" s="59"/>
      <c r="CV30" s="59"/>
      <c r="CW30" s="59"/>
      <c r="CX30" s="59"/>
      <c r="CY30" s="59"/>
      <c r="CZ30" s="59"/>
      <c r="DA30" s="59"/>
      <c r="DB30" s="59"/>
      <c r="DC30" s="59"/>
      <c r="DD30" s="59"/>
      <c r="DE30" s="59"/>
      <c r="DF30" s="59"/>
      <c r="DG30" s="59"/>
      <c r="DH30" s="59"/>
      <c r="DI30" s="59"/>
      <c r="DJ30" s="59"/>
      <c r="DK30" s="59"/>
      <c r="DL30" s="59"/>
      <c r="DM30" s="59"/>
      <c r="DN30" s="59"/>
      <c r="DO30" s="59"/>
      <c r="DP30" s="59"/>
      <c r="DQ30" s="59"/>
      <c r="DR30" s="59"/>
      <c r="DS30" s="59"/>
      <c r="DT30" s="59"/>
      <c r="DU30" s="59"/>
      <c r="DV30" s="59"/>
      <c r="DW30" s="59"/>
      <c r="DX30" s="59"/>
      <c r="DY30" s="59"/>
      <c r="DZ30" s="59"/>
      <c r="EA30" s="59"/>
      <c r="EB30" s="59"/>
      <c r="EC30" s="59"/>
      <c r="ED30" s="59"/>
      <c r="EE30" s="59"/>
      <c r="EF30" s="59"/>
      <c r="EG30" s="59"/>
      <c r="EH30" s="59"/>
      <c r="EI30" s="59"/>
      <c r="EJ30" s="59"/>
      <c r="EK30" s="59"/>
      <c r="EL30" s="59"/>
      <c r="EM30" s="59"/>
      <c r="EN30" s="59"/>
      <c r="EO30" s="59"/>
      <c r="EP30" s="59"/>
      <c r="EQ30" s="59"/>
      <c r="ER30" s="59"/>
      <c r="ES30" s="59"/>
      <c r="ET30" s="59"/>
      <c r="EU30" s="59"/>
      <c r="EV30" s="59"/>
      <c r="EW30" s="59"/>
      <c r="EX30" s="59"/>
      <c r="EY30" s="59"/>
      <c r="EZ30" s="59"/>
      <c r="FA30" s="59"/>
      <c r="FB30" s="59"/>
      <c r="FC30" s="59"/>
      <c r="FD30" s="59"/>
      <c r="FE30" s="59"/>
      <c r="FF30" s="59"/>
      <c r="FG30" s="59"/>
      <c r="FH30" s="59"/>
      <c r="FI30" s="59"/>
      <c r="FJ30" s="59"/>
      <c r="FK30" s="59"/>
      <c r="FL30" s="59"/>
      <c r="FM30" s="59"/>
      <c r="FN30" s="59"/>
      <c r="FO30" s="59"/>
      <c r="FP30" s="59"/>
      <c r="FQ30" s="59"/>
      <c r="FR30" s="59"/>
      <c r="FS30" s="59"/>
      <c r="FT30" s="59"/>
      <c r="FU30" s="59"/>
      <c r="FV30" s="59"/>
      <c r="FW30" s="59"/>
      <c r="FX30" s="59"/>
      <c r="FY30" s="59"/>
      <c r="FZ30" s="59"/>
      <c r="GA30" s="59"/>
      <c r="GB30" s="59"/>
      <c r="GC30" s="59"/>
      <c r="GD30" s="59"/>
      <c r="GE30" s="59"/>
      <c r="GF30" s="59"/>
      <c r="GG30" s="59"/>
      <c r="GH30" s="59"/>
      <c r="GI30" s="59"/>
      <c r="GJ30" s="59"/>
      <c r="GK30" s="59"/>
      <c r="GL30" s="59"/>
      <c r="GM30" s="59"/>
      <c r="GN30" s="59"/>
    </row>
    <row r="31" spans="1:196" x14ac:dyDescent="0.3">
      <c r="A31" s="59"/>
      <c r="B31" s="59"/>
      <c r="C31" s="59"/>
      <c r="D31" s="59"/>
      <c r="E31" s="59"/>
      <c r="F31" s="59"/>
      <c r="G31" s="59"/>
      <c r="H31" s="59"/>
      <c r="I31" s="59"/>
      <c r="J31" s="59"/>
      <c r="K31" s="59"/>
      <c r="L31" s="59"/>
      <c r="M31" s="59"/>
      <c r="N31" s="59"/>
      <c r="O31" s="59"/>
      <c r="P31" s="59"/>
      <c r="Q31" s="59"/>
      <c r="R31" s="59"/>
      <c r="S31" s="59"/>
      <c r="T31" s="59"/>
      <c r="U31" s="59"/>
      <c r="V31" s="59"/>
      <c r="W31" s="59"/>
      <c r="X31" s="59"/>
      <c r="Y31" s="59"/>
      <c r="Z31" s="59"/>
      <c r="AA31" s="59"/>
      <c r="AB31" s="59"/>
      <c r="AC31" s="59"/>
      <c r="AD31" s="59"/>
      <c r="AE31" s="59"/>
      <c r="AF31" s="59"/>
      <c r="AG31" s="59"/>
      <c r="AH31" s="59"/>
      <c r="AI31" s="59"/>
      <c r="AJ31" s="59"/>
      <c r="AK31" s="59"/>
      <c r="AL31" s="59"/>
      <c r="AM31" s="59"/>
      <c r="AN31" s="59"/>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c r="BU31" s="59"/>
      <c r="BV31" s="59"/>
      <c r="BW31" s="59"/>
      <c r="BX31" s="59"/>
      <c r="BY31" s="59"/>
      <c r="BZ31" s="59"/>
      <c r="CA31" s="59"/>
      <c r="CB31" s="59"/>
      <c r="CC31" s="59"/>
      <c r="CD31" s="59"/>
      <c r="CE31" s="59"/>
      <c r="CF31" s="59"/>
      <c r="CG31" s="59"/>
      <c r="CH31" s="59"/>
      <c r="CI31" s="59"/>
      <c r="CJ31" s="59"/>
      <c r="CK31" s="59"/>
      <c r="CL31" s="59"/>
      <c r="CM31" s="59"/>
      <c r="CN31" s="59"/>
      <c r="CO31" s="59"/>
      <c r="CP31" s="59"/>
      <c r="CQ31" s="59"/>
      <c r="CR31" s="59"/>
      <c r="CS31" s="59"/>
      <c r="CT31" s="59"/>
      <c r="CU31" s="59"/>
      <c r="CV31" s="59"/>
      <c r="CW31" s="59"/>
      <c r="CX31" s="59"/>
      <c r="CY31" s="59"/>
      <c r="CZ31" s="59"/>
      <c r="DA31" s="59"/>
      <c r="DB31" s="59"/>
      <c r="DC31" s="59"/>
      <c r="DD31" s="59"/>
      <c r="DE31" s="59"/>
      <c r="DF31" s="59"/>
      <c r="DG31" s="59"/>
      <c r="DH31" s="59"/>
      <c r="DI31" s="59"/>
      <c r="DJ31" s="59"/>
      <c r="DK31" s="59"/>
      <c r="DL31" s="59"/>
      <c r="DM31" s="59"/>
      <c r="DN31" s="59"/>
      <c r="DO31" s="59"/>
      <c r="DP31" s="59"/>
      <c r="DQ31" s="59"/>
      <c r="DR31" s="59"/>
      <c r="DS31" s="59"/>
      <c r="DT31" s="59"/>
      <c r="DU31" s="59"/>
      <c r="DV31" s="59"/>
      <c r="DW31" s="59"/>
      <c r="DX31" s="59"/>
      <c r="DY31" s="59"/>
      <c r="DZ31" s="59"/>
      <c r="EA31" s="59"/>
      <c r="EB31" s="59"/>
      <c r="EC31" s="59"/>
      <c r="ED31" s="59"/>
      <c r="EE31" s="59"/>
      <c r="EF31" s="59"/>
      <c r="EG31" s="59"/>
      <c r="EH31" s="59"/>
      <c r="EI31" s="59"/>
      <c r="EJ31" s="59"/>
      <c r="EK31" s="59"/>
      <c r="EL31" s="59"/>
      <c r="EM31" s="59"/>
      <c r="EN31" s="59"/>
      <c r="EO31" s="59"/>
      <c r="EP31" s="59"/>
      <c r="EQ31" s="59"/>
      <c r="ER31" s="59"/>
      <c r="ES31" s="59"/>
      <c r="ET31" s="59"/>
      <c r="EU31" s="59"/>
      <c r="EV31" s="59"/>
      <c r="EW31" s="59"/>
      <c r="EX31" s="59"/>
      <c r="EY31" s="59"/>
      <c r="EZ31" s="59"/>
      <c r="FA31" s="59"/>
      <c r="FB31" s="59"/>
      <c r="FC31" s="59"/>
      <c r="FD31" s="59"/>
      <c r="FE31" s="59"/>
      <c r="FF31" s="59"/>
      <c r="FG31" s="59"/>
      <c r="FH31" s="59"/>
      <c r="FI31" s="59"/>
      <c r="FJ31" s="59"/>
      <c r="FK31" s="59"/>
      <c r="FL31" s="59"/>
      <c r="FM31" s="59"/>
      <c r="FN31" s="59"/>
      <c r="FO31" s="59"/>
      <c r="FP31" s="59"/>
      <c r="FQ31" s="59"/>
      <c r="FR31" s="59"/>
      <c r="FS31" s="59"/>
      <c r="FT31" s="59"/>
      <c r="FU31" s="59"/>
      <c r="FV31" s="59"/>
      <c r="FW31" s="59"/>
      <c r="FX31" s="59"/>
      <c r="FY31" s="59"/>
      <c r="FZ31" s="59"/>
      <c r="GA31" s="59"/>
      <c r="GB31" s="59"/>
      <c r="GC31" s="59"/>
      <c r="GD31" s="59"/>
      <c r="GE31" s="59"/>
      <c r="GF31" s="59"/>
      <c r="GG31" s="59"/>
      <c r="GH31" s="59"/>
      <c r="GI31" s="59"/>
      <c r="GJ31" s="59"/>
      <c r="GK31" s="59"/>
      <c r="GL31" s="59"/>
      <c r="GM31" s="59"/>
      <c r="GN31" s="59"/>
    </row>
    <row r="32" spans="1:196" x14ac:dyDescent="0.3">
      <c r="A32" s="59"/>
      <c r="B32" s="59"/>
      <c r="C32" s="59"/>
      <c r="D32" s="59"/>
      <c r="E32" s="59"/>
      <c r="F32" s="59"/>
      <c r="G32" s="59"/>
      <c r="H32" s="59"/>
      <c r="I32" s="59"/>
      <c r="J32" s="59"/>
      <c r="K32" s="59"/>
      <c r="L32" s="59"/>
      <c r="M32" s="59"/>
      <c r="N32" s="59"/>
      <c r="O32" s="59"/>
      <c r="P32" s="59"/>
      <c r="Q32" s="59"/>
      <c r="R32" s="59"/>
      <c r="S32" s="59"/>
      <c r="T32" s="59"/>
      <c r="U32" s="59"/>
      <c r="V32" s="59"/>
      <c r="W32" s="59"/>
      <c r="X32" s="59"/>
      <c r="Y32" s="59"/>
      <c r="Z32" s="59"/>
      <c r="AA32" s="59"/>
      <c r="AB32" s="59"/>
      <c r="AC32" s="59"/>
      <c r="AD32" s="59"/>
      <c r="AE32" s="59"/>
      <c r="AF32" s="59"/>
      <c r="AG32" s="59"/>
      <c r="AH32" s="59"/>
      <c r="AI32" s="59"/>
      <c r="AJ32" s="59"/>
      <c r="AK32" s="59"/>
      <c r="AL32" s="59"/>
      <c r="AM32" s="59"/>
      <c r="AN32" s="59"/>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c r="BU32" s="59"/>
      <c r="BV32" s="59"/>
      <c r="BW32" s="59"/>
      <c r="BX32" s="59"/>
      <c r="BY32" s="59"/>
      <c r="BZ32" s="59"/>
      <c r="CA32" s="59"/>
      <c r="CB32" s="59"/>
      <c r="CC32" s="59"/>
      <c r="CD32" s="59"/>
      <c r="CE32" s="59"/>
      <c r="CF32" s="59"/>
      <c r="CG32" s="59"/>
      <c r="CH32" s="59"/>
      <c r="CI32" s="59"/>
      <c r="CJ32" s="59"/>
      <c r="CK32" s="59"/>
      <c r="CL32" s="59"/>
      <c r="CM32" s="59"/>
      <c r="CN32" s="59"/>
      <c r="CO32" s="59"/>
      <c r="CP32" s="59"/>
      <c r="CQ32" s="59"/>
      <c r="CR32" s="59"/>
      <c r="CS32" s="59"/>
      <c r="CT32" s="59"/>
      <c r="CU32" s="59"/>
      <c r="CV32" s="59"/>
      <c r="CW32" s="59"/>
      <c r="CX32" s="59"/>
      <c r="CY32" s="59"/>
      <c r="CZ32" s="59"/>
      <c r="DA32" s="59"/>
      <c r="DB32" s="59"/>
      <c r="DC32" s="59"/>
      <c r="DD32" s="59"/>
      <c r="DE32" s="59"/>
      <c r="DF32" s="59"/>
      <c r="DG32" s="59"/>
      <c r="DH32" s="59"/>
      <c r="DI32" s="59"/>
      <c r="DJ32" s="59"/>
      <c r="DK32" s="59"/>
      <c r="DL32" s="59"/>
      <c r="DM32" s="59"/>
      <c r="DN32" s="59"/>
      <c r="DO32" s="59"/>
      <c r="DP32" s="59"/>
      <c r="DQ32" s="59"/>
      <c r="DR32" s="59"/>
      <c r="DS32" s="59"/>
      <c r="DT32" s="59"/>
      <c r="DU32" s="59"/>
      <c r="DV32" s="59"/>
      <c r="DW32" s="59"/>
      <c r="DX32" s="59"/>
      <c r="DY32" s="59"/>
      <c r="DZ32" s="59"/>
      <c r="EA32" s="59"/>
      <c r="EB32" s="59"/>
      <c r="EC32" s="59"/>
      <c r="ED32" s="59"/>
      <c r="EE32" s="59"/>
      <c r="EF32" s="59"/>
      <c r="EG32" s="59"/>
      <c r="EH32" s="59"/>
      <c r="EI32" s="59"/>
      <c r="EJ32" s="59"/>
      <c r="EK32" s="59"/>
      <c r="EL32" s="59"/>
      <c r="EM32" s="59"/>
      <c r="EN32" s="59"/>
      <c r="EO32" s="59"/>
      <c r="EP32" s="59"/>
      <c r="EQ32" s="59"/>
      <c r="ER32" s="59"/>
      <c r="ES32" s="59"/>
      <c r="ET32" s="59"/>
      <c r="EU32" s="59"/>
      <c r="EV32" s="59"/>
      <c r="EW32" s="59"/>
      <c r="EX32" s="59"/>
      <c r="EY32" s="59"/>
      <c r="EZ32" s="59"/>
      <c r="FA32" s="59"/>
      <c r="FB32" s="59"/>
      <c r="FC32" s="59"/>
      <c r="FD32" s="59"/>
      <c r="FE32" s="59"/>
      <c r="FF32" s="59"/>
      <c r="FG32" s="59"/>
      <c r="FH32" s="59"/>
      <c r="FI32" s="59"/>
      <c r="FJ32" s="59"/>
      <c r="FK32" s="59"/>
      <c r="FL32" s="59"/>
      <c r="FM32" s="59"/>
      <c r="FN32" s="59"/>
      <c r="FO32" s="59"/>
      <c r="FP32" s="59"/>
      <c r="FQ32" s="59"/>
      <c r="FR32" s="59"/>
      <c r="FS32" s="59"/>
      <c r="FT32" s="59"/>
      <c r="FU32" s="59"/>
      <c r="FV32" s="59"/>
      <c r="FW32" s="59"/>
      <c r="FX32" s="59"/>
      <c r="FY32" s="59"/>
      <c r="FZ32" s="59"/>
      <c r="GA32" s="59"/>
      <c r="GB32" s="59"/>
      <c r="GC32" s="59"/>
      <c r="GD32" s="59"/>
      <c r="GE32" s="59"/>
      <c r="GF32" s="59"/>
      <c r="GG32" s="59"/>
      <c r="GH32" s="59"/>
      <c r="GI32" s="59"/>
      <c r="GJ32" s="59"/>
      <c r="GK32" s="59"/>
      <c r="GL32" s="59"/>
      <c r="GM32" s="59"/>
      <c r="GN32" s="59"/>
    </row>
    <row r="33" spans="1:196" x14ac:dyDescent="0.3">
      <c r="A33" s="59"/>
      <c r="B33" s="59"/>
      <c r="C33" s="59"/>
      <c r="D33" s="59"/>
      <c r="E33" s="59"/>
      <c r="F33" s="59"/>
      <c r="G33" s="59"/>
      <c r="H33" s="59"/>
      <c r="I33" s="59"/>
      <c r="J33" s="59"/>
      <c r="K33" s="59"/>
      <c r="L33" s="59"/>
      <c r="M33" s="59"/>
      <c r="N33" s="59"/>
      <c r="O33" s="59"/>
      <c r="P33" s="59"/>
      <c r="Q33" s="59"/>
      <c r="R33" s="59"/>
      <c r="S33" s="59"/>
      <c r="T33" s="59"/>
      <c r="U33" s="59"/>
      <c r="V33" s="59"/>
      <c r="W33" s="59"/>
      <c r="X33" s="59"/>
      <c r="Y33" s="59"/>
      <c r="Z33" s="59"/>
      <c r="AA33" s="59"/>
      <c r="AB33" s="59"/>
      <c r="AC33" s="59"/>
      <c r="AD33" s="59"/>
      <c r="AE33" s="59"/>
      <c r="AF33" s="59"/>
      <c r="AG33" s="59"/>
      <c r="AH33" s="59"/>
      <c r="AI33" s="59"/>
      <c r="AJ33" s="59"/>
      <c r="AK33" s="59"/>
      <c r="AL33" s="59"/>
      <c r="AM33" s="59"/>
      <c r="AN33" s="59"/>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c r="BU33" s="59"/>
      <c r="BV33" s="59"/>
      <c r="BW33" s="59"/>
      <c r="BX33" s="59"/>
      <c r="BY33" s="59"/>
      <c r="BZ33" s="59"/>
      <c r="CA33" s="59"/>
      <c r="CB33" s="59"/>
      <c r="CC33" s="59"/>
      <c r="CD33" s="59"/>
      <c r="CE33" s="59"/>
      <c r="CF33" s="59"/>
      <c r="CG33" s="59"/>
      <c r="CH33" s="59"/>
      <c r="CI33" s="59"/>
      <c r="CJ33" s="59"/>
      <c r="CK33" s="59"/>
      <c r="CL33" s="59"/>
      <c r="CM33" s="59"/>
      <c r="CN33" s="59"/>
      <c r="CO33" s="59"/>
      <c r="CP33" s="59"/>
      <c r="CQ33" s="59"/>
      <c r="CR33" s="59"/>
      <c r="CS33" s="59"/>
      <c r="CT33" s="59"/>
      <c r="CU33" s="59"/>
      <c r="CV33" s="59"/>
      <c r="CW33" s="59"/>
      <c r="CX33" s="59"/>
      <c r="CY33" s="59"/>
      <c r="CZ33" s="59"/>
      <c r="DA33" s="59"/>
      <c r="DB33" s="59"/>
      <c r="DC33" s="59"/>
      <c r="DD33" s="59"/>
      <c r="DE33" s="59"/>
      <c r="DF33" s="59"/>
      <c r="DG33" s="59"/>
      <c r="DH33" s="59"/>
      <c r="DI33" s="59"/>
      <c r="DJ33" s="59"/>
      <c r="DK33" s="59"/>
      <c r="DL33" s="59"/>
      <c r="DM33" s="59"/>
      <c r="DN33" s="59"/>
      <c r="DO33" s="59"/>
      <c r="DP33" s="59"/>
      <c r="DQ33" s="59"/>
      <c r="DR33" s="59"/>
      <c r="DS33" s="59"/>
      <c r="DT33" s="59"/>
      <c r="DU33" s="59"/>
      <c r="DV33" s="59"/>
      <c r="DW33" s="59"/>
      <c r="DX33" s="59"/>
      <c r="DY33" s="59"/>
      <c r="DZ33" s="59"/>
      <c r="EA33" s="59"/>
      <c r="EB33" s="59"/>
      <c r="EC33" s="59"/>
      <c r="ED33" s="59"/>
      <c r="EE33" s="59"/>
      <c r="EF33" s="59"/>
      <c r="EG33" s="59"/>
      <c r="EH33" s="59"/>
      <c r="EI33" s="59"/>
      <c r="EJ33" s="59"/>
      <c r="EK33" s="59"/>
      <c r="EL33" s="59"/>
      <c r="EM33" s="59"/>
      <c r="EN33" s="59"/>
      <c r="EO33" s="59"/>
      <c r="EP33" s="59"/>
      <c r="EQ33" s="59"/>
      <c r="ER33" s="59"/>
      <c r="ES33" s="59"/>
      <c r="ET33" s="59"/>
      <c r="EU33" s="59"/>
      <c r="EV33" s="59"/>
      <c r="EW33" s="59"/>
      <c r="EX33" s="59"/>
      <c r="EY33" s="59"/>
      <c r="EZ33" s="59"/>
      <c r="FA33" s="59"/>
      <c r="FB33" s="59"/>
      <c r="FC33" s="59"/>
      <c r="FD33" s="59"/>
      <c r="FE33" s="59"/>
      <c r="FF33" s="59"/>
      <c r="FG33" s="59"/>
      <c r="FH33" s="59"/>
      <c r="FI33" s="59"/>
      <c r="FJ33" s="59"/>
      <c r="FK33" s="59"/>
      <c r="FL33" s="59"/>
      <c r="FM33" s="59"/>
      <c r="FN33" s="59"/>
      <c r="FO33" s="59"/>
      <c r="FP33" s="59"/>
      <c r="FQ33" s="59"/>
      <c r="FR33" s="59"/>
      <c r="FS33" s="59"/>
      <c r="FT33" s="59"/>
      <c r="FU33" s="59"/>
      <c r="FV33" s="59"/>
      <c r="FW33" s="59"/>
      <c r="FX33" s="59"/>
      <c r="FY33" s="59"/>
      <c r="FZ33" s="59"/>
      <c r="GA33" s="59"/>
      <c r="GB33" s="59"/>
      <c r="GC33" s="59"/>
      <c r="GD33" s="59"/>
      <c r="GE33" s="59"/>
      <c r="GF33" s="59"/>
      <c r="GG33" s="59"/>
      <c r="GH33" s="59"/>
      <c r="GI33" s="59"/>
      <c r="GJ33" s="59"/>
      <c r="GK33" s="59"/>
      <c r="GL33" s="59"/>
      <c r="GM33" s="59"/>
      <c r="GN33" s="59"/>
    </row>
    <row r="34" spans="1:196" x14ac:dyDescent="0.3">
      <c r="A34" s="59"/>
      <c r="B34" s="59"/>
      <c r="C34" s="59"/>
      <c r="D34" s="59"/>
      <c r="E34" s="59"/>
      <c r="F34" s="59"/>
      <c r="G34" s="59"/>
      <c r="H34" s="59"/>
      <c r="I34" s="59"/>
      <c r="J34" s="59"/>
      <c r="K34" s="59"/>
      <c r="L34" s="59"/>
      <c r="M34" s="59"/>
      <c r="N34" s="59"/>
      <c r="O34" s="59"/>
      <c r="P34" s="59"/>
      <c r="Q34" s="59"/>
      <c r="R34" s="59"/>
      <c r="S34" s="59"/>
      <c r="T34" s="59"/>
      <c r="U34" s="59"/>
      <c r="V34" s="59"/>
      <c r="W34" s="59"/>
      <c r="X34" s="59"/>
      <c r="Y34" s="59"/>
      <c r="Z34" s="59"/>
      <c r="AA34" s="59"/>
      <c r="AB34" s="59"/>
      <c r="AC34" s="59"/>
      <c r="AD34" s="59"/>
      <c r="AE34" s="59"/>
      <c r="AF34" s="59"/>
      <c r="AG34" s="59"/>
      <c r="AH34" s="59"/>
      <c r="AI34" s="59"/>
      <c r="AJ34" s="59"/>
      <c r="AK34" s="59"/>
      <c r="AL34" s="59"/>
      <c r="AM34" s="59"/>
      <c r="AN34" s="59"/>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c r="BU34" s="59"/>
      <c r="BV34" s="59"/>
      <c r="BW34" s="59"/>
      <c r="BX34" s="59"/>
      <c r="BY34" s="59"/>
      <c r="BZ34" s="59"/>
      <c r="CA34" s="59"/>
      <c r="CB34" s="59"/>
      <c r="CC34" s="59"/>
      <c r="CD34" s="59"/>
      <c r="CE34" s="59"/>
      <c r="CF34" s="59"/>
      <c r="CG34" s="59"/>
      <c r="CH34" s="59"/>
      <c r="CI34" s="59"/>
      <c r="CJ34" s="59"/>
      <c r="CK34" s="59"/>
      <c r="CL34" s="59"/>
      <c r="CM34" s="59"/>
      <c r="CN34" s="59"/>
      <c r="CO34" s="59"/>
      <c r="CP34" s="59"/>
      <c r="CQ34" s="59"/>
      <c r="CR34" s="59"/>
      <c r="CS34" s="59"/>
      <c r="CT34" s="59"/>
      <c r="CU34" s="59"/>
      <c r="CV34" s="59"/>
      <c r="CW34" s="59"/>
      <c r="CX34" s="59"/>
      <c r="CY34" s="59"/>
      <c r="CZ34" s="59"/>
      <c r="DA34" s="59"/>
      <c r="DB34" s="59"/>
      <c r="DC34" s="59"/>
      <c r="DD34" s="59"/>
      <c r="DE34" s="59"/>
      <c r="DF34" s="59"/>
      <c r="DG34" s="59"/>
      <c r="DH34" s="59"/>
      <c r="DI34" s="59"/>
      <c r="DJ34" s="59"/>
      <c r="DK34" s="59"/>
      <c r="DL34" s="59"/>
      <c r="DM34" s="59"/>
      <c r="DN34" s="59"/>
      <c r="DO34" s="59"/>
      <c r="DP34" s="59"/>
      <c r="DQ34" s="59"/>
      <c r="DR34" s="59"/>
      <c r="DS34" s="59"/>
      <c r="DT34" s="59"/>
      <c r="DU34" s="59"/>
      <c r="DV34" s="59"/>
      <c r="DW34" s="59"/>
      <c r="DX34" s="59"/>
      <c r="DY34" s="59"/>
      <c r="DZ34" s="59"/>
      <c r="EA34" s="59"/>
      <c r="EB34" s="59"/>
      <c r="EC34" s="59"/>
      <c r="ED34" s="59"/>
      <c r="EE34" s="59"/>
      <c r="EF34" s="59"/>
      <c r="EG34" s="59"/>
      <c r="EH34" s="59"/>
      <c r="EI34" s="59"/>
      <c r="EJ34" s="59"/>
      <c r="EK34" s="59"/>
      <c r="EL34" s="59"/>
      <c r="EM34" s="59"/>
      <c r="EN34" s="59"/>
      <c r="EO34" s="59"/>
      <c r="EP34" s="59"/>
      <c r="EQ34" s="59"/>
      <c r="ER34" s="59"/>
      <c r="ES34" s="59"/>
      <c r="ET34" s="59"/>
      <c r="EU34" s="59"/>
      <c r="EV34" s="59"/>
      <c r="EW34" s="59"/>
      <c r="EX34" s="59"/>
      <c r="EY34" s="59"/>
      <c r="EZ34" s="59"/>
      <c r="FA34" s="59"/>
      <c r="FB34" s="59"/>
      <c r="FC34" s="59"/>
      <c r="FD34" s="59"/>
      <c r="FE34" s="59"/>
      <c r="FF34" s="59"/>
      <c r="FG34" s="59"/>
      <c r="FH34" s="59"/>
      <c r="FI34" s="59"/>
      <c r="FJ34" s="59"/>
      <c r="FK34" s="59"/>
      <c r="FL34" s="59"/>
      <c r="FM34" s="59"/>
      <c r="FN34" s="59"/>
      <c r="FO34" s="59"/>
      <c r="FP34" s="59"/>
      <c r="FQ34" s="59"/>
      <c r="FR34" s="59"/>
      <c r="FS34" s="59"/>
      <c r="FT34" s="59"/>
      <c r="FU34" s="59"/>
      <c r="FV34" s="59"/>
      <c r="FW34" s="59"/>
      <c r="FX34" s="59"/>
      <c r="FY34" s="59"/>
      <c r="FZ34" s="59"/>
      <c r="GA34" s="59"/>
      <c r="GB34" s="59"/>
      <c r="GC34" s="59"/>
      <c r="GD34" s="59"/>
      <c r="GE34" s="59"/>
      <c r="GF34" s="59"/>
      <c r="GG34" s="59"/>
      <c r="GH34" s="59"/>
      <c r="GI34" s="59"/>
      <c r="GJ34" s="59"/>
      <c r="GK34" s="59"/>
      <c r="GL34" s="59"/>
      <c r="GM34" s="59"/>
      <c r="GN34" s="59"/>
    </row>
    <row r="35" spans="1:196" x14ac:dyDescent="0.3">
      <c r="A35" s="59"/>
      <c r="B35" s="59"/>
      <c r="C35" s="59"/>
      <c r="D35" s="59"/>
      <c r="E35" s="59"/>
      <c r="F35" s="59"/>
      <c r="G35" s="59"/>
      <c r="H35" s="59"/>
      <c r="I35" s="59"/>
      <c r="J35" s="59"/>
      <c r="K35" s="59"/>
      <c r="L35" s="59"/>
      <c r="M35" s="59"/>
      <c r="N35" s="59"/>
      <c r="O35" s="59"/>
      <c r="P35" s="59"/>
      <c r="Q35" s="59"/>
      <c r="R35" s="59"/>
      <c r="S35" s="59"/>
      <c r="T35" s="59"/>
      <c r="U35" s="59"/>
      <c r="V35" s="59"/>
      <c r="W35" s="59"/>
      <c r="X35" s="59"/>
      <c r="Y35" s="59"/>
      <c r="Z35" s="59"/>
      <c r="AA35" s="59"/>
      <c r="AB35" s="59"/>
      <c r="AC35" s="59"/>
      <c r="AD35" s="59"/>
      <c r="AE35" s="59"/>
      <c r="AF35" s="59"/>
      <c r="AG35" s="59"/>
      <c r="AH35" s="59"/>
      <c r="AI35" s="59"/>
      <c r="AJ35" s="59"/>
      <c r="AK35" s="59"/>
      <c r="AL35" s="59"/>
      <c r="AM35" s="59"/>
      <c r="AN35" s="59"/>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c r="BU35" s="59"/>
      <c r="BV35" s="59"/>
      <c r="BW35" s="59"/>
      <c r="BX35" s="59"/>
      <c r="BY35" s="59"/>
      <c r="BZ35" s="59"/>
      <c r="CA35" s="59"/>
      <c r="CB35" s="59"/>
      <c r="CC35" s="59"/>
      <c r="CD35" s="59"/>
      <c r="CE35" s="59"/>
      <c r="CF35" s="59"/>
      <c r="CG35" s="59"/>
      <c r="CH35" s="59"/>
      <c r="CI35" s="59"/>
      <c r="CJ35" s="59"/>
      <c r="CK35" s="59"/>
      <c r="CL35" s="59"/>
      <c r="CM35" s="59"/>
      <c r="CN35" s="59"/>
      <c r="CO35" s="59"/>
      <c r="CP35" s="59"/>
      <c r="CQ35" s="59"/>
      <c r="CR35" s="59"/>
      <c r="CS35" s="59"/>
      <c r="CT35" s="59"/>
      <c r="CU35" s="59"/>
      <c r="CV35" s="59"/>
      <c r="CW35" s="59"/>
      <c r="CX35" s="59"/>
      <c r="CY35" s="59"/>
      <c r="CZ35" s="59"/>
      <c r="DA35" s="59"/>
      <c r="DB35" s="59"/>
      <c r="DC35" s="59"/>
      <c r="DD35" s="59"/>
      <c r="DE35" s="59"/>
      <c r="DF35" s="59"/>
      <c r="DG35" s="59"/>
      <c r="DH35" s="59"/>
      <c r="DI35" s="59"/>
      <c r="DJ35" s="59"/>
      <c r="DK35" s="59"/>
      <c r="DL35" s="59"/>
      <c r="DM35" s="59"/>
      <c r="DN35" s="59"/>
      <c r="DO35" s="59"/>
      <c r="DP35" s="59"/>
      <c r="DQ35" s="59"/>
      <c r="DR35" s="59"/>
      <c r="DS35" s="59"/>
      <c r="DT35" s="59"/>
      <c r="DU35" s="59"/>
      <c r="DV35" s="59"/>
      <c r="DW35" s="59"/>
      <c r="DX35" s="59"/>
      <c r="DY35" s="59"/>
      <c r="DZ35" s="59"/>
      <c r="EA35" s="59"/>
      <c r="EB35" s="59"/>
      <c r="EC35" s="59"/>
      <c r="ED35" s="59"/>
      <c r="EE35" s="59"/>
      <c r="EF35" s="59"/>
      <c r="EG35" s="59"/>
      <c r="EH35" s="59"/>
      <c r="EI35" s="59"/>
      <c r="EJ35" s="59"/>
      <c r="EK35" s="59"/>
      <c r="EL35" s="59"/>
      <c r="EM35" s="59"/>
      <c r="EN35" s="59"/>
      <c r="EO35" s="59"/>
      <c r="EP35" s="59"/>
      <c r="EQ35" s="59"/>
      <c r="ER35" s="59"/>
      <c r="ES35" s="59"/>
      <c r="ET35" s="59"/>
      <c r="EU35" s="59"/>
      <c r="EV35" s="59"/>
      <c r="EW35" s="59"/>
      <c r="EX35" s="59"/>
      <c r="EY35" s="59"/>
      <c r="EZ35" s="59"/>
      <c r="FA35" s="59"/>
      <c r="FB35" s="59"/>
      <c r="FC35" s="59"/>
      <c r="FD35" s="59"/>
      <c r="FE35" s="59"/>
      <c r="FF35" s="59"/>
      <c r="FG35" s="59"/>
      <c r="FH35" s="59"/>
      <c r="FI35" s="59"/>
      <c r="FJ35" s="59"/>
      <c r="FK35" s="59"/>
      <c r="FL35" s="59"/>
      <c r="FM35" s="59"/>
      <c r="FN35" s="59"/>
      <c r="FO35" s="59"/>
      <c r="FP35" s="59"/>
      <c r="FQ35" s="59"/>
      <c r="FR35" s="59"/>
      <c r="FS35" s="59"/>
      <c r="FT35" s="59"/>
      <c r="FU35" s="59"/>
      <c r="FV35" s="59"/>
      <c r="FW35" s="59"/>
      <c r="FX35" s="59"/>
      <c r="FY35" s="59"/>
      <c r="FZ35" s="59"/>
      <c r="GA35" s="59"/>
      <c r="GB35" s="59"/>
      <c r="GC35" s="59"/>
      <c r="GD35" s="59"/>
      <c r="GE35" s="59"/>
      <c r="GF35" s="59"/>
      <c r="GG35" s="59"/>
      <c r="GH35" s="59"/>
      <c r="GI35" s="59"/>
      <c r="GJ35" s="59"/>
      <c r="GK35" s="59"/>
      <c r="GL35" s="59"/>
      <c r="GM35" s="59"/>
      <c r="GN35" s="59"/>
    </row>
    <row r="36" spans="1:196" x14ac:dyDescent="0.3">
      <c r="A36" s="59"/>
      <c r="B36" s="59"/>
      <c r="C36" s="59"/>
      <c r="D36" s="59"/>
      <c r="E36" s="59"/>
      <c r="F36" s="59"/>
      <c r="G36" s="59"/>
      <c r="H36" s="59"/>
      <c r="I36" s="59"/>
      <c r="J36" s="59"/>
      <c r="K36" s="59"/>
      <c r="L36" s="59"/>
      <c r="M36" s="59"/>
      <c r="N36" s="59"/>
      <c r="O36" s="59"/>
      <c r="P36" s="59"/>
      <c r="Q36" s="59"/>
      <c r="R36" s="59"/>
      <c r="S36" s="59"/>
      <c r="T36" s="59"/>
      <c r="U36" s="59"/>
      <c r="V36" s="59"/>
      <c r="W36" s="59"/>
      <c r="X36" s="59"/>
      <c r="Y36" s="59"/>
      <c r="Z36" s="59"/>
      <c r="AA36" s="59"/>
      <c r="AB36" s="59"/>
      <c r="AC36" s="59"/>
      <c r="AD36" s="59"/>
      <c r="AE36" s="59"/>
      <c r="AF36" s="59"/>
      <c r="AG36" s="59"/>
      <c r="AH36" s="59"/>
      <c r="AI36" s="59"/>
      <c r="AJ36" s="59"/>
      <c r="AK36" s="59"/>
      <c r="AL36" s="59"/>
      <c r="AM36" s="59"/>
      <c r="AN36" s="59"/>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c r="BU36" s="59"/>
      <c r="BV36" s="59"/>
      <c r="BW36" s="59"/>
      <c r="BX36" s="59"/>
      <c r="BY36" s="59"/>
      <c r="BZ36" s="59"/>
      <c r="CA36" s="59"/>
      <c r="CB36" s="59"/>
      <c r="CC36" s="59"/>
      <c r="CD36" s="59"/>
      <c r="CE36" s="59"/>
      <c r="CF36" s="59"/>
      <c r="CG36" s="59"/>
      <c r="CH36" s="59"/>
      <c r="CI36" s="59"/>
      <c r="CJ36" s="59"/>
      <c r="CK36" s="59"/>
      <c r="CL36" s="59"/>
      <c r="CM36" s="59"/>
      <c r="CN36" s="59"/>
      <c r="CO36" s="59"/>
      <c r="CP36" s="59"/>
      <c r="CQ36" s="59"/>
      <c r="CR36" s="59"/>
      <c r="CS36" s="59"/>
      <c r="CT36" s="59"/>
      <c r="CU36" s="59"/>
      <c r="CV36" s="59"/>
      <c r="CW36" s="59"/>
      <c r="CX36" s="59"/>
      <c r="CY36" s="59"/>
      <c r="CZ36" s="59"/>
      <c r="DA36" s="59"/>
      <c r="DB36" s="59"/>
      <c r="DC36" s="59"/>
      <c r="DD36" s="59"/>
      <c r="DE36" s="59"/>
      <c r="DF36" s="59"/>
      <c r="DG36" s="59"/>
      <c r="DH36" s="59"/>
      <c r="DI36" s="59"/>
      <c r="DJ36" s="59"/>
      <c r="DK36" s="59"/>
      <c r="DL36" s="59"/>
      <c r="DM36" s="59"/>
      <c r="DN36" s="59"/>
      <c r="DO36" s="59"/>
      <c r="DP36" s="59"/>
      <c r="DQ36" s="59"/>
      <c r="DR36" s="59"/>
      <c r="DS36" s="59"/>
      <c r="DT36" s="59"/>
      <c r="DU36" s="59"/>
      <c r="DV36" s="59"/>
      <c r="DW36" s="59"/>
      <c r="DX36" s="59"/>
      <c r="DY36" s="59"/>
      <c r="DZ36" s="59"/>
      <c r="EA36" s="59"/>
      <c r="EB36" s="59"/>
      <c r="EC36" s="59"/>
      <c r="ED36" s="59"/>
      <c r="EE36" s="59"/>
      <c r="EF36" s="59"/>
      <c r="EG36" s="59"/>
      <c r="EH36" s="59"/>
      <c r="EI36" s="59"/>
      <c r="EJ36" s="59"/>
      <c r="EK36" s="59"/>
      <c r="EL36" s="59"/>
      <c r="EM36" s="59"/>
      <c r="EN36" s="59"/>
      <c r="EO36" s="59"/>
      <c r="EP36" s="59"/>
      <c r="EQ36" s="59"/>
      <c r="ER36" s="59"/>
      <c r="ES36" s="59"/>
      <c r="ET36" s="59"/>
      <c r="EU36" s="59"/>
      <c r="EV36" s="59"/>
      <c r="EW36" s="59"/>
      <c r="EX36" s="59"/>
      <c r="EY36" s="59"/>
      <c r="EZ36" s="59"/>
      <c r="FA36" s="59"/>
      <c r="FB36" s="59"/>
      <c r="FC36" s="59"/>
      <c r="FD36" s="59"/>
      <c r="FE36" s="59"/>
      <c r="FF36" s="59"/>
      <c r="FG36" s="59"/>
      <c r="FH36" s="59"/>
      <c r="FI36" s="59"/>
      <c r="FJ36" s="59"/>
      <c r="FK36" s="59"/>
      <c r="FL36" s="59"/>
      <c r="FM36" s="59"/>
      <c r="FN36" s="59"/>
      <c r="FO36" s="59"/>
      <c r="FP36" s="59"/>
      <c r="FQ36" s="59"/>
      <c r="FR36" s="59"/>
      <c r="FS36" s="59"/>
      <c r="FT36" s="59"/>
      <c r="FU36" s="59"/>
      <c r="FV36" s="59"/>
      <c r="FW36" s="59"/>
      <c r="FX36" s="59"/>
      <c r="FY36" s="59"/>
      <c r="FZ36" s="59"/>
      <c r="GA36" s="59"/>
      <c r="GB36" s="59"/>
      <c r="GC36" s="59"/>
      <c r="GD36" s="59"/>
      <c r="GE36" s="59"/>
      <c r="GF36" s="59"/>
      <c r="GG36" s="59"/>
      <c r="GH36" s="59"/>
      <c r="GI36" s="59"/>
      <c r="GJ36" s="59"/>
      <c r="GK36" s="59"/>
      <c r="GL36" s="59"/>
      <c r="GM36" s="59"/>
      <c r="GN36" s="59"/>
    </row>
    <row r="37" spans="1:196" x14ac:dyDescent="0.3">
      <c r="A37" s="59"/>
      <c r="B37" s="59"/>
      <c r="C37" s="59"/>
      <c r="D37" s="59"/>
      <c r="E37" s="59"/>
      <c r="F37" s="59"/>
      <c r="G37" s="59"/>
      <c r="H37" s="59"/>
      <c r="I37" s="59"/>
      <c r="J37" s="59"/>
      <c r="K37" s="59"/>
      <c r="L37" s="59"/>
      <c r="M37" s="59"/>
      <c r="N37" s="59"/>
      <c r="O37" s="59"/>
      <c r="P37" s="59"/>
      <c r="Q37" s="59"/>
      <c r="R37" s="59"/>
      <c r="S37" s="59"/>
      <c r="T37" s="59"/>
      <c r="U37" s="59"/>
      <c r="V37" s="59"/>
      <c r="W37" s="59"/>
      <c r="X37" s="59"/>
      <c r="Y37" s="59"/>
      <c r="Z37" s="59"/>
      <c r="AA37" s="59"/>
      <c r="AB37" s="59"/>
      <c r="AC37" s="59"/>
      <c r="AD37" s="59"/>
      <c r="AE37" s="59"/>
      <c r="AF37" s="59"/>
      <c r="AG37" s="59"/>
      <c r="AH37" s="59"/>
      <c r="AI37" s="59"/>
      <c r="AJ37" s="59"/>
      <c r="AK37" s="59"/>
      <c r="AL37" s="59"/>
      <c r="AM37" s="59"/>
      <c r="AN37" s="59"/>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c r="BU37" s="59"/>
      <c r="BV37" s="59"/>
      <c r="BW37" s="59"/>
      <c r="BX37" s="59"/>
      <c r="BY37" s="59"/>
      <c r="BZ37" s="59"/>
      <c r="CA37" s="59"/>
      <c r="CB37" s="59"/>
      <c r="CC37" s="59"/>
      <c r="CD37" s="59"/>
      <c r="CE37" s="59"/>
      <c r="CF37" s="59"/>
      <c r="CG37" s="59"/>
      <c r="CH37" s="59"/>
      <c r="CI37" s="59"/>
      <c r="CJ37" s="59"/>
      <c r="CK37" s="59"/>
      <c r="CL37" s="59"/>
      <c r="CM37" s="59"/>
      <c r="CN37" s="59"/>
      <c r="CO37" s="59"/>
      <c r="CP37" s="59"/>
      <c r="CQ37" s="59"/>
      <c r="CR37" s="59"/>
      <c r="CS37" s="59"/>
      <c r="CT37" s="59"/>
      <c r="CU37" s="59"/>
      <c r="CV37" s="59"/>
      <c r="CW37" s="59"/>
      <c r="CX37" s="59"/>
      <c r="CY37" s="59"/>
      <c r="CZ37" s="59"/>
      <c r="DA37" s="59"/>
      <c r="DB37" s="59"/>
      <c r="DC37" s="59"/>
      <c r="DD37" s="59"/>
      <c r="DE37" s="59"/>
      <c r="DF37" s="59"/>
      <c r="DG37" s="59"/>
      <c r="DH37" s="59"/>
      <c r="DI37" s="59"/>
      <c r="DJ37" s="59"/>
      <c r="DK37" s="59"/>
      <c r="DL37" s="59"/>
      <c r="DM37" s="59"/>
      <c r="DN37" s="59"/>
      <c r="DO37" s="59"/>
      <c r="DP37" s="59"/>
      <c r="DQ37" s="59"/>
      <c r="DR37" s="59"/>
      <c r="DS37" s="59"/>
      <c r="DT37" s="59"/>
      <c r="DU37" s="59"/>
      <c r="DV37" s="59"/>
      <c r="DW37" s="59"/>
      <c r="DX37" s="59"/>
      <c r="DY37" s="59"/>
      <c r="DZ37" s="59"/>
      <c r="EA37" s="59"/>
      <c r="EB37" s="59"/>
      <c r="EC37" s="59"/>
      <c r="ED37" s="59"/>
      <c r="EE37" s="59"/>
      <c r="EF37" s="59"/>
      <c r="EG37" s="59"/>
      <c r="EH37" s="59"/>
      <c r="EI37" s="59"/>
      <c r="EJ37" s="59"/>
      <c r="EK37" s="59"/>
      <c r="EL37" s="59"/>
      <c r="EM37" s="59"/>
      <c r="EN37" s="59"/>
      <c r="EO37" s="59"/>
      <c r="EP37" s="59"/>
      <c r="EQ37" s="59"/>
      <c r="ER37" s="59"/>
      <c r="ES37" s="59"/>
      <c r="ET37" s="59"/>
      <c r="EU37" s="59"/>
      <c r="EV37" s="59"/>
      <c r="EW37" s="59"/>
      <c r="EX37" s="59"/>
      <c r="EY37" s="59"/>
      <c r="EZ37" s="59"/>
      <c r="FA37" s="59"/>
      <c r="FB37" s="59"/>
      <c r="FC37" s="59"/>
      <c r="FD37" s="59"/>
      <c r="FE37" s="59"/>
      <c r="FF37" s="59"/>
      <c r="FG37" s="59"/>
      <c r="FH37" s="59"/>
      <c r="FI37" s="59"/>
      <c r="FJ37" s="59"/>
      <c r="FK37" s="59"/>
      <c r="FL37" s="59"/>
      <c r="FM37" s="59"/>
      <c r="FN37" s="59"/>
      <c r="FO37" s="59"/>
      <c r="FP37" s="59"/>
      <c r="FQ37" s="59"/>
      <c r="FR37" s="59"/>
      <c r="FS37" s="59"/>
      <c r="FT37" s="59"/>
      <c r="FU37" s="59"/>
      <c r="FV37" s="59"/>
      <c r="FW37" s="59"/>
      <c r="FX37" s="59"/>
      <c r="FY37" s="59"/>
      <c r="FZ37" s="59"/>
      <c r="GA37" s="59"/>
      <c r="GB37" s="59"/>
      <c r="GC37" s="59"/>
      <c r="GD37" s="59"/>
      <c r="GE37" s="59"/>
      <c r="GF37" s="59"/>
      <c r="GG37" s="59"/>
      <c r="GH37" s="59"/>
      <c r="GI37" s="59"/>
      <c r="GJ37" s="59"/>
      <c r="GK37" s="59"/>
      <c r="GL37" s="59"/>
      <c r="GM37" s="59"/>
      <c r="GN37" s="59"/>
    </row>
    <row r="38" spans="1:196" x14ac:dyDescent="0.3">
      <c r="A38" s="59"/>
      <c r="B38" s="59"/>
      <c r="C38" s="59"/>
      <c r="D38" s="59"/>
      <c r="E38" s="59"/>
      <c r="F38" s="59"/>
      <c r="G38" s="59"/>
      <c r="H38" s="59"/>
      <c r="I38" s="59"/>
      <c r="J38" s="59"/>
      <c r="K38" s="59"/>
      <c r="L38" s="59"/>
      <c r="M38" s="59"/>
      <c r="N38" s="59"/>
      <c r="O38" s="59"/>
      <c r="P38" s="59"/>
      <c r="Q38" s="59"/>
      <c r="R38" s="59"/>
      <c r="S38" s="59"/>
      <c r="T38" s="59"/>
      <c r="U38" s="59"/>
      <c r="V38" s="59"/>
      <c r="W38" s="59"/>
      <c r="X38" s="59"/>
      <c r="Y38" s="59"/>
      <c r="Z38" s="59"/>
      <c r="AA38" s="59"/>
      <c r="AB38" s="59"/>
      <c r="AC38" s="59"/>
      <c r="AD38" s="59"/>
      <c r="AE38" s="59"/>
      <c r="AF38" s="59"/>
      <c r="AG38" s="59"/>
      <c r="AH38" s="59"/>
      <c r="AI38" s="59"/>
      <c r="AJ38" s="59"/>
      <c r="AK38" s="59"/>
      <c r="AL38" s="59"/>
      <c r="AM38" s="59"/>
      <c r="AN38" s="59"/>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c r="BU38" s="59"/>
      <c r="BV38" s="59"/>
      <c r="BW38" s="59"/>
      <c r="BX38" s="59"/>
      <c r="BY38" s="59"/>
      <c r="BZ38" s="59"/>
      <c r="CA38" s="59"/>
      <c r="CB38" s="59"/>
      <c r="CC38" s="59"/>
      <c r="CD38" s="59"/>
      <c r="CE38" s="59"/>
      <c r="CF38" s="59"/>
      <c r="CG38" s="59"/>
      <c r="CH38" s="59"/>
      <c r="CI38" s="59"/>
      <c r="CJ38" s="59"/>
      <c r="CK38" s="59"/>
      <c r="CL38" s="59"/>
      <c r="CM38" s="59"/>
      <c r="CN38" s="59"/>
      <c r="CO38" s="59"/>
      <c r="CP38" s="59"/>
      <c r="CQ38" s="59"/>
      <c r="CR38" s="59"/>
      <c r="CS38" s="59"/>
      <c r="CT38" s="59"/>
      <c r="CU38" s="59"/>
      <c r="CV38" s="59"/>
      <c r="CW38" s="59"/>
      <c r="CX38" s="59"/>
      <c r="CY38" s="59"/>
      <c r="CZ38" s="59"/>
      <c r="DA38" s="59"/>
      <c r="DB38" s="59"/>
      <c r="DC38" s="59"/>
      <c r="DD38" s="59"/>
      <c r="DE38" s="59"/>
      <c r="DF38" s="59"/>
      <c r="DG38" s="59"/>
      <c r="DH38" s="59"/>
      <c r="DI38" s="59"/>
      <c r="DJ38" s="59"/>
      <c r="DK38" s="59"/>
      <c r="DL38" s="59"/>
      <c r="DM38" s="59"/>
      <c r="DN38" s="59"/>
      <c r="DO38" s="59"/>
      <c r="DP38" s="59"/>
      <c r="DQ38" s="59"/>
      <c r="DR38" s="59"/>
      <c r="DS38" s="59"/>
      <c r="DT38" s="59"/>
      <c r="DU38" s="59"/>
      <c r="DV38" s="59"/>
      <c r="DW38" s="59"/>
      <c r="DX38" s="59"/>
      <c r="DY38" s="59"/>
      <c r="DZ38" s="59"/>
      <c r="EA38" s="59"/>
      <c r="EB38" s="59"/>
      <c r="EC38" s="59"/>
      <c r="ED38" s="59"/>
      <c r="EE38" s="59"/>
      <c r="EF38" s="59"/>
      <c r="EG38" s="59"/>
      <c r="EH38" s="59"/>
      <c r="EI38" s="59"/>
      <c r="EJ38" s="59"/>
      <c r="EK38" s="59"/>
      <c r="EL38" s="59"/>
      <c r="EM38" s="59"/>
      <c r="EN38" s="59"/>
      <c r="EO38" s="59"/>
      <c r="EP38" s="59"/>
      <c r="EQ38" s="59"/>
      <c r="ER38" s="59"/>
      <c r="ES38" s="59"/>
      <c r="ET38" s="59"/>
      <c r="EU38" s="59"/>
      <c r="EV38" s="59"/>
      <c r="EW38" s="59"/>
      <c r="EX38" s="59"/>
      <c r="EY38" s="59"/>
      <c r="EZ38" s="59"/>
      <c r="FA38" s="59"/>
      <c r="FB38" s="59"/>
      <c r="FC38" s="59"/>
      <c r="FD38" s="59"/>
      <c r="FE38" s="59"/>
      <c r="FF38" s="59"/>
      <c r="FG38" s="59"/>
      <c r="FH38" s="59"/>
      <c r="FI38" s="59"/>
      <c r="FJ38" s="59"/>
      <c r="FK38" s="59"/>
      <c r="FL38" s="59"/>
      <c r="FM38" s="59"/>
      <c r="FN38" s="59"/>
      <c r="FO38" s="59"/>
      <c r="FP38" s="59"/>
      <c r="FQ38" s="59"/>
      <c r="FR38" s="59"/>
      <c r="FS38" s="59"/>
      <c r="FT38" s="59"/>
      <c r="FU38" s="59"/>
      <c r="FV38" s="59"/>
      <c r="FW38" s="59"/>
      <c r="FX38" s="59"/>
      <c r="FY38" s="59"/>
      <c r="FZ38" s="59"/>
      <c r="GA38" s="59"/>
      <c r="GB38" s="59"/>
      <c r="GC38" s="59"/>
      <c r="GD38" s="59"/>
      <c r="GE38" s="59"/>
      <c r="GF38" s="59"/>
      <c r="GG38" s="59"/>
      <c r="GH38" s="59"/>
      <c r="GI38" s="59"/>
      <c r="GJ38" s="59"/>
      <c r="GK38" s="59"/>
      <c r="GL38" s="59"/>
      <c r="GM38" s="59"/>
      <c r="GN38" s="59"/>
    </row>
    <row r="39" spans="1:196" x14ac:dyDescent="0.3">
      <c r="A39" s="59"/>
      <c r="B39" s="59"/>
      <c r="C39" s="59"/>
      <c r="D39" s="59"/>
      <c r="E39" s="59"/>
      <c r="F39" s="59"/>
      <c r="G39" s="59"/>
      <c r="H39" s="59"/>
      <c r="I39" s="59"/>
      <c r="J39" s="59"/>
      <c r="K39" s="59"/>
      <c r="L39" s="59"/>
      <c r="M39" s="59"/>
      <c r="N39" s="59"/>
      <c r="O39" s="59"/>
      <c r="P39" s="59"/>
      <c r="Q39" s="59"/>
      <c r="R39" s="59"/>
      <c r="S39" s="59"/>
      <c r="T39" s="59"/>
      <c r="U39" s="59"/>
      <c r="V39" s="59"/>
      <c r="W39" s="59"/>
      <c r="X39" s="59"/>
      <c r="Y39" s="59"/>
      <c r="Z39" s="59"/>
      <c r="AA39" s="59"/>
      <c r="AB39" s="59"/>
      <c r="AC39" s="59"/>
      <c r="AD39" s="59"/>
      <c r="AE39" s="59"/>
      <c r="AF39" s="59"/>
      <c r="AG39" s="59"/>
      <c r="AH39" s="59"/>
      <c r="AI39" s="59"/>
      <c r="AJ39" s="59"/>
      <c r="AK39" s="59"/>
      <c r="AL39" s="59"/>
      <c r="AM39" s="59"/>
      <c r="AN39" s="59"/>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c r="BU39" s="59"/>
      <c r="BV39" s="59"/>
      <c r="BW39" s="59"/>
      <c r="BX39" s="59"/>
      <c r="BY39" s="59"/>
      <c r="BZ39" s="59"/>
      <c r="CA39" s="59"/>
      <c r="CB39" s="59"/>
      <c r="CC39" s="59"/>
      <c r="CD39" s="59"/>
      <c r="CE39" s="59"/>
      <c r="CF39" s="59"/>
      <c r="CG39" s="59"/>
      <c r="CH39" s="59"/>
      <c r="CI39" s="59"/>
      <c r="CJ39" s="59"/>
      <c r="CK39" s="59"/>
      <c r="CL39" s="59"/>
      <c r="CM39" s="59"/>
      <c r="CN39" s="59"/>
      <c r="CO39" s="59"/>
      <c r="CP39" s="59"/>
      <c r="CQ39" s="59"/>
      <c r="CR39" s="59"/>
      <c r="CS39" s="59"/>
      <c r="CT39" s="59"/>
      <c r="CU39" s="59"/>
      <c r="CV39" s="59"/>
      <c r="CW39" s="59"/>
      <c r="CX39" s="59"/>
      <c r="CY39" s="59"/>
      <c r="CZ39" s="59"/>
      <c r="DA39" s="59"/>
      <c r="DB39" s="59"/>
      <c r="DC39" s="59"/>
      <c r="DD39" s="59"/>
      <c r="DE39" s="59"/>
      <c r="DF39" s="59"/>
      <c r="DG39" s="59"/>
      <c r="DH39" s="59"/>
      <c r="DI39" s="59"/>
      <c r="DJ39" s="59"/>
      <c r="DK39" s="59"/>
      <c r="DL39" s="59"/>
      <c r="DM39" s="59"/>
      <c r="DN39" s="59"/>
      <c r="DO39" s="59"/>
      <c r="DP39" s="59"/>
      <c r="DQ39" s="59"/>
      <c r="DR39" s="59"/>
      <c r="DS39" s="59"/>
      <c r="DT39" s="59"/>
      <c r="DU39" s="59"/>
      <c r="DV39" s="59"/>
      <c r="DW39" s="59"/>
      <c r="DX39" s="59"/>
      <c r="DY39" s="59"/>
      <c r="DZ39" s="59"/>
      <c r="EA39" s="59"/>
      <c r="EB39" s="59"/>
      <c r="EC39" s="59"/>
      <c r="ED39" s="59"/>
      <c r="EE39" s="59"/>
      <c r="EF39" s="59"/>
      <c r="EG39" s="59"/>
      <c r="EH39" s="59"/>
      <c r="EI39" s="59"/>
      <c r="EJ39" s="59"/>
      <c r="EK39" s="59"/>
      <c r="EL39" s="59"/>
      <c r="EM39" s="59"/>
      <c r="EN39" s="59"/>
      <c r="EO39" s="59"/>
      <c r="EP39" s="59"/>
      <c r="EQ39" s="59"/>
      <c r="ER39" s="59"/>
      <c r="ES39" s="59"/>
      <c r="ET39" s="59"/>
      <c r="EU39" s="59"/>
      <c r="EV39" s="59"/>
      <c r="EW39" s="59"/>
      <c r="EX39" s="59"/>
      <c r="EY39" s="59"/>
      <c r="EZ39" s="59"/>
      <c r="FA39" s="59"/>
      <c r="FB39" s="59"/>
      <c r="FC39" s="59"/>
      <c r="FD39" s="59"/>
      <c r="FE39" s="59"/>
      <c r="FF39" s="59"/>
      <c r="FG39" s="59"/>
      <c r="FH39" s="59"/>
      <c r="FI39" s="59"/>
      <c r="FJ39" s="59"/>
      <c r="FK39" s="59"/>
      <c r="FL39" s="59"/>
      <c r="FM39" s="59"/>
      <c r="FN39" s="59"/>
      <c r="FO39" s="59"/>
      <c r="FP39" s="59"/>
      <c r="FQ39" s="59"/>
      <c r="FR39" s="59"/>
      <c r="FS39" s="59"/>
      <c r="FT39" s="59"/>
      <c r="FU39" s="59"/>
      <c r="FV39" s="59"/>
      <c r="FW39" s="59"/>
      <c r="FX39" s="59"/>
      <c r="FY39" s="59"/>
      <c r="FZ39" s="59"/>
      <c r="GA39" s="59"/>
      <c r="GB39" s="59"/>
      <c r="GC39" s="59"/>
      <c r="GD39" s="59"/>
      <c r="GE39" s="59"/>
      <c r="GF39" s="59"/>
      <c r="GG39" s="59"/>
      <c r="GH39" s="59"/>
      <c r="GI39" s="59"/>
      <c r="GJ39" s="59"/>
      <c r="GK39" s="59"/>
      <c r="GL39" s="59"/>
      <c r="GM39" s="59"/>
      <c r="GN39" s="59"/>
    </row>
    <row r="40" spans="1:196" x14ac:dyDescent="0.3">
      <c r="A40" s="59"/>
      <c r="B40" s="59"/>
      <c r="C40" s="59"/>
      <c r="D40" s="59"/>
      <c r="E40" s="59"/>
      <c r="F40" s="59"/>
      <c r="G40" s="59"/>
      <c r="H40" s="59"/>
      <c r="I40" s="59"/>
      <c r="J40" s="59"/>
      <c r="K40" s="59"/>
      <c r="L40" s="59"/>
      <c r="M40" s="59"/>
      <c r="N40" s="59"/>
      <c r="O40" s="59"/>
      <c r="P40" s="59"/>
      <c r="Q40" s="59"/>
      <c r="R40" s="59"/>
      <c r="S40" s="59"/>
      <c r="T40" s="59"/>
      <c r="U40" s="59"/>
      <c r="V40" s="59"/>
      <c r="W40" s="59"/>
      <c r="X40" s="59"/>
      <c r="Y40" s="59"/>
      <c r="Z40" s="59"/>
      <c r="AA40" s="59"/>
      <c r="AB40" s="59"/>
      <c r="AC40" s="59"/>
      <c r="AD40" s="59"/>
      <c r="AE40" s="59"/>
      <c r="AF40" s="59"/>
      <c r="AG40" s="59"/>
      <c r="AH40" s="59"/>
      <c r="AI40" s="59"/>
      <c r="AJ40" s="59"/>
      <c r="AK40" s="59"/>
      <c r="AL40" s="59"/>
      <c r="AM40" s="59"/>
      <c r="AN40" s="59"/>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c r="BU40" s="59"/>
      <c r="BV40" s="59"/>
      <c r="BW40" s="59"/>
      <c r="BX40" s="59"/>
      <c r="BY40" s="59"/>
      <c r="BZ40" s="59"/>
      <c r="CA40" s="59"/>
      <c r="CB40" s="59"/>
      <c r="CC40" s="59"/>
      <c r="CD40" s="59"/>
      <c r="CE40" s="59"/>
      <c r="CF40" s="59"/>
      <c r="CG40" s="59"/>
      <c r="CH40" s="59"/>
      <c r="CI40" s="59"/>
      <c r="CJ40" s="59"/>
      <c r="CK40" s="59"/>
      <c r="CL40" s="59"/>
      <c r="CM40" s="59"/>
      <c r="CN40" s="59"/>
      <c r="CO40" s="59"/>
      <c r="CP40" s="59"/>
      <c r="CQ40" s="59"/>
      <c r="CR40" s="59"/>
      <c r="CS40" s="59"/>
      <c r="CT40" s="59"/>
      <c r="CU40" s="59"/>
      <c r="CV40" s="59"/>
      <c r="CW40" s="59"/>
      <c r="CX40" s="59"/>
      <c r="CY40" s="59"/>
      <c r="CZ40" s="59"/>
      <c r="DA40" s="59"/>
      <c r="DB40" s="59"/>
      <c r="DC40" s="59"/>
      <c r="DD40" s="59"/>
      <c r="DE40" s="59"/>
      <c r="DF40" s="59"/>
      <c r="DG40" s="59"/>
      <c r="DH40" s="59"/>
      <c r="DI40" s="59"/>
      <c r="DJ40" s="59"/>
      <c r="DK40" s="59"/>
      <c r="DL40" s="59"/>
      <c r="DM40" s="59"/>
      <c r="DN40" s="59"/>
      <c r="DO40" s="59"/>
      <c r="DP40" s="59"/>
      <c r="DQ40" s="59"/>
      <c r="DR40" s="59"/>
      <c r="DS40" s="59"/>
      <c r="DT40" s="59"/>
      <c r="DU40" s="59"/>
      <c r="DV40" s="59"/>
      <c r="DW40" s="59"/>
      <c r="DX40" s="59"/>
      <c r="DY40" s="59"/>
      <c r="DZ40" s="59"/>
      <c r="EA40" s="59"/>
      <c r="EB40" s="59"/>
      <c r="EC40" s="59"/>
      <c r="ED40" s="59"/>
      <c r="EE40" s="59"/>
      <c r="EF40" s="59"/>
      <c r="EG40" s="59"/>
      <c r="EH40" s="59"/>
      <c r="EI40" s="59"/>
      <c r="EJ40" s="59"/>
      <c r="EK40" s="59"/>
      <c r="EL40" s="59"/>
      <c r="EM40" s="59"/>
      <c r="EN40" s="59"/>
      <c r="EO40" s="59"/>
      <c r="EP40" s="59"/>
      <c r="EQ40" s="59"/>
      <c r="ER40" s="59"/>
      <c r="ES40" s="59"/>
      <c r="ET40" s="59"/>
      <c r="EU40" s="59"/>
      <c r="EV40" s="59"/>
      <c r="EW40" s="59"/>
      <c r="EX40" s="59"/>
      <c r="EY40" s="59"/>
      <c r="EZ40" s="59"/>
      <c r="FA40" s="59"/>
      <c r="FB40" s="59"/>
      <c r="FC40" s="59"/>
      <c r="FD40" s="59"/>
      <c r="FE40" s="59"/>
      <c r="FF40" s="59"/>
      <c r="FG40" s="59"/>
      <c r="FH40" s="59"/>
      <c r="FI40" s="59"/>
      <c r="FJ40" s="59"/>
      <c r="FK40" s="59"/>
      <c r="FL40" s="59"/>
      <c r="FM40" s="59"/>
      <c r="FN40" s="59"/>
      <c r="FO40" s="59"/>
      <c r="FP40" s="59"/>
      <c r="FQ40" s="59"/>
      <c r="FR40" s="59"/>
      <c r="FS40" s="59"/>
      <c r="FT40" s="59"/>
      <c r="FU40" s="59"/>
      <c r="FV40" s="59"/>
      <c r="FW40" s="59"/>
      <c r="FX40" s="59"/>
      <c r="FY40" s="59"/>
      <c r="FZ40" s="59"/>
      <c r="GA40" s="59"/>
      <c r="GB40" s="59"/>
      <c r="GC40" s="59"/>
      <c r="GD40" s="59"/>
      <c r="GE40" s="59"/>
      <c r="GF40" s="59"/>
      <c r="GG40" s="59"/>
      <c r="GH40" s="59"/>
      <c r="GI40" s="59"/>
      <c r="GJ40" s="59"/>
      <c r="GK40" s="59"/>
      <c r="GL40" s="59"/>
      <c r="GM40" s="59"/>
      <c r="GN40" s="59"/>
    </row>
    <row r="41" spans="1:196" x14ac:dyDescent="0.3">
      <c r="A41" s="59"/>
      <c r="B41" s="59"/>
      <c r="C41" s="59"/>
      <c r="D41" s="59"/>
      <c r="E41" s="59"/>
      <c r="F41" s="59"/>
      <c r="G41" s="59"/>
      <c r="H41" s="59"/>
      <c r="I41" s="59"/>
      <c r="J41" s="59"/>
      <c r="K41" s="59"/>
      <c r="L41" s="59"/>
      <c r="M41" s="59"/>
      <c r="N41" s="59"/>
      <c r="O41" s="59"/>
      <c r="P41" s="59"/>
      <c r="Q41" s="59"/>
      <c r="R41" s="59"/>
      <c r="S41" s="59"/>
      <c r="T41" s="59"/>
      <c r="U41" s="59"/>
      <c r="V41" s="59"/>
      <c r="W41" s="59"/>
      <c r="X41" s="59"/>
      <c r="Y41" s="59"/>
      <c r="Z41" s="59"/>
      <c r="AA41" s="59"/>
      <c r="AB41" s="59"/>
      <c r="AC41" s="59"/>
      <c r="AD41" s="59"/>
      <c r="AE41" s="59"/>
      <c r="AF41" s="59"/>
      <c r="AG41" s="59"/>
      <c r="AH41" s="59"/>
      <c r="AI41" s="59"/>
      <c r="AJ41" s="59"/>
      <c r="AK41" s="59"/>
      <c r="AL41" s="59"/>
      <c r="AM41" s="59"/>
      <c r="AN41" s="59"/>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c r="BU41" s="59"/>
      <c r="BV41" s="59"/>
      <c r="BW41" s="59"/>
      <c r="BX41" s="59"/>
      <c r="BY41" s="59"/>
      <c r="BZ41" s="59"/>
      <c r="CA41" s="59"/>
      <c r="CB41" s="59"/>
      <c r="CC41" s="59"/>
      <c r="CD41" s="59"/>
      <c r="CE41" s="59"/>
      <c r="CF41" s="59"/>
      <c r="CG41" s="59"/>
      <c r="CH41" s="59"/>
      <c r="CI41" s="59"/>
      <c r="CJ41" s="59"/>
      <c r="CK41" s="59"/>
      <c r="CL41" s="59"/>
      <c r="CM41" s="59"/>
      <c r="CN41" s="59"/>
      <c r="CO41" s="59"/>
      <c r="CP41" s="59"/>
      <c r="CQ41" s="59"/>
      <c r="CR41" s="59"/>
      <c r="CS41" s="59"/>
      <c r="CT41" s="59"/>
      <c r="CU41" s="59"/>
      <c r="CV41" s="59"/>
      <c r="CW41" s="59"/>
      <c r="CX41" s="59"/>
      <c r="CY41" s="59"/>
      <c r="CZ41" s="59"/>
      <c r="DA41" s="59"/>
      <c r="DB41" s="59"/>
      <c r="DC41" s="59"/>
      <c r="DD41" s="59"/>
      <c r="DE41" s="59"/>
      <c r="DF41" s="59"/>
      <c r="DG41" s="59"/>
      <c r="DH41" s="59"/>
      <c r="DI41" s="59"/>
      <c r="DJ41" s="59"/>
      <c r="DK41" s="59"/>
      <c r="DL41" s="59"/>
      <c r="DM41" s="59"/>
      <c r="DN41" s="59"/>
      <c r="DO41" s="59"/>
      <c r="DP41" s="59"/>
      <c r="DQ41" s="59"/>
      <c r="DR41" s="59"/>
      <c r="DS41" s="59"/>
      <c r="DT41" s="59"/>
      <c r="DU41" s="59"/>
      <c r="DV41" s="59"/>
      <c r="DW41" s="59"/>
      <c r="DX41" s="59"/>
      <c r="DY41" s="59"/>
      <c r="DZ41" s="59"/>
      <c r="EA41" s="59"/>
      <c r="EB41" s="59"/>
      <c r="EC41" s="59"/>
      <c r="ED41" s="59"/>
      <c r="EE41" s="59"/>
      <c r="EF41" s="59"/>
      <c r="EG41" s="59"/>
      <c r="EH41" s="59"/>
      <c r="EI41" s="59"/>
      <c r="EJ41" s="59"/>
      <c r="EK41" s="59"/>
      <c r="EL41" s="59"/>
      <c r="EM41" s="59"/>
      <c r="EN41" s="59"/>
      <c r="EO41" s="59"/>
      <c r="EP41" s="59"/>
      <c r="EQ41" s="59"/>
      <c r="ER41" s="59"/>
      <c r="ES41" s="59"/>
      <c r="ET41" s="59"/>
      <c r="EU41" s="59"/>
      <c r="EV41" s="59"/>
      <c r="EW41" s="59"/>
      <c r="EX41" s="59"/>
      <c r="EY41" s="59"/>
      <c r="EZ41" s="59"/>
      <c r="FA41" s="59"/>
      <c r="FB41" s="59"/>
      <c r="FC41" s="59"/>
      <c r="FD41" s="59"/>
      <c r="FE41" s="59"/>
      <c r="FF41" s="59"/>
      <c r="FG41" s="59"/>
      <c r="FH41" s="59"/>
      <c r="FI41" s="59"/>
      <c r="FJ41" s="59"/>
      <c r="FK41" s="59"/>
      <c r="FL41" s="59"/>
      <c r="FM41" s="59"/>
      <c r="FN41" s="59"/>
      <c r="FO41" s="59"/>
      <c r="FP41" s="59"/>
      <c r="FQ41" s="59"/>
      <c r="FR41" s="59"/>
      <c r="FS41" s="59"/>
      <c r="FT41" s="59"/>
      <c r="FU41" s="59"/>
      <c r="FV41" s="59"/>
      <c r="FW41" s="59"/>
      <c r="FX41" s="59"/>
      <c r="FY41" s="59"/>
      <c r="FZ41" s="59"/>
      <c r="GA41" s="59"/>
      <c r="GB41" s="59"/>
      <c r="GC41" s="59"/>
      <c r="GD41" s="59"/>
      <c r="GE41" s="59"/>
      <c r="GF41" s="59"/>
      <c r="GG41" s="59"/>
      <c r="GH41" s="59"/>
      <c r="GI41" s="59"/>
      <c r="GJ41" s="59"/>
      <c r="GK41" s="59"/>
      <c r="GL41" s="59"/>
      <c r="GM41" s="59"/>
      <c r="GN41" s="59"/>
    </row>
    <row r="42" spans="1:196" x14ac:dyDescent="0.3">
      <c r="A42" s="59"/>
      <c r="B42" s="59"/>
      <c r="C42" s="59"/>
      <c r="D42" s="59"/>
      <c r="E42" s="59"/>
      <c r="F42" s="59"/>
      <c r="G42" s="59"/>
      <c r="H42" s="59"/>
      <c r="I42" s="59"/>
      <c r="J42" s="59"/>
      <c r="K42" s="59"/>
      <c r="L42" s="59"/>
      <c r="M42" s="59"/>
      <c r="N42" s="59"/>
      <c r="O42" s="59"/>
      <c r="P42" s="59"/>
      <c r="Q42" s="59"/>
      <c r="R42" s="59"/>
      <c r="S42" s="59"/>
      <c r="T42" s="59"/>
      <c r="U42" s="59"/>
      <c r="V42" s="59"/>
      <c r="W42" s="59"/>
      <c r="X42" s="59"/>
      <c r="Y42" s="59"/>
      <c r="Z42" s="59"/>
      <c r="AA42" s="59"/>
      <c r="AB42" s="59"/>
      <c r="AC42" s="59"/>
      <c r="AD42" s="59"/>
      <c r="AE42" s="59"/>
      <c r="AF42" s="59"/>
      <c r="AG42" s="59"/>
      <c r="AH42" s="59"/>
      <c r="AI42" s="59"/>
      <c r="AJ42" s="59"/>
      <c r="AK42" s="59"/>
      <c r="AL42" s="59"/>
      <c r="AM42" s="59"/>
      <c r="AN42" s="59"/>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c r="BU42" s="59"/>
      <c r="BV42" s="59"/>
      <c r="BW42" s="59"/>
      <c r="BX42" s="59"/>
      <c r="BY42" s="59"/>
      <c r="BZ42" s="59"/>
      <c r="CA42" s="59"/>
      <c r="CB42" s="59"/>
      <c r="CC42" s="59"/>
      <c r="CD42" s="59"/>
      <c r="CE42" s="59"/>
      <c r="CF42" s="59"/>
      <c r="CG42" s="59"/>
      <c r="CH42" s="59"/>
      <c r="CI42" s="59"/>
      <c r="CJ42" s="59"/>
      <c r="CK42" s="59"/>
      <c r="CL42" s="59"/>
      <c r="CM42" s="59"/>
      <c r="CN42" s="59"/>
      <c r="CO42" s="59"/>
      <c r="CP42" s="59"/>
      <c r="CQ42" s="59"/>
      <c r="CR42" s="59"/>
      <c r="CS42" s="59"/>
      <c r="CT42" s="59"/>
      <c r="CU42" s="59"/>
      <c r="CV42" s="59"/>
      <c r="CW42" s="59"/>
      <c r="CX42" s="59"/>
      <c r="CY42" s="59"/>
      <c r="CZ42" s="59"/>
      <c r="DA42" s="59"/>
      <c r="DB42" s="59"/>
      <c r="DC42" s="59"/>
      <c r="DD42" s="59"/>
      <c r="DE42" s="59"/>
      <c r="DF42" s="59"/>
      <c r="DG42" s="59"/>
      <c r="DH42" s="59"/>
      <c r="DI42" s="59"/>
      <c r="DJ42" s="59"/>
      <c r="DK42" s="59"/>
      <c r="DL42" s="59"/>
      <c r="DM42" s="59"/>
      <c r="DN42" s="59"/>
      <c r="DO42" s="59"/>
      <c r="DP42" s="59"/>
      <c r="DQ42" s="59"/>
      <c r="DR42" s="59"/>
      <c r="DS42" s="59"/>
      <c r="DT42" s="59"/>
      <c r="DU42" s="59"/>
      <c r="DV42" s="59"/>
      <c r="DW42" s="59"/>
      <c r="DX42" s="59"/>
      <c r="DY42" s="59"/>
      <c r="DZ42" s="59"/>
      <c r="EA42" s="59"/>
      <c r="EB42" s="59"/>
      <c r="EC42" s="59"/>
      <c r="ED42" s="59"/>
      <c r="EE42" s="59"/>
      <c r="EF42" s="59"/>
      <c r="EG42" s="59"/>
      <c r="EH42" s="59"/>
      <c r="EI42" s="59"/>
      <c r="EJ42" s="59"/>
      <c r="EK42" s="59"/>
      <c r="EL42" s="59"/>
      <c r="EM42" s="59"/>
      <c r="EN42" s="59"/>
      <c r="EO42" s="59"/>
      <c r="EP42" s="59"/>
      <c r="EQ42" s="59"/>
      <c r="ER42" s="59"/>
      <c r="ES42" s="59"/>
      <c r="ET42" s="59"/>
      <c r="EU42" s="59"/>
      <c r="EV42" s="59"/>
      <c r="EW42" s="59"/>
      <c r="EX42" s="59"/>
      <c r="EY42" s="59"/>
      <c r="EZ42" s="59"/>
      <c r="FA42" s="59"/>
      <c r="FB42" s="59"/>
      <c r="FC42" s="59"/>
      <c r="FD42" s="59"/>
      <c r="FE42" s="59"/>
      <c r="FF42" s="59"/>
      <c r="FG42" s="59"/>
      <c r="FH42" s="59"/>
      <c r="FI42" s="59"/>
      <c r="FJ42" s="59"/>
      <c r="FK42" s="59"/>
      <c r="FL42" s="59"/>
      <c r="FM42" s="59"/>
      <c r="FN42" s="59"/>
      <c r="FO42" s="59"/>
      <c r="FP42" s="59"/>
      <c r="FQ42" s="59"/>
      <c r="FR42" s="59"/>
      <c r="FS42" s="59"/>
      <c r="FT42" s="59"/>
      <c r="FU42" s="59"/>
      <c r="FV42" s="59"/>
      <c r="FW42" s="59"/>
      <c r="FX42" s="59"/>
      <c r="FY42" s="59"/>
      <c r="FZ42" s="59"/>
      <c r="GA42" s="59"/>
      <c r="GB42" s="59"/>
      <c r="GC42" s="59"/>
      <c r="GD42" s="59"/>
      <c r="GE42" s="59"/>
      <c r="GF42" s="59"/>
      <c r="GG42" s="59"/>
      <c r="GH42" s="59"/>
      <c r="GI42" s="59"/>
      <c r="GJ42" s="59"/>
      <c r="GK42" s="59"/>
      <c r="GL42" s="59"/>
      <c r="GM42" s="59"/>
      <c r="GN42" s="59"/>
    </row>
    <row r="43" spans="1:196" x14ac:dyDescent="0.3">
      <c r="A43" s="59"/>
      <c r="B43" s="59"/>
      <c r="C43" s="59"/>
      <c r="D43" s="59"/>
      <c r="E43" s="59"/>
      <c r="F43" s="59"/>
      <c r="G43" s="59"/>
      <c r="H43" s="59"/>
      <c r="I43" s="59"/>
      <c r="J43" s="59"/>
      <c r="K43" s="59"/>
      <c r="L43" s="59"/>
      <c r="M43" s="59"/>
      <c r="N43" s="59"/>
      <c r="O43" s="59"/>
      <c r="P43" s="59"/>
      <c r="Q43" s="59"/>
      <c r="R43" s="59"/>
      <c r="S43" s="59"/>
      <c r="T43" s="59"/>
      <c r="U43" s="59"/>
      <c r="V43" s="59"/>
      <c r="W43" s="59"/>
      <c r="X43" s="59"/>
      <c r="Y43" s="59"/>
      <c r="Z43" s="59"/>
      <c r="AA43" s="59"/>
      <c r="AB43" s="59"/>
      <c r="AC43" s="59"/>
      <c r="AD43" s="59"/>
      <c r="AE43" s="59"/>
      <c r="AF43" s="59"/>
      <c r="AG43" s="59"/>
      <c r="AH43" s="59"/>
      <c r="AI43" s="59"/>
      <c r="AJ43" s="59"/>
      <c r="AK43" s="59"/>
      <c r="AL43" s="59"/>
      <c r="AM43" s="59"/>
      <c r="AN43" s="59"/>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c r="BU43" s="59"/>
      <c r="BV43" s="59"/>
      <c r="BW43" s="59"/>
      <c r="BX43" s="59"/>
      <c r="BY43" s="59"/>
      <c r="BZ43" s="59"/>
      <c r="CA43" s="59"/>
      <c r="CB43" s="59"/>
      <c r="CC43" s="59"/>
      <c r="CD43" s="59"/>
      <c r="CE43" s="59"/>
      <c r="CF43" s="59"/>
      <c r="CG43" s="59"/>
      <c r="CH43" s="59"/>
      <c r="CI43" s="59"/>
      <c r="CJ43" s="59"/>
      <c r="CK43" s="59"/>
      <c r="CL43" s="59"/>
      <c r="CM43" s="59"/>
      <c r="CN43" s="59"/>
      <c r="CO43" s="59"/>
      <c r="CP43" s="59"/>
      <c r="CQ43" s="59"/>
      <c r="CR43" s="59"/>
      <c r="CS43" s="59"/>
      <c r="CT43" s="59"/>
      <c r="CU43" s="59"/>
      <c r="CV43" s="59"/>
      <c r="CW43" s="59"/>
      <c r="CX43" s="59"/>
      <c r="CY43" s="59"/>
      <c r="CZ43" s="59"/>
      <c r="DA43" s="59"/>
      <c r="DB43" s="59"/>
      <c r="DC43" s="59"/>
      <c r="DD43" s="59"/>
      <c r="DE43" s="59"/>
      <c r="DF43" s="59"/>
      <c r="DG43" s="59"/>
      <c r="DH43" s="59"/>
      <c r="DI43" s="59"/>
      <c r="DJ43" s="59"/>
      <c r="DK43" s="59"/>
      <c r="DL43" s="59"/>
      <c r="DM43" s="59"/>
      <c r="DN43" s="59"/>
      <c r="DO43" s="59"/>
      <c r="DP43" s="59"/>
      <c r="DQ43" s="59"/>
      <c r="DR43" s="59"/>
      <c r="DS43" s="59"/>
      <c r="DT43" s="59"/>
      <c r="DU43" s="59"/>
      <c r="DV43" s="59"/>
      <c r="DW43" s="59"/>
      <c r="DX43" s="59"/>
      <c r="DY43" s="59"/>
      <c r="DZ43" s="59"/>
      <c r="EA43" s="59"/>
      <c r="EB43" s="59"/>
      <c r="EC43" s="59"/>
      <c r="ED43" s="59"/>
      <c r="EE43" s="59"/>
      <c r="EF43" s="59"/>
      <c r="EG43" s="59"/>
      <c r="EH43" s="59"/>
      <c r="EI43" s="59"/>
      <c r="EJ43" s="59"/>
      <c r="EK43" s="59"/>
      <c r="EL43" s="59"/>
      <c r="EM43" s="59"/>
      <c r="EN43" s="59"/>
      <c r="EO43" s="59"/>
      <c r="EP43" s="59"/>
      <c r="EQ43" s="59"/>
      <c r="ER43" s="59"/>
      <c r="ES43" s="59"/>
      <c r="ET43" s="59"/>
      <c r="EU43" s="59"/>
      <c r="EV43" s="59"/>
      <c r="EW43" s="59"/>
      <c r="EX43" s="59"/>
      <c r="EY43" s="59"/>
      <c r="EZ43" s="59"/>
      <c r="FA43" s="59"/>
      <c r="FB43" s="59"/>
      <c r="FC43" s="59"/>
      <c r="FD43" s="59"/>
      <c r="FE43" s="59"/>
      <c r="FF43" s="59"/>
      <c r="FG43" s="59"/>
      <c r="FH43" s="59"/>
      <c r="FI43" s="59"/>
      <c r="FJ43" s="59"/>
      <c r="FK43" s="59"/>
      <c r="FL43" s="59"/>
      <c r="FM43" s="59"/>
      <c r="FN43" s="59"/>
      <c r="FO43" s="59"/>
      <c r="FP43" s="59"/>
      <c r="FQ43" s="59"/>
      <c r="FR43" s="59"/>
      <c r="FS43" s="59"/>
      <c r="FT43" s="59"/>
      <c r="FU43" s="59"/>
      <c r="FV43" s="59"/>
      <c r="FW43" s="59"/>
      <c r="FX43" s="59"/>
      <c r="FY43" s="59"/>
      <c r="FZ43" s="59"/>
      <c r="GA43" s="59"/>
      <c r="GB43" s="59"/>
      <c r="GC43" s="59"/>
      <c r="GD43" s="59"/>
      <c r="GE43" s="59"/>
      <c r="GF43" s="59"/>
      <c r="GG43" s="59"/>
      <c r="GH43" s="59"/>
      <c r="GI43" s="59"/>
      <c r="GJ43" s="59"/>
      <c r="GK43" s="59"/>
      <c r="GL43" s="59"/>
      <c r="GM43" s="59"/>
      <c r="GN43" s="59"/>
    </row>
    <row r="44" spans="1:196" x14ac:dyDescent="0.3">
      <c r="A44" s="59"/>
      <c r="B44" s="59"/>
      <c r="C44" s="59"/>
      <c r="D44" s="59"/>
      <c r="E44" s="59"/>
      <c r="F44" s="59"/>
      <c r="G44" s="59"/>
      <c r="H44" s="59"/>
      <c r="I44" s="59"/>
      <c r="J44" s="59"/>
      <c r="K44" s="59"/>
      <c r="L44" s="59"/>
      <c r="M44" s="59"/>
      <c r="N44" s="59"/>
      <c r="O44" s="59"/>
      <c r="P44" s="59"/>
      <c r="Q44" s="59"/>
      <c r="R44" s="59"/>
      <c r="S44" s="59"/>
      <c r="T44" s="59"/>
      <c r="U44" s="59"/>
      <c r="V44" s="59"/>
      <c r="W44" s="59"/>
      <c r="X44" s="59"/>
      <c r="Y44" s="59"/>
      <c r="Z44" s="59"/>
      <c r="AA44" s="59"/>
      <c r="AB44" s="59"/>
      <c r="AC44" s="59"/>
      <c r="AD44" s="59"/>
      <c r="AE44" s="59"/>
      <c r="AF44" s="59"/>
      <c r="AG44" s="59"/>
      <c r="AH44" s="59"/>
      <c r="AI44" s="59"/>
      <c r="AJ44" s="59"/>
      <c r="AK44" s="59"/>
      <c r="AL44" s="59"/>
      <c r="AM44" s="59"/>
      <c r="AN44" s="59"/>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c r="BU44" s="59"/>
      <c r="BV44" s="59"/>
      <c r="BW44" s="59"/>
      <c r="BX44" s="59"/>
      <c r="BY44" s="59"/>
      <c r="BZ44" s="59"/>
      <c r="CA44" s="59"/>
      <c r="CB44" s="59"/>
      <c r="CC44" s="59"/>
      <c r="CD44" s="59"/>
      <c r="CE44" s="59"/>
      <c r="CF44" s="59"/>
      <c r="CG44" s="59"/>
      <c r="CH44" s="59"/>
      <c r="CI44" s="59"/>
      <c r="CJ44" s="59"/>
      <c r="CK44" s="59"/>
      <c r="CL44" s="59"/>
      <c r="CM44" s="59"/>
      <c r="CN44" s="59"/>
      <c r="CO44" s="59"/>
      <c r="CP44" s="59"/>
      <c r="CQ44" s="59"/>
      <c r="CR44" s="59"/>
      <c r="CS44" s="59"/>
      <c r="CT44" s="59"/>
      <c r="CU44" s="59"/>
      <c r="CV44" s="59"/>
      <c r="CW44" s="59"/>
      <c r="CX44" s="59"/>
      <c r="CY44" s="59"/>
      <c r="CZ44" s="59"/>
      <c r="DA44" s="59"/>
      <c r="DB44" s="59"/>
      <c r="DC44" s="59"/>
      <c r="DD44" s="59"/>
      <c r="DE44" s="59"/>
      <c r="DF44" s="59"/>
      <c r="DG44" s="59"/>
      <c r="DH44" s="59"/>
      <c r="DI44" s="59"/>
      <c r="DJ44" s="59"/>
      <c r="DK44" s="59"/>
      <c r="DL44" s="59"/>
      <c r="DM44" s="59"/>
      <c r="DN44" s="59"/>
      <c r="DO44" s="59"/>
      <c r="DP44" s="59"/>
      <c r="DQ44" s="59"/>
      <c r="DR44" s="59"/>
      <c r="DS44" s="59"/>
      <c r="DT44" s="59"/>
      <c r="DU44" s="59"/>
      <c r="DV44" s="59"/>
      <c r="DW44" s="59"/>
      <c r="DX44" s="59"/>
      <c r="DY44" s="59"/>
      <c r="DZ44" s="59"/>
      <c r="EA44" s="59"/>
      <c r="EB44" s="59"/>
      <c r="EC44" s="59"/>
      <c r="ED44" s="59"/>
      <c r="EE44" s="59"/>
      <c r="EF44" s="59"/>
      <c r="EG44" s="59"/>
      <c r="EH44" s="59"/>
      <c r="EI44" s="59"/>
      <c r="EJ44" s="59"/>
      <c r="EK44" s="59"/>
      <c r="EL44" s="59"/>
      <c r="EM44" s="59"/>
      <c r="EN44" s="59"/>
      <c r="EO44" s="59"/>
      <c r="EP44" s="59"/>
      <c r="EQ44" s="59"/>
      <c r="ER44" s="59"/>
      <c r="ES44" s="59"/>
      <c r="ET44" s="59"/>
      <c r="EU44" s="59"/>
      <c r="EV44" s="59"/>
      <c r="EW44" s="59"/>
      <c r="EX44" s="59"/>
      <c r="EY44" s="59"/>
      <c r="EZ44" s="59"/>
      <c r="FA44" s="59"/>
      <c r="FB44" s="59"/>
      <c r="FC44" s="59"/>
      <c r="FD44" s="59"/>
      <c r="FE44" s="59"/>
      <c r="FF44" s="59"/>
      <c r="FG44" s="59"/>
      <c r="FH44" s="59"/>
      <c r="FI44" s="59"/>
      <c r="FJ44" s="59"/>
      <c r="FK44" s="59"/>
      <c r="FL44" s="59"/>
      <c r="FM44" s="59"/>
      <c r="FN44" s="59"/>
      <c r="FO44" s="59"/>
      <c r="FP44" s="59"/>
      <c r="FQ44" s="59"/>
      <c r="FR44" s="59"/>
      <c r="FS44" s="59"/>
      <c r="FT44" s="59"/>
      <c r="FU44" s="59"/>
      <c r="FV44" s="59"/>
      <c r="FW44" s="59"/>
      <c r="FX44" s="59"/>
      <c r="FY44" s="59"/>
      <c r="FZ44" s="59"/>
      <c r="GA44" s="59"/>
      <c r="GB44" s="59"/>
      <c r="GC44" s="59"/>
      <c r="GD44" s="59"/>
      <c r="GE44" s="59"/>
      <c r="GF44" s="59"/>
      <c r="GG44" s="59"/>
      <c r="GH44" s="59"/>
      <c r="GI44" s="59"/>
      <c r="GJ44" s="59"/>
      <c r="GK44" s="59"/>
      <c r="GL44" s="59"/>
      <c r="GM44" s="59"/>
      <c r="GN44" s="59"/>
    </row>
    <row r="45" spans="1:196" x14ac:dyDescent="0.3">
      <c r="A45" s="59"/>
      <c r="B45" s="59"/>
      <c r="C45" s="59"/>
      <c r="D45" s="59"/>
      <c r="E45" s="59"/>
      <c r="F45" s="59"/>
      <c r="G45" s="59"/>
      <c r="H45" s="59"/>
      <c r="I45" s="59"/>
      <c r="J45" s="59"/>
      <c r="K45" s="59"/>
      <c r="L45" s="59"/>
      <c r="M45" s="59"/>
      <c r="N45" s="59"/>
      <c r="O45" s="59"/>
      <c r="P45" s="59"/>
      <c r="Q45" s="59"/>
      <c r="R45" s="59"/>
      <c r="S45" s="59"/>
      <c r="T45" s="59"/>
      <c r="U45" s="59"/>
      <c r="V45" s="59"/>
      <c r="W45" s="59"/>
      <c r="X45" s="59"/>
      <c r="Y45" s="59"/>
      <c r="Z45" s="59"/>
      <c r="AA45" s="59"/>
      <c r="AB45" s="59"/>
      <c r="AC45" s="59"/>
      <c r="AD45" s="59"/>
      <c r="AE45" s="59"/>
      <c r="AF45" s="59"/>
      <c r="AG45" s="59"/>
      <c r="AH45" s="59"/>
      <c r="AI45" s="59"/>
      <c r="AJ45" s="59"/>
      <c r="AK45" s="59"/>
      <c r="AL45" s="59"/>
      <c r="AM45" s="59"/>
      <c r="AN45" s="59"/>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c r="BU45" s="59"/>
      <c r="BV45" s="59"/>
      <c r="BW45" s="59"/>
      <c r="BX45" s="59"/>
      <c r="BY45" s="59"/>
      <c r="BZ45" s="59"/>
      <c r="CA45" s="59"/>
      <c r="CB45" s="59"/>
      <c r="CC45" s="59"/>
      <c r="CD45" s="59"/>
      <c r="CE45" s="59"/>
      <c r="CF45" s="59"/>
      <c r="CG45" s="59"/>
      <c r="CH45" s="59"/>
      <c r="CI45" s="59"/>
      <c r="CJ45" s="59"/>
      <c r="CK45" s="59"/>
      <c r="CL45" s="59"/>
      <c r="CM45" s="59"/>
      <c r="CN45" s="59"/>
      <c r="CO45" s="59"/>
      <c r="CP45" s="59"/>
      <c r="CQ45" s="59"/>
      <c r="CR45" s="59"/>
      <c r="CS45" s="59"/>
      <c r="CT45" s="59"/>
      <c r="CU45" s="59"/>
      <c r="CV45" s="59"/>
      <c r="CW45" s="59"/>
      <c r="CX45" s="59"/>
      <c r="CY45" s="59"/>
      <c r="CZ45" s="59"/>
      <c r="DA45" s="59"/>
      <c r="DB45" s="59"/>
      <c r="DC45" s="59"/>
      <c r="DD45" s="59"/>
      <c r="DE45" s="59"/>
      <c r="DF45" s="59"/>
      <c r="DG45" s="59"/>
      <c r="DH45" s="59"/>
      <c r="DI45" s="59"/>
      <c r="DJ45" s="59"/>
      <c r="DK45" s="59"/>
      <c r="DL45" s="59"/>
      <c r="DM45" s="59"/>
      <c r="DN45" s="59"/>
      <c r="DO45" s="59"/>
      <c r="DP45" s="59"/>
      <c r="DQ45" s="59"/>
      <c r="DR45" s="59"/>
      <c r="DS45" s="59"/>
      <c r="DT45" s="59"/>
      <c r="DU45" s="59"/>
      <c r="DV45" s="59"/>
      <c r="DW45" s="59"/>
      <c r="DX45" s="59"/>
      <c r="DY45" s="59"/>
      <c r="DZ45" s="59"/>
      <c r="EA45" s="59"/>
      <c r="EB45" s="59"/>
      <c r="EC45" s="59"/>
      <c r="ED45" s="59"/>
      <c r="EE45" s="59"/>
      <c r="EF45" s="59"/>
      <c r="EG45" s="59"/>
      <c r="EH45" s="59"/>
      <c r="EI45" s="59"/>
      <c r="EJ45" s="59"/>
      <c r="EK45" s="59"/>
      <c r="EL45" s="59"/>
      <c r="EM45" s="59"/>
      <c r="EN45" s="59"/>
      <c r="EO45" s="59"/>
      <c r="EP45" s="59"/>
      <c r="EQ45" s="59"/>
      <c r="ER45" s="59"/>
      <c r="ES45" s="59"/>
      <c r="ET45" s="59"/>
      <c r="EU45" s="59"/>
      <c r="EV45" s="59"/>
      <c r="EW45" s="59"/>
      <c r="EX45" s="59"/>
      <c r="EY45" s="59"/>
      <c r="EZ45" s="59"/>
      <c r="FA45" s="59"/>
      <c r="FB45" s="59"/>
      <c r="FC45" s="59"/>
      <c r="FD45" s="59"/>
      <c r="FE45" s="59"/>
      <c r="FF45" s="59"/>
      <c r="FG45" s="59"/>
      <c r="FH45" s="59"/>
      <c r="FI45" s="59"/>
      <c r="FJ45" s="59"/>
      <c r="FK45" s="59"/>
      <c r="FL45" s="59"/>
      <c r="FM45" s="59"/>
      <c r="FN45" s="59"/>
      <c r="FO45" s="59"/>
      <c r="FP45" s="59"/>
      <c r="FQ45" s="59"/>
      <c r="FR45" s="59"/>
      <c r="FS45" s="59"/>
      <c r="FT45" s="59"/>
      <c r="FU45" s="59"/>
      <c r="FV45" s="59"/>
      <c r="FW45" s="59"/>
      <c r="FX45" s="59"/>
      <c r="FY45" s="59"/>
      <c r="FZ45" s="59"/>
      <c r="GA45" s="59"/>
      <c r="GB45" s="59"/>
      <c r="GC45" s="59"/>
      <c r="GD45" s="59"/>
      <c r="GE45" s="59"/>
      <c r="GF45" s="59"/>
      <c r="GG45" s="59"/>
      <c r="GH45" s="59"/>
      <c r="GI45" s="59"/>
      <c r="GJ45" s="59"/>
      <c r="GK45" s="59"/>
      <c r="GL45" s="59"/>
      <c r="GM45" s="59"/>
      <c r="GN45" s="59"/>
    </row>
    <row r="46" spans="1:196" x14ac:dyDescent="0.3">
      <c r="A46" s="59"/>
      <c r="B46" s="59"/>
      <c r="C46" s="59"/>
      <c r="D46" s="59"/>
      <c r="E46" s="59"/>
      <c r="F46" s="59"/>
      <c r="G46" s="59"/>
      <c r="H46" s="59"/>
      <c r="I46" s="59"/>
      <c r="J46" s="59"/>
      <c r="K46" s="59"/>
      <c r="L46" s="59"/>
      <c r="M46" s="59"/>
      <c r="N46" s="59"/>
      <c r="O46" s="59"/>
      <c r="P46" s="59"/>
      <c r="Q46" s="59"/>
      <c r="R46" s="59"/>
      <c r="S46" s="59"/>
      <c r="T46" s="59"/>
      <c r="U46" s="59"/>
      <c r="V46" s="59"/>
      <c r="W46" s="59"/>
      <c r="X46" s="59"/>
      <c r="Y46" s="59"/>
      <c r="Z46" s="59"/>
      <c r="AA46" s="59"/>
      <c r="AB46" s="59"/>
      <c r="AC46" s="59"/>
      <c r="AD46" s="59"/>
      <c r="AE46" s="59"/>
      <c r="AF46" s="59"/>
      <c r="AG46" s="59"/>
      <c r="AH46" s="59"/>
      <c r="AI46" s="59"/>
      <c r="AJ46" s="59"/>
      <c r="AK46" s="59"/>
      <c r="AL46" s="59"/>
      <c r="AM46" s="59"/>
      <c r="AN46" s="59"/>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c r="BU46" s="59"/>
      <c r="BV46" s="59"/>
      <c r="BW46" s="59"/>
      <c r="BX46" s="59"/>
      <c r="BY46" s="59"/>
      <c r="BZ46" s="59"/>
      <c r="CA46" s="59"/>
      <c r="CB46" s="59"/>
      <c r="CC46" s="59"/>
      <c r="CD46" s="59"/>
      <c r="CE46" s="59"/>
      <c r="CF46" s="59"/>
      <c r="CG46" s="59"/>
      <c r="CH46" s="59"/>
      <c r="CI46" s="59"/>
      <c r="CJ46" s="59"/>
      <c r="CK46" s="59"/>
      <c r="CL46" s="59"/>
      <c r="CM46" s="59"/>
      <c r="CN46" s="59"/>
      <c r="CO46" s="59"/>
      <c r="CP46" s="59"/>
      <c r="CQ46" s="59"/>
      <c r="CR46" s="59"/>
      <c r="CS46" s="59"/>
      <c r="CT46" s="59"/>
      <c r="CU46" s="59"/>
      <c r="CV46" s="59"/>
      <c r="CW46" s="59"/>
      <c r="CX46" s="59"/>
      <c r="CY46" s="59"/>
      <c r="CZ46" s="59"/>
      <c r="DA46" s="59"/>
      <c r="DB46" s="59"/>
      <c r="DC46" s="59"/>
      <c r="DD46" s="59"/>
      <c r="DE46" s="59"/>
      <c r="DF46" s="59"/>
      <c r="DG46" s="59"/>
      <c r="DH46" s="59"/>
      <c r="DI46" s="59"/>
      <c r="DJ46" s="59"/>
      <c r="DK46" s="59"/>
      <c r="DL46" s="59"/>
      <c r="DM46" s="59"/>
      <c r="DN46" s="59"/>
      <c r="DO46" s="59"/>
      <c r="DP46" s="59"/>
      <c r="DQ46" s="59"/>
      <c r="DR46" s="59"/>
      <c r="DS46" s="59"/>
      <c r="DT46" s="59"/>
      <c r="DU46" s="59"/>
      <c r="DV46" s="59"/>
      <c r="DW46" s="59"/>
      <c r="DX46" s="59"/>
      <c r="DY46" s="59"/>
      <c r="DZ46" s="59"/>
      <c r="EA46" s="59"/>
      <c r="EB46" s="59"/>
      <c r="EC46" s="63"/>
      <c r="ED46" s="59"/>
      <c r="EE46" s="59"/>
      <c r="EF46" s="59"/>
      <c r="EG46" s="59"/>
      <c r="EH46" s="59"/>
      <c r="EI46" s="59"/>
      <c r="EJ46" s="59"/>
      <c r="EK46" s="59"/>
      <c r="EL46" s="59"/>
      <c r="EM46" s="59"/>
      <c r="EN46" s="59"/>
      <c r="EO46" s="59"/>
      <c r="EP46" s="59"/>
      <c r="EQ46" s="59"/>
      <c r="ER46" s="59"/>
      <c r="ES46" s="59"/>
      <c r="ET46" s="59"/>
      <c r="EU46" s="59"/>
      <c r="EV46" s="59"/>
      <c r="EW46" s="59"/>
      <c r="EX46" s="59"/>
      <c r="EY46" s="59"/>
      <c r="EZ46" s="59"/>
      <c r="FA46" s="59"/>
      <c r="FB46" s="59"/>
      <c r="FC46" s="59"/>
      <c r="FD46" s="59"/>
      <c r="FE46" s="59"/>
      <c r="FF46" s="59"/>
      <c r="FG46" s="59"/>
      <c r="FH46" s="59"/>
      <c r="FI46" s="59"/>
      <c r="FJ46" s="59"/>
      <c r="FK46" s="59"/>
      <c r="FL46" s="59"/>
      <c r="FM46" s="59"/>
      <c r="FN46" s="59"/>
      <c r="FO46" s="59"/>
      <c r="FP46" s="59"/>
      <c r="FQ46" s="59"/>
      <c r="FR46" s="59"/>
      <c r="FS46" s="59"/>
      <c r="FT46" s="59"/>
      <c r="FU46" s="59"/>
      <c r="FV46" s="59"/>
      <c r="FW46" s="59"/>
      <c r="FX46" s="59"/>
      <c r="FY46" s="59"/>
      <c r="FZ46" s="59"/>
      <c r="GA46" s="59"/>
      <c r="GB46" s="59"/>
      <c r="GC46" s="59"/>
      <c r="GD46" s="59"/>
      <c r="GE46" s="59"/>
      <c r="GF46" s="59"/>
      <c r="GG46" s="59"/>
      <c r="GH46" s="59"/>
      <c r="GI46" s="59"/>
      <c r="GJ46" s="59"/>
      <c r="GK46" s="59"/>
      <c r="GL46" s="59"/>
      <c r="GM46" s="59"/>
      <c r="GN46" s="59"/>
    </row>
    <row r="47" spans="1:196" x14ac:dyDescent="0.3">
      <c r="A47" s="59"/>
      <c r="B47" s="59"/>
      <c r="C47" s="59"/>
      <c r="D47" s="59"/>
      <c r="E47" s="59"/>
      <c r="F47" s="59"/>
      <c r="G47" s="59"/>
      <c r="H47" s="59"/>
      <c r="I47" s="59"/>
      <c r="J47" s="59"/>
      <c r="K47" s="59"/>
      <c r="L47" s="59"/>
      <c r="M47" s="59"/>
      <c r="N47" s="59"/>
      <c r="O47" s="59"/>
      <c r="P47" s="59"/>
      <c r="Q47" s="59"/>
      <c r="R47" s="59"/>
      <c r="S47" s="59"/>
      <c r="T47" s="59"/>
      <c r="U47" s="59"/>
      <c r="V47" s="59"/>
      <c r="W47" s="59"/>
      <c r="X47" s="59"/>
      <c r="Y47" s="59"/>
      <c r="Z47" s="59"/>
      <c r="AA47" s="59"/>
      <c r="AB47" s="59"/>
      <c r="AC47" s="59"/>
      <c r="AD47" s="59"/>
      <c r="AE47" s="59"/>
      <c r="AF47" s="59"/>
      <c r="AG47" s="59"/>
      <c r="AH47" s="59"/>
      <c r="AI47" s="59"/>
      <c r="AJ47" s="59"/>
      <c r="AK47" s="59"/>
      <c r="AL47" s="59"/>
      <c r="AM47" s="59"/>
      <c r="AN47" s="59"/>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c r="BU47" s="59"/>
      <c r="BV47" s="59"/>
      <c r="BW47" s="59"/>
      <c r="BX47" s="59"/>
      <c r="BY47" s="59"/>
      <c r="BZ47" s="59"/>
      <c r="CA47" s="59"/>
      <c r="CB47" s="59"/>
      <c r="CC47" s="59"/>
      <c r="CD47" s="59"/>
      <c r="CE47" s="59"/>
      <c r="CF47" s="59"/>
      <c r="CG47" s="59"/>
      <c r="CH47" s="59"/>
      <c r="CI47" s="59"/>
      <c r="CJ47" s="59"/>
      <c r="CK47" s="59"/>
      <c r="CL47" s="59"/>
      <c r="CM47" s="59"/>
      <c r="CN47" s="59"/>
      <c r="CO47" s="59"/>
      <c r="CP47" s="59"/>
      <c r="CQ47" s="59"/>
      <c r="CR47" s="59"/>
      <c r="CS47" s="59"/>
      <c r="CT47" s="59"/>
      <c r="CU47" s="59"/>
      <c r="CV47" s="59"/>
      <c r="CW47" s="59"/>
      <c r="CX47" s="59"/>
      <c r="CY47" s="59"/>
      <c r="CZ47" s="59"/>
      <c r="DA47" s="59"/>
      <c r="DB47" s="59"/>
      <c r="DC47" s="59"/>
      <c r="DD47" s="59"/>
      <c r="DE47" s="59"/>
      <c r="DF47" s="59"/>
      <c r="DG47" s="59"/>
      <c r="DH47" s="59"/>
      <c r="DI47" s="59"/>
      <c r="DJ47" s="59"/>
      <c r="DK47" s="59"/>
      <c r="DL47" s="59"/>
      <c r="DM47" s="59"/>
      <c r="DN47" s="59"/>
      <c r="DO47" s="59"/>
      <c r="DP47" s="59"/>
      <c r="DQ47" s="59"/>
      <c r="DR47" s="59"/>
      <c r="DS47" s="59"/>
      <c r="DT47" s="59"/>
      <c r="DU47" s="59"/>
      <c r="DV47" s="59"/>
      <c r="DW47" s="59"/>
      <c r="DX47" s="59"/>
      <c r="DY47" s="59"/>
      <c r="DZ47" s="59"/>
      <c r="EA47" s="59"/>
      <c r="EB47" s="59"/>
      <c r="EC47" s="59"/>
      <c r="ED47" s="59"/>
      <c r="EE47" s="59"/>
      <c r="EF47" s="59"/>
      <c r="EG47" s="59"/>
      <c r="EH47" s="59"/>
      <c r="EI47" s="59"/>
      <c r="EJ47" s="59"/>
      <c r="EK47" s="59"/>
      <c r="EL47" s="59"/>
      <c r="EM47" s="59"/>
      <c r="EN47" s="59"/>
      <c r="EO47" s="59"/>
      <c r="EP47" s="59"/>
      <c r="EQ47" s="59"/>
      <c r="ER47" s="59"/>
      <c r="ES47" s="59"/>
      <c r="ET47" s="59"/>
      <c r="EU47" s="59"/>
      <c r="EV47" s="59"/>
      <c r="EW47" s="59"/>
      <c r="EX47" s="59"/>
      <c r="EY47" s="59"/>
      <c r="EZ47" s="59"/>
      <c r="FA47" s="59"/>
      <c r="FB47" s="59"/>
      <c r="FC47" s="59"/>
      <c r="FD47" s="59"/>
      <c r="FE47" s="59"/>
      <c r="FF47" s="59"/>
      <c r="FG47" s="59"/>
      <c r="FH47" s="59"/>
      <c r="FI47" s="59"/>
      <c r="FJ47" s="59"/>
      <c r="FK47" s="59"/>
      <c r="FL47" s="59"/>
      <c r="FM47" s="59"/>
      <c r="FN47" s="59"/>
      <c r="FO47" s="59"/>
      <c r="FP47" s="59"/>
      <c r="FQ47" s="59"/>
      <c r="FR47" s="59"/>
      <c r="FS47" s="59"/>
      <c r="FT47" s="59"/>
      <c r="FU47" s="59"/>
      <c r="FV47" s="59"/>
      <c r="FW47" s="59"/>
      <c r="FX47" s="59"/>
      <c r="FY47" s="59"/>
      <c r="FZ47" s="59"/>
      <c r="GA47" s="59"/>
      <c r="GB47" s="59"/>
      <c r="GC47" s="59"/>
      <c r="GD47" s="59"/>
      <c r="GE47" s="59"/>
      <c r="GF47" s="59"/>
      <c r="GG47" s="59"/>
      <c r="GH47" s="59"/>
      <c r="GI47" s="59"/>
      <c r="GJ47" s="59"/>
      <c r="GK47" s="59"/>
      <c r="GL47" s="59"/>
      <c r="GM47" s="59"/>
      <c r="GN47" s="59"/>
    </row>
    <row r="48" spans="1:196" x14ac:dyDescent="0.3">
      <c r="A48" s="59"/>
      <c r="B48" s="59"/>
      <c r="C48" s="59"/>
      <c r="D48" s="59"/>
      <c r="E48" s="59"/>
      <c r="F48" s="59"/>
      <c r="G48" s="59"/>
      <c r="H48" s="59"/>
      <c r="I48" s="59"/>
      <c r="J48" s="59"/>
      <c r="K48" s="59"/>
      <c r="L48" s="59"/>
      <c r="M48" s="59"/>
      <c r="N48" s="59"/>
      <c r="O48" s="59"/>
      <c r="P48" s="59"/>
      <c r="Q48" s="59"/>
      <c r="R48" s="59"/>
      <c r="S48" s="59"/>
      <c r="T48" s="59"/>
      <c r="U48" s="59"/>
      <c r="V48" s="59"/>
      <c r="W48" s="59"/>
      <c r="X48" s="59"/>
      <c r="Y48" s="59"/>
      <c r="Z48" s="59"/>
      <c r="AA48" s="59"/>
      <c r="AB48" s="59"/>
      <c r="AC48" s="59"/>
      <c r="AD48" s="59"/>
      <c r="AE48" s="59"/>
      <c r="AF48" s="59"/>
      <c r="AG48" s="59"/>
      <c r="AH48" s="59"/>
      <c r="AI48" s="59"/>
      <c r="AJ48" s="59"/>
      <c r="AK48" s="59"/>
      <c r="AL48" s="59"/>
      <c r="AM48" s="59"/>
      <c r="AN48" s="59"/>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c r="BU48" s="59"/>
      <c r="BV48" s="59"/>
      <c r="BW48" s="59"/>
      <c r="BX48" s="59"/>
      <c r="BY48" s="59"/>
      <c r="BZ48" s="59"/>
      <c r="CA48" s="59"/>
      <c r="CB48" s="59"/>
      <c r="CC48" s="59"/>
      <c r="CD48" s="59"/>
      <c r="CE48" s="59"/>
      <c r="CF48" s="59"/>
      <c r="CG48" s="59"/>
      <c r="CH48" s="59"/>
      <c r="CI48" s="59"/>
      <c r="CJ48" s="59"/>
      <c r="CK48" s="59"/>
      <c r="CL48" s="59"/>
      <c r="CM48" s="59"/>
      <c r="CN48" s="59"/>
      <c r="CO48" s="59"/>
      <c r="CP48" s="59"/>
      <c r="CQ48" s="59"/>
      <c r="CR48" s="59"/>
      <c r="CS48" s="59"/>
      <c r="CT48" s="59"/>
      <c r="CU48" s="59"/>
      <c r="CV48" s="59"/>
      <c r="CW48" s="59"/>
      <c r="CX48" s="59"/>
      <c r="CY48" s="59"/>
      <c r="CZ48" s="59"/>
      <c r="DA48" s="59"/>
      <c r="DB48" s="59"/>
      <c r="DC48" s="59"/>
      <c r="DD48" s="59"/>
      <c r="DE48" s="59"/>
      <c r="DF48" s="59"/>
      <c r="DG48" s="59"/>
      <c r="DH48" s="59"/>
      <c r="DI48" s="59"/>
      <c r="DJ48" s="59"/>
      <c r="DK48" s="59"/>
      <c r="DL48" s="59"/>
      <c r="DM48" s="59"/>
      <c r="DN48" s="59"/>
      <c r="DO48" s="59"/>
      <c r="DP48" s="59"/>
      <c r="DQ48" s="59"/>
      <c r="DR48" s="59"/>
      <c r="DS48" s="59"/>
      <c r="DT48" s="59"/>
      <c r="DU48" s="59"/>
      <c r="DV48" s="59"/>
      <c r="DW48" s="59"/>
      <c r="DX48" s="59"/>
      <c r="DY48" s="59"/>
      <c r="DZ48" s="59"/>
      <c r="EA48" s="59"/>
      <c r="EB48" s="59"/>
      <c r="EC48" s="59"/>
      <c r="ED48" s="59"/>
      <c r="EE48" s="59"/>
      <c r="EF48" s="59"/>
      <c r="EG48" s="59"/>
      <c r="EH48" s="59"/>
      <c r="EI48" s="59"/>
      <c r="EJ48" s="59"/>
      <c r="EK48" s="59"/>
      <c r="EL48" s="59"/>
      <c r="EM48" s="59"/>
      <c r="EN48" s="59"/>
      <c r="EO48" s="59"/>
      <c r="EP48" s="59"/>
      <c r="EQ48" s="59"/>
      <c r="ER48" s="59"/>
      <c r="ES48" s="59"/>
      <c r="ET48" s="59"/>
      <c r="EU48" s="59"/>
      <c r="EV48" s="59"/>
      <c r="EW48" s="59"/>
      <c r="EX48" s="59"/>
      <c r="EY48" s="59"/>
      <c r="EZ48" s="59"/>
      <c r="FA48" s="59"/>
      <c r="FB48" s="59"/>
      <c r="FC48" s="59"/>
      <c r="FD48" s="59"/>
      <c r="FE48" s="59"/>
      <c r="FF48" s="59"/>
      <c r="FG48" s="59"/>
      <c r="FH48" s="59"/>
      <c r="FI48" s="59"/>
      <c r="FJ48" s="59"/>
      <c r="FK48" s="59"/>
      <c r="FL48" s="59"/>
      <c r="FM48" s="59"/>
      <c r="FN48" s="59"/>
      <c r="FO48" s="59"/>
      <c r="FP48" s="59"/>
      <c r="FQ48" s="59"/>
      <c r="FR48" s="59"/>
      <c r="FS48" s="59"/>
      <c r="FT48" s="59"/>
      <c r="FU48" s="59"/>
      <c r="FV48" s="59"/>
      <c r="FW48" s="59"/>
      <c r="FX48" s="59"/>
      <c r="FY48" s="59"/>
      <c r="FZ48" s="59"/>
      <c r="GA48" s="59"/>
      <c r="GB48" s="59"/>
      <c r="GC48" s="59"/>
      <c r="GD48" s="59"/>
      <c r="GE48" s="59"/>
      <c r="GF48" s="59"/>
      <c r="GG48" s="59"/>
      <c r="GH48" s="59"/>
      <c r="GI48" s="59"/>
      <c r="GJ48" s="59"/>
      <c r="GK48" s="59"/>
      <c r="GL48" s="59"/>
      <c r="GM48" s="59"/>
      <c r="GN48" s="59"/>
    </row>
    <row r="49" spans="1:196" x14ac:dyDescent="0.3">
      <c r="A49" s="59"/>
      <c r="B49" s="59"/>
      <c r="C49" s="59"/>
      <c r="D49" s="59"/>
      <c r="E49" s="59"/>
      <c r="F49" s="59"/>
      <c r="G49" s="59"/>
      <c r="H49" s="59"/>
      <c r="I49" s="59"/>
      <c r="J49" s="59"/>
      <c r="K49" s="59"/>
      <c r="L49" s="59"/>
      <c r="M49" s="59"/>
      <c r="N49" s="59"/>
      <c r="O49" s="59"/>
      <c r="P49" s="59"/>
      <c r="Q49" s="59"/>
      <c r="R49" s="59"/>
      <c r="S49" s="59"/>
      <c r="T49" s="59"/>
      <c r="U49" s="59"/>
      <c r="V49" s="59"/>
      <c r="W49" s="59"/>
      <c r="X49" s="59"/>
      <c r="Y49" s="59"/>
      <c r="Z49" s="59"/>
      <c r="AA49" s="59"/>
      <c r="AB49" s="59"/>
      <c r="AC49" s="59"/>
      <c r="AD49" s="59"/>
      <c r="AE49" s="59"/>
      <c r="AF49" s="59"/>
      <c r="AG49" s="59"/>
      <c r="AH49" s="59"/>
      <c r="AI49" s="59"/>
      <c r="AJ49" s="59"/>
      <c r="AK49" s="59"/>
      <c r="AL49" s="59"/>
      <c r="AM49" s="59"/>
      <c r="AN49" s="59"/>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c r="BU49" s="59"/>
      <c r="BV49" s="59"/>
      <c r="BW49" s="59"/>
      <c r="BX49" s="59"/>
      <c r="BY49" s="59"/>
      <c r="BZ49" s="59"/>
      <c r="CA49" s="59"/>
      <c r="CB49" s="59"/>
      <c r="CC49" s="59"/>
      <c r="CD49" s="59"/>
      <c r="CE49" s="59"/>
      <c r="CF49" s="59"/>
      <c r="CG49" s="59"/>
      <c r="CH49" s="59"/>
      <c r="CI49" s="59"/>
      <c r="CJ49" s="59"/>
      <c r="CK49" s="59"/>
      <c r="CL49" s="59"/>
      <c r="CM49" s="59"/>
      <c r="CN49" s="59"/>
      <c r="CO49" s="59"/>
      <c r="CP49" s="59"/>
      <c r="CQ49" s="59"/>
      <c r="CR49" s="59"/>
      <c r="CS49" s="59"/>
      <c r="CT49" s="59"/>
      <c r="CU49" s="59"/>
      <c r="CV49" s="59"/>
      <c r="CW49" s="59"/>
      <c r="CX49" s="59"/>
      <c r="CY49" s="59"/>
      <c r="CZ49" s="59"/>
      <c r="DA49" s="59"/>
      <c r="DB49" s="59"/>
      <c r="DC49" s="59"/>
      <c r="DD49" s="59"/>
      <c r="DE49" s="59"/>
      <c r="DF49" s="59"/>
      <c r="DG49" s="59"/>
      <c r="DH49" s="59"/>
      <c r="DI49" s="59"/>
      <c r="DJ49" s="59"/>
      <c r="DK49" s="59"/>
      <c r="DL49" s="59"/>
      <c r="DM49" s="59"/>
      <c r="DN49" s="59"/>
      <c r="DO49" s="59"/>
      <c r="DP49" s="59"/>
      <c r="DQ49" s="59"/>
      <c r="DR49" s="59"/>
      <c r="DS49" s="59"/>
      <c r="DT49" s="59"/>
      <c r="DU49" s="59"/>
      <c r="DV49" s="59"/>
      <c r="DW49" s="59"/>
      <c r="DX49" s="59"/>
      <c r="DY49" s="59"/>
      <c r="DZ49" s="59"/>
      <c r="EA49" s="59"/>
      <c r="EB49" s="59"/>
      <c r="EC49" s="59"/>
      <c r="ED49" s="59"/>
      <c r="EE49" s="59"/>
      <c r="EF49" s="59"/>
      <c r="EG49" s="59"/>
      <c r="EH49" s="59"/>
      <c r="EI49" s="59"/>
      <c r="EJ49" s="59"/>
      <c r="EK49" s="59"/>
      <c r="EL49" s="59"/>
      <c r="EM49" s="59"/>
      <c r="EN49" s="59"/>
      <c r="EO49" s="59"/>
      <c r="EP49" s="59"/>
      <c r="EQ49" s="59"/>
      <c r="ER49" s="59"/>
      <c r="ES49" s="59"/>
      <c r="ET49" s="59"/>
      <c r="EU49" s="59"/>
      <c r="EV49" s="59"/>
      <c r="EW49" s="59"/>
      <c r="EX49" s="59"/>
      <c r="EY49" s="59"/>
      <c r="EZ49" s="59"/>
      <c r="FA49" s="59"/>
      <c r="FB49" s="59"/>
      <c r="FC49" s="59"/>
      <c r="FD49" s="59"/>
      <c r="FE49" s="59"/>
      <c r="FF49" s="59"/>
      <c r="FG49" s="59"/>
      <c r="FH49" s="59"/>
      <c r="FI49" s="59"/>
      <c r="FJ49" s="59"/>
      <c r="FK49" s="59"/>
      <c r="FL49" s="59"/>
      <c r="FM49" s="59"/>
      <c r="FN49" s="59"/>
      <c r="FO49" s="59"/>
      <c r="FP49" s="59"/>
      <c r="FQ49" s="59"/>
      <c r="FR49" s="59"/>
      <c r="FS49" s="59"/>
      <c r="FT49" s="59"/>
      <c r="FU49" s="59"/>
      <c r="FV49" s="59"/>
      <c r="FW49" s="59"/>
      <c r="FX49" s="59"/>
      <c r="FY49" s="59"/>
      <c r="FZ49" s="59"/>
      <c r="GA49" s="59"/>
      <c r="GB49" s="59"/>
      <c r="GC49" s="59"/>
      <c r="GD49" s="59"/>
      <c r="GE49" s="59"/>
      <c r="GF49" s="59"/>
      <c r="GG49" s="59"/>
      <c r="GH49" s="59"/>
      <c r="GI49" s="59"/>
      <c r="GJ49" s="59"/>
      <c r="GK49" s="59"/>
      <c r="GL49" s="59"/>
      <c r="GM49" s="59"/>
      <c r="GN49" s="59"/>
    </row>
    <row r="50" spans="1:196" x14ac:dyDescent="0.3">
      <c r="A50" s="59"/>
      <c r="B50" s="59"/>
      <c r="C50" s="59"/>
      <c r="D50" s="59"/>
      <c r="E50" s="59"/>
      <c r="F50" s="59"/>
      <c r="G50" s="59"/>
      <c r="H50" s="59"/>
      <c r="I50" s="59"/>
      <c r="J50" s="59"/>
      <c r="K50" s="59"/>
      <c r="L50" s="59"/>
      <c r="M50" s="59"/>
      <c r="N50" s="59"/>
      <c r="O50" s="59"/>
      <c r="P50" s="59"/>
      <c r="Q50" s="59"/>
      <c r="R50" s="59"/>
      <c r="S50" s="59"/>
      <c r="T50" s="59"/>
      <c r="U50" s="59"/>
      <c r="V50" s="59"/>
      <c r="W50" s="59"/>
      <c r="X50" s="59"/>
      <c r="Y50" s="59"/>
      <c r="Z50" s="59"/>
      <c r="AA50" s="59"/>
      <c r="AB50" s="59"/>
      <c r="AC50" s="59"/>
      <c r="AD50" s="59"/>
      <c r="AE50" s="59"/>
      <c r="AF50" s="59"/>
      <c r="AG50" s="59"/>
      <c r="AH50" s="59"/>
      <c r="AI50" s="59"/>
      <c r="AJ50" s="59"/>
      <c r="AK50" s="59"/>
      <c r="AL50" s="59"/>
      <c r="AM50" s="59"/>
      <c r="AN50" s="59"/>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c r="BU50" s="59"/>
      <c r="BV50" s="59"/>
      <c r="BW50" s="59"/>
      <c r="BX50" s="59"/>
      <c r="BY50" s="59"/>
      <c r="BZ50" s="59"/>
      <c r="CA50" s="59"/>
      <c r="CB50" s="59"/>
      <c r="CC50" s="59"/>
      <c r="CD50" s="59"/>
      <c r="CE50" s="59"/>
      <c r="CF50" s="59"/>
      <c r="CG50" s="59"/>
      <c r="CH50" s="59"/>
      <c r="CI50" s="59"/>
      <c r="CJ50" s="59"/>
      <c r="CK50" s="59"/>
      <c r="CL50" s="59"/>
      <c r="CM50" s="59"/>
      <c r="CN50" s="59"/>
      <c r="CO50" s="59"/>
      <c r="CP50" s="59"/>
      <c r="CQ50" s="59"/>
      <c r="CR50" s="59"/>
      <c r="CS50" s="59"/>
      <c r="CT50" s="59"/>
      <c r="CU50" s="59"/>
      <c r="CV50" s="59"/>
      <c r="CW50" s="59"/>
      <c r="CX50" s="59"/>
      <c r="CY50" s="59"/>
      <c r="CZ50" s="59"/>
      <c r="DA50" s="59"/>
      <c r="DB50" s="59"/>
      <c r="DC50" s="59"/>
      <c r="DD50" s="59"/>
      <c r="DE50" s="59"/>
      <c r="DF50" s="59"/>
      <c r="DG50" s="59"/>
      <c r="DH50" s="59"/>
      <c r="DI50" s="59"/>
      <c r="DJ50" s="59"/>
      <c r="DK50" s="59"/>
      <c r="DL50" s="59"/>
      <c r="DM50" s="59"/>
      <c r="DN50" s="59"/>
      <c r="DO50" s="59"/>
      <c r="DP50" s="59"/>
      <c r="DQ50" s="59"/>
      <c r="DR50" s="59"/>
      <c r="DS50" s="59"/>
      <c r="DT50" s="59"/>
      <c r="DU50" s="59"/>
      <c r="DV50" s="59"/>
      <c r="DW50" s="59"/>
      <c r="DX50" s="59"/>
      <c r="DY50" s="59"/>
      <c r="DZ50" s="59"/>
      <c r="EA50" s="59"/>
      <c r="EB50" s="59"/>
      <c r="EC50" s="59"/>
      <c r="ED50" s="59"/>
      <c r="EE50" s="59"/>
      <c r="EF50" s="59"/>
      <c r="EG50" s="59"/>
      <c r="EH50" s="59"/>
      <c r="EI50" s="59"/>
      <c r="EJ50" s="59"/>
      <c r="EK50" s="59"/>
      <c r="EL50" s="59"/>
      <c r="EM50" s="59"/>
      <c r="EN50" s="59"/>
      <c r="EO50" s="59"/>
      <c r="EP50" s="59"/>
      <c r="EQ50" s="59"/>
      <c r="ER50" s="59"/>
      <c r="ES50" s="59"/>
      <c r="ET50" s="59"/>
      <c r="EU50" s="59"/>
      <c r="EV50" s="59"/>
      <c r="EW50" s="59"/>
      <c r="EX50" s="59"/>
      <c r="EY50" s="59"/>
      <c r="EZ50" s="59"/>
      <c r="FA50" s="59"/>
      <c r="FB50" s="59"/>
      <c r="FC50" s="59"/>
      <c r="FD50" s="59"/>
      <c r="FE50" s="59"/>
      <c r="FF50" s="59"/>
      <c r="FG50" s="59"/>
      <c r="FH50" s="59"/>
      <c r="FI50" s="59"/>
      <c r="FJ50" s="59"/>
      <c r="FK50" s="59"/>
      <c r="FL50" s="59"/>
      <c r="FM50" s="59"/>
      <c r="FN50" s="59"/>
      <c r="FO50" s="59"/>
      <c r="FP50" s="59"/>
      <c r="FQ50" s="59"/>
      <c r="FR50" s="59"/>
      <c r="FS50" s="59"/>
      <c r="FT50" s="59"/>
      <c r="FU50" s="59"/>
      <c r="FV50" s="59"/>
      <c r="FW50" s="59"/>
      <c r="FX50" s="59"/>
      <c r="FY50" s="59"/>
      <c r="FZ50" s="59"/>
      <c r="GA50" s="59"/>
      <c r="GB50" s="59"/>
      <c r="GC50" s="59"/>
      <c r="GD50" s="59"/>
      <c r="GE50" s="59"/>
      <c r="GF50" s="59"/>
      <c r="GG50" s="59"/>
      <c r="GH50" s="59"/>
      <c r="GI50" s="59"/>
      <c r="GJ50" s="59"/>
      <c r="GK50" s="59"/>
      <c r="GL50" s="59"/>
      <c r="GM50" s="59"/>
      <c r="GN50" s="59"/>
    </row>
    <row r="51" spans="1:196" x14ac:dyDescent="0.3">
      <c r="A51" s="59"/>
      <c r="B51" s="59"/>
      <c r="C51" s="59"/>
      <c r="D51" s="59"/>
      <c r="E51" s="59"/>
      <c r="F51" s="59"/>
      <c r="G51" s="59"/>
      <c r="H51" s="59"/>
      <c r="I51" s="59"/>
      <c r="J51" s="59"/>
      <c r="K51" s="59"/>
      <c r="L51" s="59"/>
      <c r="M51" s="59"/>
      <c r="N51" s="59"/>
      <c r="O51" s="59"/>
      <c r="P51" s="59"/>
      <c r="Q51" s="59"/>
      <c r="R51" s="59"/>
      <c r="S51" s="59"/>
      <c r="T51" s="59"/>
      <c r="U51" s="59"/>
      <c r="V51" s="59"/>
      <c r="W51" s="59"/>
      <c r="X51" s="59"/>
      <c r="Y51" s="59"/>
      <c r="Z51" s="59"/>
      <c r="AA51" s="59"/>
      <c r="AB51" s="59"/>
      <c r="AC51" s="59"/>
      <c r="AD51" s="59"/>
      <c r="AE51" s="59"/>
      <c r="AF51" s="59"/>
      <c r="AG51" s="59"/>
      <c r="AH51" s="59"/>
      <c r="AI51" s="59"/>
      <c r="AJ51" s="59"/>
      <c r="AK51" s="59"/>
      <c r="AL51" s="59"/>
      <c r="AM51" s="59"/>
      <c r="AN51" s="59"/>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c r="BU51" s="59"/>
      <c r="BV51" s="59"/>
      <c r="BW51" s="59"/>
      <c r="BX51" s="59"/>
      <c r="BY51" s="59"/>
      <c r="BZ51" s="59"/>
      <c r="CA51" s="59"/>
      <c r="CB51" s="59"/>
      <c r="CC51" s="59"/>
      <c r="CD51" s="59"/>
      <c r="CE51" s="59"/>
      <c r="CF51" s="59"/>
      <c r="CG51" s="59"/>
      <c r="CH51" s="59"/>
      <c r="CI51" s="59"/>
      <c r="CJ51" s="59"/>
      <c r="CK51" s="59"/>
      <c r="CL51" s="59"/>
      <c r="CM51" s="59"/>
      <c r="CN51" s="59"/>
      <c r="CO51" s="59"/>
      <c r="CP51" s="59"/>
      <c r="CQ51" s="59"/>
      <c r="CR51" s="59"/>
      <c r="CS51" s="59"/>
      <c r="CT51" s="59"/>
      <c r="CU51" s="59"/>
      <c r="CV51" s="59"/>
      <c r="CW51" s="59"/>
      <c r="CX51" s="59"/>
      <c r="CY51" s="59"/>
      <c r="CZ51" s="59"/>
      <c r="DA51" s="59"/>
      <c r="DB51" s="59"/>
      <c r="DC51" s="59"/>
      <c r="DD51" s="59"/>
      <c r="DE51" s="59"/>
      <c r="DF51" s="59"/>
      <c r="DG51" s="59"/>
      <c r="DH51" s="59"/>
      <c r="DI51" s="59"/>
      <c r="DJ51" s="59"/>
      <c r="DK51" s="59"/>
      <c r="DL51" s="59"/>
      <c r="DM51" s="59"/>
      <c r="DN51" s="59"/>
      <c r="DO51" s="59"/>
      <c r="DP51" s="59"/>
      <c r="DQ51" s="59"/>
      <c r="DR51" s="59"/>
      <c r="DS51" s="59"/>
      <c r="DT51" s="59"/>
      <c r="DU51" s="59"/>
      <c r="DV51" s="59"/>
      <c r="DW51" s="59"/>
      <c r="DX51" s="59"/>
      <c r="DY51" s="59"/>
      <c r="DZ51" s="59"/>
      <c r="EA51" s="59"/>
      <c r="EB51" s="59"/>
      <c r="EC51" s="59"/>
      <c r="ED51" s="59"/>
      <c r="EE51" s="59"/>
      <c r="EF51" s="59"/>
      <c r="EG51" s="59"/>
      <c r="EH51" s="59"/>
      <c r="EI51" s="59"/>
      <c r="EJ51" s="59"/>
      <c r="EK51" s="59"/>
      <c r="EL51" s="59"/>
      <c r="EM51" s="59"/>
      <c r="EN51" s="59"/>
      <c r="EO51" s="59"/>
      <c r="EP51" s="59"/>
      <c r="EQ51" s="59"/>
      <c r="ER51" s="59"/>
      <c r="ES51" s="59"/>
      <c r="ET51" s="59"/>
      <c r="EU51" s="59"/>
      <c r="EV51" s="59"/>
      <c r="EW51" s="59"/>
      <c r="EX51" s="59"/>
      <c r="EY51" s="59"/>
      <c r="EZ51" s="59"/>
      <c r="FA51" s="59"/>
      <c r="FB51" s="59"/>
      <c r="FC51" s="59"/>
      <c r="FD51" s="59"/>
      <c r="FE51" s="59"/>
      <c r="FF51" s="59"/>
      <c r="FG51" s="59"/>
      <c r="FH51" s="59"/>
      <c r="FI51" s="59"/>
      <c r="FJ51" s="59"/>
      <c r="FK51" s="59"/>
      <c r="FL51" s="59"/>
      <c r="FM51" s="59"/>
      <c r="FN51" s="59"/>
      <c r="FO51" s="59"/>
      <c r="FP51" s="59"/>
      <c r="FQ51" s="59"/>
      <c r="FR51" s="59"/>
      <c r="FS51" s="59"/>
      <c r="FT51" s="59"/>
      <c r="FU51" s="59"/>
      <c r="FV51" s="59"/>
      <c r="FW51" s="59"/>
      <c r="FX51" s="59"/>
      <c r="FY51" s="59"/>
      <c r="FZ51" s="59"/>
      <c r="GA51" s="59"/>
      <c r="GB51" s="59"/>
      <c r="GC51" s="59"/>
      <c r="GD51" s="59"/>
      <c r="GE51" s="59"/>
      <c r="GF51" s="59"/>
      <c r="GG51" s="59"/>
      <c r="GH51" s="59"/>
      <c r="GI51" s="59"/>
      <c r="GJ51" s="59"/>
      <c r="GK51" s="59"/>
      <c r="GL51" s="59"/>
      <c r="GM51" s="59"/>
      <c r="GN51" s="59"/>
    </row>
    <row r="52" spans="1:196" x14ac:dyDescent="0.3">
      <c r="A52" s="59"/>
      <c r="B52" s="59"/>
      <c r="C52" s="59"/>
      <c r="D52" s="59"/>
      <c r="E52" s="59"/>
      <c r="F52" s="59"/>
      <c r="G52" s="59"/>
      <c r="H52" s="59"/>
      <c r="I52" s="59"/>
      <c r="J52" s="59"/>
      <c r="K52" s="59"/>
      <c r="L52" s="59"/>
      <c r="M52" s="59"/>
      <c r="N52" s="59"/>
      <c r="O52" s="59"/>
      <c r="P52" s="59"/>
      <c r="Q52" s="59"/>
      <c r="R52" s="59"/>
      <c r="S52" s="59"/>
      <c r="T52" s="59"/>
      <c r="U52" s="59"/>
      <c r="V52" s="59"/>
      <c r="W52" s="59"/>
      <c r="X52" s="59"/>
      <c r="Y52" s="59"/>
      <c r="Z52" s="59"/>
      <c r="AA52" s="59"/>
      <c r="AB52" s="59"/>
      <c r="AC52" s="59"/>
      <c r="AD52" s="59"/>
      <c r="AE52" s="59"/>
      <c r="AF52" s="59"/>
      <c r="AG52" s="59"/>
      <c r="AH52" s="59"/>
      <c r="AI52" s="59"/>
      <c r="AJ52" s="59"/>
      <c r="AK52" s="59"/>
      <c r="AL52" s="59"/>
      <c r="AM52" s="59"/>
      <c r="AN52" s="59"/>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c r="BU52" s="59"/>
      <c r="BV52" s="59"/>
      <c r="BW52" s="59"/>
      <c r="BX52" s="59"/>
      <c r="BY52" s="59"/>
      <c r="BZ52" s="59"/>
      <c r="CA52" s="59"/>
      <c r="CB52" s="59"/>
      <c r="CC52" s="59"/>
      <c r="CD52" s="59"/>
      <c r="CE52" s="59"/>
      <c r="CF52" s="59"/>
      <c r="CG52" s="59"/>
      <c r="CH52" s="59"/>
      <c r="CI52" s="59"/>
      <c r="CJ52" s="59"/>
      <c r="CK52" s="59"/>
      <c r="CL52" s="59"/>
      <c r="CM52" s="59"/>
      <c r="CN52" s="59"/>
      <c r="CO52" s="59"/>
      <c r="CP52" s="59"/>
      <c r="CQ52" s="59"/>
      <c r="CR52" s="59"/>
      <c r="CS52" s="59"/>
      <c r="CT52" s="59"/>
      <c r="CU52" s="59"/>
      <c r="CV52" s="59"/>
      <c r="CW52" s="59"/>
      <c r="CX52" s="59"/>
      <c r="CY52" s="59"/>
      <c r="CZ52" s="59"/>
      <c r="DA52" s="59"/>
      <c r="DB52" s="59"/>
      <c r="DC52" s="59"/>
      <c r="DD52" s="59"/>
      <c r="DE52" s="59"/>
      <c r="DF52" s="59"/>
      <c r="DG52" s="59"/>
      <c r="DH52" s="59"/>
      <c r="DI52" s="59"/>
      <c r="DJ52" s="59"/>
      <c r="DK52" s="59"/>
      <c r="DL52" s="59"/>
      <c r="DM52" s="59"/>
      <c r="DN52" s="59"/>
      <c r="DO52" s="59"/>
      <c r="DP52" s="59"/>
      <c r="DQ52" s="59"/>
      <c r="DR52" s="59"/>
      <c r="DS52" s="59"/>
      <c r="DT52" s="59"/>
      <c r="DU52" s="59"/>
      <c r="DV52" s="59"/>
      <c r="DW52" s="59"/>
      <c r="DX52" s="59"/>
      <c r="DY52" s="59"/>
      <c r="DZ52" s="59"/>
      <c r="EA52" s="59"/>
      <c r="EB52" s="59"/>
      <c r="EC52" s="59"/>
      <c r="ED52" s="59"/>
      <c r="EE52" s="59"/>
      <c r="EF52" s="59"/>
      <c r="EG52" s="59"/>
      <c r="EH52" s="59"/>
      <c r="EI52" s="59"/>
      <c r="EJ52" s="59"/>
      <c r="EK52" s="59"/>
      <c r="EL52" s="59"/>
      <c r="EM52" s="59"/>
      <c r="EN52" s="59"/>
      <c r="EO52" s="59"/>
      <c r="EP52" s="59"/>
      <c r="EQ52" s="59"/>
      <c r="ER52" s="59"/>
      <c r="ES52" s="59"/>
      <c r="ET52" s="59"/>
      <c r="EU52" s="59"/>
      <c r="EV52" s="59"/>
      <c r="EW52" s="59"/>
      <c r="EX52" s="59"/>
      <c r="EY52" s="59"/>
      <c r="EZ52" s="59"/>
      <c r="FA52" s="59"/>
      <c r="FB52" s="59"/>
      <c r="FC52" s="59"/>
      <c r="FD52" s="59"/>
      <c r="FE52" s="59"/>
      <c r="FF52" s="59"/>
      <c r="FG52" s="59"/>
      <c r="FH52" s="59"/>
      <c r="FI52" s="59"/>
      <c r="FJ52" s="59"/>
      <c r="FK52" s="59"/>
      <c r="FL52" s="59"/>
      <c r="FM52" s="59"/>
      <c r="FN52" s="59"/>
      <c r="FO52" s="59"/>
      <c r="FP52" s="59"/>
      <c r="FQ52" s="59"/>
      <c r="FR52" s="59"/>
      <c r="FS52" s="59"/>
      <c r="FT52" s="59"/>
      <c r="FU52" s="59"/>
      <c r="FV52" s="59"/>
      <c r="FW52" s="59"/>
      <c r="FX52" s="59"/>
      <c r="FY52" s="59"/>
      <c r="FZ52" s="59"/>
      <c r="GA52" s="59"/>
      <c r="GB52" s="59"/>
      <c r="GC52" s="59"/>
      <c r="GD52" s="59"/>
      <c r="GE52" s="59"/>
      <c r="GF52" s="59"/>
      <c r="GG52" s="59"/>
      <c r="GH52" s="59"/>
      <c r="GI52" s="59"/>
      <c r="GJ52" s="59"/>
      <c r="GK52" s="59"/>
      <c r="GL52" s="59"/>
      <c r="GM52" s="59"/>
      <c r="GN52" s="59"/>
    </row>
    <row r="53" spans="1:196" x14ac:dyDescent="0.3">
      <c r="A53" s="59"/>
      <c r="B53" s="59"/>
      <c r="C53" s="59"/>
      <c r="D53" s="59"/>
      <c r="E53" s="59"/>
      <c r="F53" s="59"/>
      <c r="G53" s="59"/>
      <c r="H53" s="59"/>
      <c r="I53" s="59"/>
      <c r="J53" s="59"/>
      <c r="K53" s="59"/>
      <c r="L53" s="59"/>
      <c r="M53" s="59"/>
      <c r="N53" s="59"/>
      <c r="O53" s="59"/>
      <c r="P53" s="59"/>
      <c r="Q53" s="59"/>
      <c r="R53" s="59"/>
      <c r="S53" s="59"/>
      <c r="T53" s="59"/>
      <c r="U53" s="59"/>
      <c r="V53" s="59"/>
      <c r="W53" s="59"/>
      <c r="X53" s="59"/>
      <c r="Y53" s="59"/>
      <c r="Z53" s="59"/>
      <c r="AA53" s="59"/>
      <c r="AB53" s="59"/>
      <c r="AC53" s="59"/>
      <c r="AD53" s="59"/>
      <c r="AE53" s="59"/>
      <c r="AF53" s="59"/>
      <c r="AG53" s="59"/>
      <c r="AH53" s="59"/>
      <c r="AI53" s="59"/>
      <c r="AJ53" s="59"/>
      <c r="AK53" s="59"/>
      <c r="AL53" s="59"/>
      <c r="AM53" s="59"/>
      <c r="AN53" s="59"/>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c r="BU53" s="59"/>
      <c r="BV53" s="59"/>
      <c r="BW53" s="59"/>
      <c r="BX53" s="59"/>
      <c r="BY53" s="59"/>
      <c r="BZ53" s="59"/>
      <c r="CA53" s="59"/>
      <c r="CB53" s="59"/>
      <c r="CC53" s="59"/>
      <c r="CD53" s="59"/>
      <c r="CE53" s="59"/>
      <c r="CF53" s="59"/>
      <c r="CG53" s="59"/>
      <c r="CH53" s="59"/>
      <c r="CI53" s="59"/>
      <c r="CJ53" s="59"/>
      <c r="CK53" s="59"/>
      <c r="CL53" s="59"/>
      <c r="CM53" s="59"/>
      <c r="CN53" s="59"/>
      <c r="CO53" s="59"/>
      <c r="CP53" s="59"/>
      <c r="CQ53" s="59"/>
      <c r="CR53" s="59"/>
      <c r="CS53" s="59"/>
      <c r="CT53" s="59"/>
      <c r="CU53" s="59"/>
      <c r="CV53" s="59"/>
      <c r="CW53" s="59"/>
      <c r="CX53" s="59"/>
      <c r="CY53" s="59"/>
      <c r="CZ53" s="59"/>
      <c r="DA53" s="59"/>
      <c r="DB53" s="59"/>
      <c r="DC53" s="59"/>
      <c r="DD53" s="59"/>
      <c r="DE53" s="59"/>
      <c r="DF53" s="59"/>
      <c r="DG53" s="59"/>
      <c r="DH53" s="59"/>
      <c r="DI53" s="59"/>
      <c r="DJ53" s="59"/>
      <c r="DK53" s="59"/>
      <c r="DL53" s="59"/>
      <c r="DM53" s="59"/>
      <c r="DN53" s="59"/>
      <c r="DO53" s="59"/>
      <c r="DP53" s="59"/>
      <c r="DQ53" s="59"/>
      <c r="DR53" s="59"/>
      <c r="DS53" s="59"/>
      <c r="DT53" s="59"/>
      <c r="DU53" s="59"/>
      <c r="DV53" s="59"/>
      <c r="DW53" s="59"/>
      <c r="DX53" s="59"/>
      <c r="DY53" s="59"/>
      <c r="DZ53" s="59"/>
      <c r="EA53" s="59"/>
      <c r="EB53" s="59"/>
      <c r="EC53" s="59"/>
      <c r="ED53" s="59"/>
      <c r="EE53" s="59"/>
      <c r="EF53" s="59"/>
      <c r="EG53" s="59"/>
      <c r="EH53" s="59"/>
      <c r="EI53" s="59"/>
      <c r="EJ53" s="59"/>
      <c r="EK53" s="59"/>
      <c r="EL53" s="59"/>
      <c r="EM53" s="59"/>
      <c r="EN53" s="59"/>
      <c r="EO53" s="59"/>
      <c r="EP53" s="59"/>
      <c r="EQ53" s="59"/>
      <c r="ER53" s="59"/>
      <c r="ES53" s="59"/>
      <c r="ET53" s="59"/>
      <c r="EU53" s="59"/>
      <c r="EV53" s="59"/>
      <c r="EW53" s="59"/>
      <c r="EX53" s="59"/>
      <c r="EY53" s="59"/>
      <c r="EZ53" s="59"/>
      <c r="FA53" s="59"/>
      <c r="FB53" s="59"/>
      <c r="FC53" s="59"/>
      <c r="FD53" s="59"/>
      <c r="FE53" s="59"/>
      <c r="FF53" s="59"/>
      <c r="FG53" s="59"/>
      <c r="FH53" s="59"/>
      <c r="FI53" s="59"/>
      <c r="FJ53" s="59"/>
      <c r="FK53" s="59"/>
      <c r="FL53" s="59"/>
      <c r="FM53" s="59"/>
      <c r="FN53" s="59"/>
      <c r="FO53" s="59"/>
      <c r="FP53" s="59"/>
      <c r="FQ53" s="59"/>
      <c r="FR53" s="59"/>
      <c r="FS53" s="59"/>
      <c r="FT53" s="59"/>
      <c r="FU53" s="59"/>
      <c r="FV53" s="59"/>
      <c r="FW53" s="59"/>
      <c r="FX53" s="59"/>
      <c r="FY53" s="59"/>
      <c r="FZ53" s="59"/>
      <c r="GA53" s="59"/>
      <c r="GB53" s="59"/>
      <c r="GC53" s="59"/>
      <c r="GD53" s="59"/>
      <c r="GE53" s="59"/>
      <c r="GF53" s="59"/>
      <c r="GG53" s="59"/>
      <c r="GH53" s="59"/>
      <c r="GI53" s="59"/>
      <c r="GJ53" s="59"/>
      <c r="GK53" s="59"/>
      <c r="GL53" s="59"/>
      <c r="GM53" s="59"/>
      <c r="GN53" s="59"/>
    </row>
    <row r="54" spans="1:196" x14ac:dyDescent="0.3">
      <c r="A54" s="59"/>
      <c r="B54" s="59"/>
      <c r="C54" s="59"/>
      <c r="D54" s="59"/>
      <c r="E54" s="59"/>
      <c r="F54" s="59"/>
      <c r="G54" s="59"/>
      <c r="H54" s="59"/>
      <c r="I54" s="59"/>
      <c r="J54" s="59"/>
      <c r="K54" s="59"/>
      <c r="L54" s="59"/>
      <c r="M54" s="59"/>
      <c r="N54" s="59"/>
      <c r="O54" s="59"/>
      <c r="P54" s="59"/>
      <c r="Q54" s="59"/>
      <c r="R54" s="59"/>
      <c r="S54" s="59"/>
      <c r="T54" s="59"/>
      <c r="U54" s="59"/>
      <c r="V54" s="59"/>
      <c r="W54" s="59"/>
      <c r="X54" s="59"/>
      <c r="Y54" s="59"/>
      <c r="Z54" s="59"/>
      <c r="AA54" s="59"/>
      <c r="AB54" s="59"/>
      <c r="AC54" s="59"/>
      <c r="AD54" s="59"/>
      <c r="AE54" s="59"/>
      <c r="AF54" s="59"/>
      <c r="AG54" s="59"/>
      <c r="AH54" s="59"/>
      <c r="AI54" s="59"/>
      <c r="AJ54" s="59"/>
      <c r="AK54" s="59"/>
      <c r="AL54" s="59"/>
      <c r="AM54" s="59"/>
      <c r="AN54" s="59"/>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c r="BU54" s="59"/>
      <c r="BV54" s="59"/>
      <c r="BW54" s="59"/>
      <c r="BX54" s="59"/>
      <c r="BY54" s="59"/>
      <c r="BZ54" s="59"/>
      <c r="CA54" s="59"/>
      <c r="CB54" s="59"/>
      <c r="CC54" s="59"/>
      <c r="CD54" s="59"/>
      <c r="CE54" s="59"/>
      <c r="CF54" s="59"/>
      <c r="CG54" s="59"/>
      <c r="CH54" s="59"/>
      <c r="CI54" s="59"/>
      <c r="CJ54" s="59"/>
      <c r="CK54" s="59"/>
      <c r="CL54" s="59"/>
      <c r="CM54" s="59"/>
      <c r="CN54" s="59"/>
      <c r="CO54" s="59"/>
      <c r="CP54" s="59"/>
      <c r="CQ54" s="59"/>
      <c r="CR54" s="59"/>
      <c r="CS54" s="59"/>
      <c r="CT54" s="59"/>
      <c r="CU54" s="59"/>
      <c r="CV54" s="59"/>
      <c r="CW54" s="59"/>
      <c r="CX54" s="59"/>
      <c r="CY54" s="59"/>
      <c r="CZ54" s="59"/>
      <c r="DA54" s="59"/>
      <c r="DB54" s="59"/>
      <c r="DC54" s="59"/>
      <c r="DD54" s="59"/>
      <c r="DE54" s="59"/>
      <c r="DF54" s="59"/>
      <c r="DG54" s="59"/>
      <c r="DH54" s="59"/>
      <c r="DI54" s="59"/>
      <c r="DJ54" s="59"/>
      <c r="DK54" s="59"/>
      <c r="DL54" s="59"/>
      <c r="DM54" s="59"/>
      <c r="DN54" s="59"/>
      <c r="DO54" s="59"/>
      <c r="DP54" s="59"/>
      <c r="DQ54" s="59"/>
      <c r="DR54" s="59"/>
      <c r="DS54" s="59"/>
      <c r="DT54" s="59"/>
      <c r="DU54" s="59"/>
      <c r="DV54" s="59"/>
      <c r="DW54" s="59"/>
      <c r="DX54" s="59"/>
      <c r="DY54" s="59"/>
      <c r="DZ54" s="59"/>
      <c r="EA54" s="59"/>
      <c r="EB54" s="59"/>
      <c r="EC54" s="59"/>
      <c r="ED54" s="59"/>
      <c r="EE54" s="59"/>
      <c r="EF54" s="59"/>
      <c r="EG54" s="59"/>
      <c r="EH54" s="59"/>
      <c r="EI54" s="59"/>
      <c r="EJ54" s="59"/>
      <c r="EK54" s="59"/>
      <c r="EL54" s="59"/>
      <c r="EM54" s="59"/>
      <c r="EN54" s="59"/>
      <c r="EO54" s="59"/>
      <c r="EP54" s="59"/>
      <c r="EQ54" s="59"/>
      <c r="ER54" s="59"/>
      <c r="ES54" s="59"/>
      <c r="ET54" s="59"/>
      <c r="EU54" s="59"/>
      <c r="EV54" s="59"/>
      <c r="EW54" s="59"/>
      <c r="EX54" s="59"/>
      <c r="EY54" s="59"/>
      <c r="EZ54" s="59"/>
      <c r="FA54" s="59"/>
      <c r="FB54" s="59"/>
      <c r="FC54" s="59"/>
      <c r="FD54" s="59"/>
      <c r="FE54" s="59"/>
      <c r="FF54" s="59"/>
      <c r="FG54" s="59"/>
      <c r="FH54" s="59"/>
      <c r="FI54" s="59"/>
      <c r="FJ54" s="59"/>
      <c r="FK54" s="59"/>
      <c r="FL54" s="59"/>
      <c r="FM54" s="59"/>
      <c r="FN54" s="59"/>
      <c r="FO54" s="59"/>
      <c r="FP54" s="59"/>
      <c r="FQ54" s="59"/>
      <c r="FR54" s="59"/>
      <c r="FS54" s="59"/>
      <c r="FT54" s="59"/>
      <c r="FU54" s="59"/>
      <c r="FV54" s="59"/>
      <c r="FW54" s="59"/>
      <c r="FX54" s="59"/>
      <c r="FY54" s="59"/>
      <c r="FZ54" s="59"/>
      <c r="GA54" s="59"/>
      <c r="GB54" s="59"/>
      <c r="GC54" s="59"/>
      <c r="GD54" s="59"/>
      <c r="GE54" s="59"/>
      <c r="GF54" s="59"/>
      <c r="GG54" s="59"/>
      <c r="GH54" s="59"/>
      <c r="GI54" s="59"/>
      <c r="GJ54" s="59"/>
      <c r="GK54" s="59"/>
      <c r="GL54" s="59"/>
      <c r="GM54" s="59"/>
      <c r="GN54" s="59"/>
    </row>
    <row r="55" spans="1:196" x14ac:dyDescent="0.3">
      <c r="A55" s="59"/>
      <c r="B55" s="59"/>
      <c r="C55" s="59"/>
      <c r="D55" s="59"/>
      <c r="E55" s="59"/>
      <c r="F55" s="59"/>
      <c r="G55" s="59"/>
      <c r="H55" s="59"/>
      <c r="I55" s="59"/>
      <c r="J55" s="59"/>
      <c r="K55" s="59"/>
      <c r="L55" s="59"/>
      <c r="M55" s="59"/>
      <c r="N55" s="59"/>
      <c r="O55" s="59"/>
      <c r="P55" s="59"/>
      <c r="Q55" s="59"/>
      <c r="R55" s="59"/>
      <c r="S55" s="59"/>
      <c r="T55" s="59"/>
      <c r="U55" s="59"/>
      <c r="V55" s="59"/>
      <c r="W55" s="59"/>
      <c r="X55" s="59"/>
      <c r="Y55" s="59"/>
      <c r="Z55" s="59"/>
      <c r="AA55" s="59"/>
      <c r="AB55" s="59"/>
      <c r="AC55" s="59"/>
      <c r="AD55" s="59"/>
      <c r="AE55" s="59"/>
      <c r="AF55" s="59"/>
      <c r="AG55" s="59"/>
      <c r="AH55" s="59"/>
      <c r="AI55" s="59"/>
      <c r="AJ55" s="59"/>
      <c r="AK55" s="59"/>
      <c r="AL55" s="59"/>
      <c r="AM55" s="59"/>
      <c r="AN55" s="59"/>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c r="BU55" s="59"/>
      <c r="BV55" s="59"/>
      <c r="BW55" s="59"/>
      <c r="BX55" s="59"/>
      <c r="BY55" s="59"/>
      <c r="BZ55" s="59"/>
      <c r="CA55" s="59"/>
      <c r="CB55" s="59"/>
      <c r="CC55" s="59"/>
      <c r="CD55" s="59"/>
      <c r="CE55" s="59"/>
      <c r="CF55" s="59"/>
      <c r="CG55" s="59"/>
      <c r="CH55" s="59"/>
      <c r="CI55" s="59"/>
      <c r="CJ55" s="59"/>
      <c r="CK55" s="59"/>
      <c r="CL55" s="59"/>
      <c r="CM55" s="59"/>
      <c r="CN55" s="59"/>
      <c r="CO55" s="59"/>
      <c r="CP55" s="59"/>
      <c r="CQ55" s="59"/>
      <c r="CR55" s="59"/>
      <c r="CS55" s="59"/>
      <c r="CT55" s="59"/>
      <c r="CU55" s="59"/>
      <c r="CV55" s="59"/>
      <c r="CW55" s="59"/>
      <c r="CX55" s="59"/>
      <c r="CY55" s="59"/>
      <c r="CZ55" s="59"/>
      <c r="DA55" s="59"/>
      <c r="DB55" s="59"/>
      <c r="DC55" s="59"/>
      <c r="DD55" s="59"/>
      <c r="DE55" s="59"/>
      <c r="DF55" s="59"/>
      <c r="DG55" s="59"/>
      <c r="DH55" s="59"/>
      <c r="DI55" s="59"/>
      <c r="DJ55" s="59"/>
      <c r="DK55" s="59"/>
      <c r="DL55" s="59"/>
      <c r="DM55" s="59"/>
      <c r="DN55" s="59"/>
      <c r="DO55" s="59"/>
      <c r="DP55" s="59"/>
      <c r="DQ55" s="59"/>
      <c r="DR55" s="59"/>
      <c r="DS55" s="59"/>
      <c r="DT55" s="59"/>
      <c r="DU55" s="59"/>
      <c r="DV55" s="59"/>
      <c r="DW55" s="59"/>
      <c r="DX55" s="59"/>
      <c r="DY55" s="59"/>
      <c r="DZ55" s="59"/>
      <c r="EA55" s="59"/>
      <c r="EB55" s="59"/>
      <c r="EC55" s="59"/>
      <c r="ED55" s="59"/>
      <c r="EE55" s="59"/>
      <c r="EF55" s="59"/>
      <c r="EG55" s="59"/>
      <c r="EH55" s="59"/>
      <c r="EI55" s="59"/>
      <c r="EJ55" s="59"/>
      <c r="EK55" s="59"/>
      <c r="EL55" s="59"/>
      <c r="EM55" s="59"/>
      <c r="EN55" s="59"/>
      <c r="EO55" s="59"/>
      <c r="EP55" s="59"/>
      <c r="EQ55" s="59"/>
      <c r="ER55" s="59"/>
      <c r="ES55" s="59"/>
      <c r="ET55" s="59"/>
      <c r="EU55" s="59"/>
      <c r="EV55" s="59"/>
      <c r="EW55" s="59"/>
      <c r="EX55" s="59"/>
      <c r="EY55" s="59"/>
      <c r="EZ55" s="59"/>
      <c r="FA55" s="59"/>
      <c r="FB55" s="59"/>
      <c r="FC55" s="59"/>
      <c r="FD55" s="59"/>
      <c r="FE55" s="59"/>
      <c r="FF55" s="59"/>
      <c r="FG55" s="59"/>
      <c r="FH55" s="59"/>
      <c r="FI55" s="59"/>
      <c r="FJ55" s="59"/>
      <c r="FK55" s="59"/>
      <c r="FL55" s="59"/>
      <c r="FM55" s="59"/>
      <c r="FN55" s="59"/>
      <c r="FO55" s="59"/>
      <c r="FP55" s="59"/>
      <c r="FQ55" s="59"/>
      <c r="FR55" s="59"/>
      <c r="FS55" s="59"/>
      <c r="FT55" s="59"/>
      <c r="FU55" s="59"/>
      <c r="FV55" s="59"/>
      <c r="FW55" s="59"/>
      <c r="FX55" s="59"/>
      <c r="FY55" s="59"/>
      <c r="FZ55" s="59"/>
      <c r="GA55" s="59"/>
      <c r="GB55" s="59"/>
      <c r="GC55" s="59"/>
      <c r="GD55" s="59"/>
      <c r="GE55" s="59"/>
      <c r="GF55" s="59"/>
      <c r="GG55" s="59"/>
      <c r="GH55" s="59"/>
      <c r="GI55" s="59"/>
      <c r="GJ55" s="59"/>
      <c r="GK55" s="59"/>
      <c r="GL55" s="59"/>
      <c r="GM55" s="59"/>
      <c r="GN55" s="59"/>
    </row>
    <row r="56" spans="1:196" x14ac:dyDescent="0.3">
      <c r="A56" s="59"/>
      <c r="B56" s="59"/>
      <c r="C56" s="59"/>
      <c r="D56" s="59"/>
      <c r="E56" s="59"/>
      <c r="F56" s="59"/>
      <c r="G56" s="59"/>
      <c r="H56" s="59"/>
      <c r="I56" s="59"/>
      <c r="J56" s="59"/>
      <c r="K56" s="59"/>
      <c r="L56" s="59"/>
      <c r="M56" s="59"/>
      <c r="N56" s="59"/>
      <c r="O56" s="59"/>
      <c r="P56" s="59"/>
      <c r="Q56" s="59"/>
      <c r="R56" s="59"/>
      <c r="S56" s="59"/>
      <c r="T56" s="59"/>
      <c r="U56" s="59"/>
      <c r="V56" s="59"/>
      <c r="W56" s="59"/>
      <c r="X56" s="59"/>
      <c r="Y56" s="59"/>
      <c r="Z56" s="59"/>
      <c r="AA56" s="59"/>
      <c r="AB56" s="59"/>
      <c r="AC56" s="59"/>
      <c r="AD56" s="59"/>
      <c r="AE56" s="59"/>
      <c r="AF56" s="59"/>
      <c r="AG56" s="59"/>
      <c r="AH56" s="59"/>
      <c r="AI56" s="59"/>
      <c r="AJ56" s="59"/>
      <c r="AK56" s="59"/>
      <c r="AL56" s="59"/>
      <c r="AM56" s="59"/>
      <c r="AN56" s="59"/>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c r="BU56" s="59"/>
      <c r="BV56" s="59"/>
      <c r="BW56" s="59"/>
      <c r="BX56" s="59"/>
      <c r="BY56" s="59"/>
      <c r="BZ56" s="59"/>
      <c r="CA56" s="59"/>
      <c r="CB56" s="59"/>
      <c r="CC56" s="59"/>
      <c r="CD56" s="59"/>
      <c r="CE56" s="59"/>
      <c r="CF56" s="59"/>
      <c r="CG56" s="59"/>
      <c r="CH56" s="59"/>
      <c r="CI56" s="59"/>
      <c r="CJ56" s="59"/>
      <c r="CK56" s="59"/>
      <c r="CL56" s="59"/>
      <c r="CM56" s="59"/>
      <c r="CN56" s="59"/>
      <c r="CO56" s="59"/>
      <c r="CP56" s="59"/>
      <c r="CQ56" s="59"/>
      <c r="CR56" s="59"/>
      <c r="CS56" s="59"/>
      <c r="CT56" s="59"/>
      <c r="CU56" s="59"/>
      <c r="CV56" s="59"/>
      <c r="CW56" s="59"/>
      <c r="CX56" s="59"/>
      <c r="CY56" s="59"/>
      <c r="CZ56" s="59"/>
      <c r="DA56" s="59"/>
      <c r="DB56" s="59"/>
      <c r="DC56" s="59"/>
      <c r="DD56" s="59"/>
      <c r="DE56" s="59"/>
      <c r="DF56" s="59"/>
      <c r="DG56" s="59"/>
      <c r="DH56" s="59"/>
      <c r="DI56" s="59"/>
      <c r="DJ56" s="59"/>
      <c r="DK56" s="59"/>
      <c r="DL56" s="59"/>
      <c r="DM56" s="59"/>
      <c r="DN56" s="59"/>
      <c r="DO56" s="59"/>
      <c r="DP56" s="59"/>
      <c r="DQ56" s="59"/>
      <c r="DR56" s="59"/>
      <c r="DS56" s="59"/>
      <c r="DT56" s="59"/>
      <c r="DU56" s="59"/>
      <c r="DV56" s="59"/>
      <c r="DW56" s="59"/>
      <c r="DX56" s="59"/>
      <c r="DY56" s="59"/>
      <c r="DZ56" s="59"/>
      <c r="EA56" s="59"/>
      <c r="EB56" s="59"/>
      <c r="EC56" s="59"/>
      <c r="ED56" s="59"/>
      <c r="EE56" s="59"/>
      <c r="EF56" s="59"/>
      <c r="EG56" s="59"/>
      <c r="EH56" s="59"/>
      <c r="EI56" s="59"/>
      <c r="EJ56" s="59"/>
      <c r="EK56" s="59"/>
      <c r="EL56" s="59"/>
      <c r="EM56" s="59"/>
      <c r="EN56" s="59"/>
      <c r="EO56" s="59"/>
      <c r="EP56" s="59"/>
      <c r="EQ56" s="59"/>
      <c r="ER56" s="59"/>
      <c r="ES56" s="59"/>
      <c r="ET56" s="59"/>
      <c r="EU56" s="59"/>
      <c r="EV56" s="59"/>
      <c r="EW56" s="59"/>
      <c r="EX56" s="59"/>
      <c r="EY56" s="59"/>
      <c r="EZ56" s="59"/>
      <c r="FA56" s="59"/>
      <c r="FB56" s="59"/>
      <c r="FC56" s="59"/>
      <c r="FD56" s="59"/>
      <c r="FE56" s="59"/>
      <c r="FF56" s="59"/>
      <c r="FG56" s="59"/>
      <c r="FH56" s="59"/>
      <c r="FI56" s="59"/>
      <c r="FJ56" s="59"/>
      <c r="FK56" s="59"/>
      <c r="FL56" s="59"/>
      <c r="FM56" s="59"/>
      <c r="FN56" s="59"/>
      <c r="FO56" s="59"/>
      <c r="FP56" s="59"/>
      <c r="FQ56" s="59"/>
      <c r="FR56" s="59"/>
      <c r="FS56" s="59"/>
      <c r="FT56" s="59"/>
      <c r="FU56" s="59"/>
      <c r="FV56" s="59"/>
      <c r="FW56" s="59"/>
      <c r="FX56" s="59"/>
      <c r="FY56" s="59"/>
      <c r="FZ56" s="59"/>
      <c r="GA56" s="59"/>
      <c r="GB56" s="59"/>
      <c r="GC56" s="59"/>
      <c r="GD56" s="59"/>
      <c r="GE56" s="59"/>
      <c r="GF56" s="59"/>
      <c r="GG56" s="59"/>
      <c r="GH56" s="59"/>
      <c r="GI56" s="59"/>
      <c r="GJ56" s="59"/>
      <c r="GK56" s="59"/>
      <c r="GL56" s="59"/>
      <c r="GM56" s="59"/>
      <c r="GN56" s="59"/>
    </row>
    <row r="57" spans="1:196" x14ac:dyDescent="0.3">
      <c r="A57" s="59"/>
      <c r="B57" s="59"/>
      <c r="C57" s="59"/>
      <c r="D57" s="59"/>
      <c r="E57" s="59"/>
      <c r="F57" s="59"/>
      <c r="G57" s="59"/>
      <c r="H57" s="59"/>
      <c r="I57" s="59"/>
      <c r="J57" s="59"/>
      <c r="K57" s="59"/>
      <c r="L57" s="59"/>
      <c r="M57" s="59"/>
      <c r="N57" s="59"/>
      <c r="O57" s="59"/>
      <c r="P57" s="59"/>
      <c r="Q57" s="59"/>
      <c r="R57" s="59"/>
      <c r="S57" s="59"/>
      <c r="T57" s="59"/>
      <c r="U57" s="59"/>
      <c r="V57" s="59"/>
      <c r="W57" s="59"/>
      <c r="X57" s="59"/>
      <c r="Y57" s="59"/>
      <c r="Z57" s="59"/>
      <c r="AA57" s="59"/>
      <c r="AB57" s="59"/>
      <c r="AC57" s="59"/>
      <c r="AD57" s="59"/>
      <c r="AE57" s="59"/>
      <c r="AF57" s="59"/>
      <c r="AG57" s="59"/>
      <c r="AH57" s="59"/>
      <c r="AI57" s="59"/>
      <c r="AJ57" s="59"/>
      <c r="AK57" s="59"/>
      <c r="AL57" s="59"/>
      <c r="AM57" s="59"/>
      <c r="AN57" s="59"/>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c r="BU57" s="59"/>
      <c r="BV57" s="59"/>
      <c r="BW57" s="59"/>
      <c r="BX57" s="59"/>
      <c r="BY57" s="59"/>
      <c r="BZ57" s="59"/>
      <c r="CA57" s="59"/>
      <c r="CB57" s="59"/>
      <c r="CC57" s="59"/>
      <c r="CD57" s="59"/>
      <c r="CE57" s="59"/>
      <c r="CF57" s="59"/>
      <c r="CG57" s="59"/>
      <c r="CH57" s="59"/>
      <c r="CI57" s="59"/>
      <c r="CJ57" s="59"/>
      <c r="CK57" s="59"/>
      <c r="CL57" s="59"/>
      <c r="CM57" s="59"/>
      <c r="CN57" s="59"/>
      <c r="CO57" s="59"/>
      <c r="CP57" s="59"/>
      <c r="CQ57" s="59"/>
      <c r="CR57" s="59"/>
      <c r="CS57" s="59"/>
      <c r="CT57" s="59"/>
      <c r="CU57" s="59"/>
      <c r="CV57" s="59"/>
      <c r="CW57" s="59"/>
      <c r="CX57" s="59"/>
      <c r="CY57" s="59"/>
      <c r="CZ57" s="59"/>
      <c r="DA57" s="59"/>
      <c r="DB57" s="59"/>
      <c r="DC57" s="59"/>
      <c r="DD57" s="59"/>
      <c r="DE57" s="59"/>
      <c r="DF57" s="59"/>
      <c r="DG57" s="59"/>
      <c r="DH57" s="59"/>
      <c r="DI57" s="59"/>
      <c r="DJ57" s="59"/>
      <c r="DK57" s="59"/>
      <c r="DL57" s="59"/>
      <c r="DM57" s="59"/>
      <c r="DN57" s="59"/>
      <c r="DO57" s="59"/>
      <c r="DP57" s="59"/>
      <c r="DQ57" s="59"/>
      <c r="DR57" s="59"/>
      <c r="DS57" s="59"/>
      <c r="DT57" s="59"/>
      <c r="DU57" s="59"/>
      <c r="DV57" s="59"/>
      <c r="DW57" s="59"/>
      <c r="DX57" s="59"/>
      <c r="DY57" s="59"/>
      <c r="DZ57" s="59"/>
      <c r="EA57" s="59"/>
      <c r="EB57" s="59"/>
      <c r="EC57" s="59"/>
      <c r="ED57" s="59"/>
      <c r="EE57" s="59"/>
      <c r="EF57" s="59"/>
      <c r="EG57" s="59"/>
      <c r="EH57" s="59"/>
      <c r="EI57" s="59"/>
      <c r="EJ57" s="59"/>
      <c r="EK57" s="59"/>
      <c r="EL57" s="59"/>
      <c r="EM57" s="59"/>
      <c r="EN57" s="59"/>
      <c r="EO57" s="59"/>
      <c r="EP57" s="59"/>
      <c r="EQ57" s="59"/>
      <c r="ER57" s="59"/>
      <c r="ES57" s="59"/>
      <c r="ET57" s="59"/>
      <c r="EU57" s="59"/>
      <c r="EV57" s="59"/>
      <c r="EW57" s="59"/>
      <c r="EX57" s="59"/>
      <c r="EY57" s="59"/>
      <c r="EZ57" s="59"/>
      <c r="FA57" s="59"/>
      <c r="FB57" s="59"/>
      <c r="FC57" s="59"/>
      <c r="FD57" s="59"/>
      <c r="FE57" s="59"/>
      <c r="FF57" s="59"/>
      <c r="FG57" s="59"/>
      <c r="FH57" s="59"/>
      <c r="FI57" s="59"/>
      <c r="FJ57" s="59"/>
      <c r="FK57" s="59"/>
      <c r="FL57" s="59"/>
      <c r="FM57" s="59"/>
      <c r="FN57" s="59"/>
      <c r="FO57" s="59"/>
      <c r="FP57" s="59"/>
      <c r="FQ57" s="59"/>
      <c r="FR57" s="59"/>
      <c r="FS57" s="59"/>
      <c r="FT57" s="59"/>
      <c r="FU57" s="59"/>
      <c r="FV57" s="59"/>
      <c r="FW57" s="59"/>
      <c r="FX57" s="59"/>
      <c r="FY57" s="59"/>
      <c r="FZ57" s="59"/>
      <c r="GA57" s="59"/>
      <c r="GB57" s="59"/>
      <c r="GC57" s="59"/>
      <c r="GD57" s="59"/>
      <c r="GE57" s="59"/>
      <c r="GF57" s="59"/>
      <c r="GG57" s="59"/>
      <c r="GH57" s="59"/>
      <c r="GI57" s="59"/>
      <c r="GJ57" s="59"/>
      <c r="GK57" s="59"/>
      <c r="GL57" s="59"/>
      <c r="GM57" s="59"/>
      <c r="GN57" s="59"/>
    </row>
    <row r="58" spans="1:196" x14ac:dyDescent="0.3">
      <c r="A58" s="59"/>
      <c r="B58" s="59"/>
      <c r="C58" s="59"/>
      <c r="D58" s="59"/>
      <c r="E58" s="59"/>
      <c r="F58" s="59"/>
      <c r="G58" s="59"/>
      <c r="H58" s="59"/>
      <c r="I58" s="59"/>
      <c r="J58" s="59"/>
      <c r="K58" s="59"/>
      <c r="L58" s="59"/>
      <c r="M58" s="59"/>
      <c r="N58" s="59"/>
      <c r="O58" s="59"/>
      <c r="P58" s="59"/>
      <c r="Q58" s="59"/>
      <c r="R58" s="59"/>
      <c r="S58" s="59"/>
      <c r="T58" s="59"/>
      <c r="U58" s="59"/>
      <c r="V58" s="59"/>
      <c r="W58" s="59"/>
      <c r="X58" s="59"/>
      <c r="Y58" s="59"/>
      <c r="Z58" s="59"/>
      <c r="AA58" s="59"/>
      <c r="AB58" s="59"/>
      <c r="AC58" s="59"/>
      <c r="AD58" s="59"/>
      <c r="AE58" s="59"/>
      <c r="AF58" s="59"/>
      <c r="AG58" s="59"/>
      <c r="AH58" s="59"/>
      <c r="AI58" s="59"/>
      <c r="AJ58" s="59"/>
      <c r="AK58" s="59"/>
      <c r="AL58" s="59"/>
      <c r="AM58" s="59"/>
      <c r="AN58" s="59"/>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c r="BU58" s="59"/>
      <c r="BV58" s="59"/>
      <c r="BW58" s="59"/>
      <c r="BX58" s="59"/>
      <c r="BY58" s="59"/>
      <c r="BZ58" s="59"/>
      <c r="CA58" s="59"/>
      <c r="CB58" s="59"/>
      <c r="CC58" s="59"/>
      <c r="CD58" s="59"/>
      <c r="CE58" s="59"/>
      <c r="CF58" s="59"/>
      <c r="CG58" s="59"/>
      <c r="CH58" s="59"/>
      <c r="CI58" s="59"/>
      <c r="CJ58" s="59"/>
      <c r="CK58" s="59"/>
      <c r="CL58" s="59"/>
      <c r="CM58" s="59"/>
      <c r="CN58" s="59"/>
      <c r="CO58" s="59"/>
      <c r="CP58" s="59"/>
      <c r="CQ58" s="59"/>
      <c r="CR58" s="59"/>
      <c r="CS58" s="59"/>
      <c r="CT58" s="59"/>
      <c r="CU58" s="59"/>
      <c r="CV58" s="59"/>
      <c r="CW58" s="59"/>
      <c r="CX58" s="59"/>
      <c r="CY58" s="59"/>
      <c r="CZ58" s="59"/>
      <c r="DA58" s="59"/>
      <c r="DB58" s="59"/>
      <c r="DC58" s="59"/>
      <c r="DD58" s="59"/>
      <c r="DE58" s="59"/>
      <c r="DF58" s="59"/>
      <c r="DG58" s="59"/>
      <c r="DH58" s="59"/>
      <c r="DI58" s="59"/>
      <c r="DJ58" s="59"/>
      <c r="DK58" s="59"/>
      <c r="DL58" s="59"/>
      <c r="DM58" s="59"/>
      <c r="DN58" s="59"/>
      <c r="DO58" s="59"/>
      <c r="DP58" s="59"/>
      <c r="DQ58" s="59"/>
      <c r="DR58" s="59"/>
      <c r="DS58" s="59"/>
      <c r="DT58" s="59"/>
      <c r="DU58" s="59"/>
      <c r="DV58" s="59"/>
      <c r="DW58" s="59"/>
      <c r="DX58" s="59"/>
      <c r="DY58" s="59"/>
      <c r="DZ58" s="59"/>
      <c r="EA58" s="59"/>
      <c r="EB58" s="59"/>
      <c r="EC58" s="59"/>
      <c r="ED58" s="59"/>
      <c r="EE58" s="59"/>
      <c r="EF58" s="59"/>
      <c r="EG58" s="59"/>
      <c r="EH58" s="59"/>
      <c r="EI58" s="59"/>
      <c r="EJ58" s="59"/>
      <c r="EK58" s="59"/>
      <c r="EL58" s="59"/>
      <c r="EM58" s="59"/>
      <c r="EN58" s="59"/>
      <c r="EO58" s="59"/>
      <c r="EP58" s="59"/>
      <c r="EQ58" s="59"/>
      <c r="ER58" s="59"/>
      <c r="ES58" s="59"/>
      <c r="ET58" s="59"/>
      <c r="EU58" s="59"/>
      <c r="EV58" s="59"/>
      <c r="EW58" s="59"/>
      <c r="EX58" s="59"/>
      <c r="EY58" s="59"/>
      <c r="EZ58" s="59"/>
      <c r="FA58" s="59"/>
      <c r="FB58" s="59"/>
      <c r="FC58" s="59"/>
      <c r="FD58" s="59"/>
      <c r="FE58" s="59"/>
      <c r="FF58" s="59"/>
      <c r="FG58" s="59"/>
      <c r="FH58" s="59"/>
      <c r="FI58" s="59"/>
      <c r="FJ58" s="59"/>
      <c r="FK58" s="59"/>
      <c r="FL58" s="59"/>
      <c r="FM58" s="59"/>
      <c r="FN58" s="59"/>
      <c r="FO58" s="59"/>
      <c r="FP58" s="59"/>
      <c r="FQ58" s="59"/>
      <c r="FR58" s="59"/>
      <c r="FS58" s="59"/>
      <c r="FT58" s="59"/>
      <c r="FU58" s="59"/>
      <c r="FV58" s="59"/>
      <c r="FW58" s="59"/>
      <c r="FX58" s="59"/>
      <c r="FY58" s="59"/>
      <c r="FZ58" s="59"/>
      <c r="GA58" s="59"/>
      <c r="GB58" s="59"/>
      <c r="GC58" s="59"/>
      <c r="GD58" s="59"/>
      <c r="GE58" s="59"/>
      <c r="GF58" s="59"/>
      <c r="GG58" s="59"/>
      <c r="GH58" s="59"/>
      <c r="GI58" s="59"/>
      <c r="GJ58" s="59"/>
      <c r="GK58" s="59"/>
      <c r="GL58" s="59"/>
      <c r="GM58" s="59"/>
      <c r="GN58" s="59"/>
    </row>
    <row r="59" spans="1:196" x14ac:dyDescent="0.3">
      <c r="A59" s="59"/>
      <c r="B59" s="59"/>
      <c r="C59" s="59"/>
      <c r="D59" s="59"/>
      <c r="E59" s="59"/>
      <c r="F59" s="59"/>
      <c r="G59" s="59"/>
      <c r="H59" s="59"/>
      <c r="I59" s="59"/>
      <c r="J59" s="59"/>
      <c r="K59" s="59"/>
      <c r="L59" s="59"/>
      <c r="M59" s="59"/>
      <c r="N59" s="59"/>
      <c r="O59" s="59"/>
      <c r="P59" s="59"/>
      <c r="Q59" s="59"/>
      <c r="R59" s="59"/>
      <c r="S59" s="59"/>
      <c r="T59" s="59"/>
      <c r="U59" s="59"/>
      <c r="V59" s="59"/>
      <c r="W59" s="59"/>
      <c r="X59" s="59"/>
      <c r="Y59" s="59"/>
      <c r="Z59" s="59"/>
      <c r="AA59" s="59"/>
      <c r="AB59" s="59"/>
      <c r="AC59" s="59"/>
      <c r="AD59" s="59"/>
      <c r="AE59" s="59"/>
      <c r="AF59" s="59"/>
      <c r="AG59" s="59"/>
      <c r="AH59" s="59"/>
      <c r="AI59" s="59"/>
      <c r="AJ59" s="59"/>
      <c r="AK59" s="59"/>
      <c r="AL59" s="59"/>
      <c r="AM59" s="59"/>
      <c r="AN59" s="59"/>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c r="BU59" s="59"/>
      <c r="BV59" s="59"/>
      <c r="BW59" s="59"/>
      <c r="BX59" s="59"/>
      <c r="BY59" s="59"/>
      <c r="BZ59" s="59"/>
      <c r="CA59" s="59"/>
      <c r="CB59" s="59"/>
      <c r="CC59" s="59"/>
      <c r="CD59" s="59"/>
      <c r="CE59" s="59"/>
      <c r="CF59" s="59"/>
      <c r="CG59" s="59"/>
      <c r="CH59" s="59"/>
      <c r="CI59" s="59"/>
      <c r="CJ59" s="59"/>
      <c r="CK59" s="59"/>
      <c r="CL59" s="59"/>
      <c r="CM59" s="59"/>
      <c r="CN59" s="59"/>
      <c r="CO59" s="59"/>
      <c r="CP59" s="59"/>
      <c r="CQ59" s="59"/>
      <c r="CR59" s="59"/>
      <c r="CS59" s="59"/>
      <c r="CT59" s="59"/>
      <c r="CU59" s="59"/>
      <c r="CV59" s="59"/>
      <c r="CW59" s="59"/>
      <c r="CX59" s="59"/>
      <c r="CY59" s="59"/>
      <c r="CZ59" s="59"/>
      <c r="DA59" s="59"/>
      <c r="DB59" s="59"/>
      <c r="DC59" s="59"/>
      <c r="DD59" s="59"/>
      <c r="DE59" s="59"/>
      <c r="DF59" s="59"/>
      <c r="DG59" s="59"/>
      <c r="DH59" s="59"/>
      <c r="DI59" s="59"/>
      <c r="DJ59" s="59"/>
      <c r="DK59" s="59"/>
      <c r="DL59" s="59"/>
      <c r="DM59" s="59"/>
      <c r="DN59" s="59"/>
      <c r="DO59" s="59"/>
      <c r="DP59" s="59"/>
      <c r="DQ59" s="59"/>
      <c r="DR59" s="59"/>
      <c r="DS59" s="59"/>
      <c r="DT59" s="59"/>
      <c r="DU59" s="59"/>
      <c r="DV59" s="59"/>
      <c r="DW59" s="59"/>
      <c r="DX59" s="59"/>
      <c r="DY59" s="59"/>
      <c r="DZ59" s="59"/>
      <c r="EA59" s="59"/>
      <c r="EB59" s="59"/>
      <c r="EC59" s="59"/>
      <c r="ED59" s="59"/>
      <c r="EE59" s="59"/>
      <c r="EF59" s="59"/>
      <c r="EG59" s="59"/>
      <c r="EH59" s="59"/>
      <c r="EI59" s="59"/>
      <c r="EJ59" s="59"/>
      <c r="EK59" s="59"/>
      <c r="EL59" s="59"/>
      <c r="EM59" s="59"/>
      <c r="EN59" s="59"/>
      <c r="EO59" s="59"/>
      <c r="EP59" s="59"/>
      <c r="EQ59" s="59"/>
      <c r="ER59" s="59"/>
      <c r="ES59" s="59"/>
      <c r="ET59" s="59"/>
      <c r="EU59" s="59"/>
      <c r="EV59" s="59"/>
      <c r="EW59" s="59"/>
      <c r="EX59" s="59"/>
      <c r="EY59" s="59"/>
      <c r="EZ59" s="59"/>
      <c r="FA59" s="59"/>
      <c r="FB59" s="59"/>
      <c r="FC59" s="59"/>
      <c r="FD59" s="59"/>
      <c r="FE59" s="59"/>
      <c r="FF59" s="59"/>
      <c r="FG59" s="59"/>
      <c r="FH59" s="59"/>
      <c r="FI59" s="59"/>
      <c r="FJ59" s="59"/>
      <c r="FK59" s="59"/>
      <c r="FL59" s="59"/>
      <c r="FM59" s="59"/>
      <c r="FN59" s="59"/>
      <c r="FO59" s="59"/>
      <c r="FP59" s="59"/>
      <c r="FQ59" s="59"/>
      <c r="FR59" s="59"/>
      <c r="FS59" s="59"/>
      <c r="FT59" s="59"/>
      <c r="FU59" s="59"/>
      <c r="FV59" s="59"/>
      <c r="FW59" s="59"/>
      <c r="FX59" s="59"/>
      <c r="FY59" s="59"/>
      <c r="FZ59" s="59"/>
      <c r="GA59" s="59"/>
      <c r="GB59" s="59"/>
      <c r="GC59" s="59"/>
      <c r="GD59" s="59"/>
      <c r="GE59" s="59"/>
      <c r="GF59" s="59"/>
      <c r="GG59" s="59"/>
      <c r="GH59" s="59"/>
      <c r="GI59" s="59"/>
      <c r="GJ59" s="59"/>
      <c r="GK59" s="59"/>
      <c r="GL59" s="59"/>
      <c r="GM59" s="59"/>
      <c r="GN59" s="59"/>
    </row>
    <row r="60" spans="1:196" x14ac:dyDescent="0.3">
      <c r="A60" s="59"/>
      <c r="B60" s="59"/>
      <c r="C60" s="59"/>
      <c r="D60" s="59"/>
      <c r="E60" s="59"/>
      <c r="F60" s="59"/>
      <c r="G60" s="59"/>
      <c r="H60" s="59"/>
      <c r="I60" s="59"/>
      <c r="J60" s="59"/>
      <c r="K60" s="59"/>
      <c r="L60" s="59"/>
      <c r="M60" s="59"/>
      <c r="N60" s="59"/>
      <c r="O60" s="59"/>
      <c r="P60" s="59"/>
      <c r="Q60" s="59"/>
      <c r="R60" s="59"/>
      <c r="S60" s="59"/>
      <c r="T60" s="59"/>
      <c r="U60" s="59"/>
      <c r="V60" s="59"/>
      <c r="W60" s="59"/>
      <c r="X60" s="59"/>
      <c r="Y60" s="59"/>
      <c r="Z60" s="59"/>
      <c r="AA60" s="59"/>
      <c r="AB60" s="59"/>
      <c r="AC60" s="59"/>
      <c r="AD60" s="59"/>
      <c r="AE60" s="59"/>
      <c r="AF60" s="59"/>
      <c r="AG60" s="59"/>
      <c r="AH60" s="59"/>
      <c r="AI60" s="59"/>
      <c r="AJ60" s="59"/>
      <c r="AK60" s="59"/>
      <c r="AL60" s="59"/>
      <c r="AM60" s="59"/>
      <c r="AN60" s="59"/>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c r="BU60" s="59"/>
      <c r="BV60" s="59"/>
      <c r="BW60" s="59"/>
      <c r="BX60" s="59"/>
      <c r="BY60" s="59"/>
      <c r="BZ60" s="59"/>
      <c r="CA60" s="59"/>
      <c r="CB60" s="59"/>
      <c r="CC60" s="59"/>
      <c r="CD60" s="59"/>
      <c r="CE60" s="59"/>
      <c r="CF60" s="59"/>
      <c r="CG60" s="59"/>
      <c r="CH60" s="59"/>
      <c r="CI60" s="59"/>
      <c r="CJ60" s="59"/>
      <c r="CK60" s="59"/>
      <c r="CL60" s="59"/>
      <c r="CM60" s="59"/>
      <c r="CN60" s="59"/>
      <c r="CO60" s="59"/>
      <c r="CP60" s="59"/>
      <c r="CQ60" s="59"/>
      <c r="CR60" s="59"/>
      <c r="CS60" s="59"/>
      <c r="CT60" s="59"/>
      <c r="CU60" s="59"/>
      <c r="CV60" s="59"/>
      <c r="CW60" s="59"/>
      <c r="CX60" s="59"/>
      <c r="CY60" s="59"/>
      <c r="CZ60" s="59"/>
      <c r="DA60" s="59"/>
      <c r="DB60" s="59"/>
      <c r="DC60" s="59"/>
      <c r="DD60" s="59"/>
      <c r="DE60" s="59"/>
      <c r="DF60" s="59"/>
      <c r="DG60" s="59"/>
      <c r="DH60" s="59"/>
      <c r="DI60" s="59"/>
      <c r="DJ60" s="59"/>
      <c r="DK60" s="59"/>
      <c r="DL60" s="59"/>
      <c r="DM60" s="59"/>
      <c r="DN60" s="59"/>
      <c r="DO60" s="59"/>
      <c r="DP60" s="59"/>
      <c r="DQ60" s="59"/>
      <c r="DR60" s="59"/>
      <c r="DS60" s="59"/>
      <c r="DT60" s="59"/>
      <c r="DU60" s="59"/>
      <c r="DV60" s="59"/>
      <c r="DW60" s="59"/>
      <c r="DX60" s="59"/>
      <c r="DY60" s="59"/>
      <c r="DZ60" s="59"/>
      <c r="EA60" s="59"/>
      <c r="EB60" s="59"/>
      <c r="EC60" s="59"/>
      <c r="ED60" s="59"/>
      <c r="EE60" s="59"/>
      <c r="EF60" s="59"/>
      <c r="EG60" s="59"/>
      <c r="EH60" s="59"/>
      <c r="EI60" s="59"/>
      <c r="EJ60" s="59"/>
      <c r="EK60" s="59"/>
      <c r="EL60" s="59"/>
      <c r="EM60" s="59"/>
      <c r="EN60" s="59"/>
      <c r="EO60" s="59"/>
      <c r="EP60" s="59"/>
      <c r="EQ60" s="59"/>
      <c r="ER60" s="59"/>
      <c r="ES60" s="59"/>
      <c r="ET60" s="59"/>
      <c r="EU60" s="59"/>
      <c r="EV60" s="59"/>
      <c r="EW60" s="59"/>
      <c r="EX60" s="59"/>
      <c r="EY60" s="59"/>
      <c r="EZ60" s="59"/>
      <c r="FA60" s="59"/>
      <c r="FB60" s="59"/>
      <c r="FC60" s="59"/>
      <c r="FD60" s="59"/>
      <c r="FE60" s="59"/>
      <c r="FF60" s="59"/>
      <c r="FG60" s="59"/>
      <c r="FH60" s="59"/>
      <c r="FI60" s="59"/>
      <c r="FJ60" s="59"/>
      <c r="FK60" s="59"/>
      <c r="FL60" s="59"/>
      <c r="FM60" s="59"/>
      <c r="FN60" s="59"/>
      <c r="FO60" s="59"/>
      <c r="FP60" s="59"/>
      <c r="FQ60" s="59"/>
      <c r="FR60" s="59"/>
      <c r="FS60" s="59"/>
      <c r="FT60" s="59"/>
      <c r="FU60" s="59"/>
      <c r="FV60" s="59"/>
      <c r="FW60" s="59"/>
      <c r="FX60" s="59"/>
      <c r="FY60" s="59"/>
      <c r="FZ60" s="59"/>
      <c r="GA60" s="59"/>
      <c r="GB60" s="59"/>
      <c r="GC60" s="59"/>
      <c r="GD60" s="59"/>
      <c r="GE60" s="59"/>
      <c r="GF60" s="59"/>
      <c r="GG60" s="59"/>
      <c r="GH60" s="59"/>
      <c r="GI60" s="59"/>
      <c r="GJ60" s="59"/>
      <c r="GK60" s="59"/>
      <c r="GL60" s="59"/>
      <c r="GM60" s="59"/>
      <c r="GN60" s="59"/>
    </row>
    <row r="61" spans="1:196" x14ac:dyDescent="0.3">
      <c r="A61" s="59"/>
      <c r="B61" s="59"/>
      <c r="C61" s="59"/>
      <c r="D61" s="59"/>
      <c r="E61" s="59"/>
      <c r="F61" s="59"/>
      <c r="G61" s="59"/>
      <c r="H61" s="59"/>
      <c r="I61" s="59"/>
      <c r="J61" s="59"/>
      <c r="K61" s="59"/>
      <c r="L61" s="59"/>
      <c r="M61" s="59"/>
      <c r="N61" s="59"/>
      <c r="O61" s="59"/>
      <c r="P61" s="59"/>
      <c r="Q61" s="59"/>
      <c r="R61" s="59"/>
      <c r="S61" s="59"/>
      <c r="T61" s="59"/>
      <c r="U61" s="59"/>
      <c r="V61" s="59"/>
      <c r="W61" s="59"/>
      <c r="X61" s="59"/>
      <c r="Y61" s="59"/>
      <c r="Z61" s="59"/>
      <c r="AA61" s="59"/>
      <c r="AB61" s="59"/>
      <c r="AC61" s="59"/>
      <c r="AD61" s="59"/>
      <c r="AE61" s="59"/>
      <c r="AF61" s="59"/>
      <c r="AG61" s="59"/>
      <c r="AH61" s="59"/>
      <c r="AI61" s="59"/>
      <c r="AJ61" s="59"/>
      <c r="AK61" s="59"/>
      <c r="AL61" s="59"/>
      <c r="AM61" s="59"/>
      <c r="AN61" s="59"/>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c r="BU61" s="59"/>
      <c r="BV61" s="59"/>
      <c r="BW61" s="59"/>
      <c r="BX61" s="59"/>
      <c r="BY61" s="59"/>
      <c r="BZ61" s="59"/>
      <c r="CA61" s="59"/>
      <c r="CB61" s="59"/>
      <c r="CC61" s="59"/>
      <c r="CD61" s="59"/>
      <c r="CE61" s="59"/>
      <c r="CF61" s="59"/>
      <c r="CG61" s="59"/>
      <c r="CH61" s="59"/>
      <c r="CI61" s="59"/>
      <c r="CJ61" s="59"/>
      <c r="CK61" s="59"/>
      <c r="CL61" s="59"/>
      <c r="CM61" s="59"/>
      <c r="CN61" s="59"/>
      <c r="CO61" s="59"/>
      <c r="CP61" s="59"/>
      <c r="CQ61" s="59"/>
      <c r="CR61" s="59"/>
      <c r="CS61" s="59"/>
      <c r="CT61" s="59"/>
      <c r="CU61" s="59"/>
      <c r="CV61" s="59"/>
      <c r="CW61" s="59"/>
      <c r="CX61" s="59"/>
      <c r="CY61" s="59"/>
      <c r="CZ61" s="59"/>
      <c r="DA61" s="59"/>
      <c r="DB61" s="59"/>
      <c r="DC61" s="59"/>
      <c r="DD61" s="59"/>
      <c r="DE61" s="59"/>
      <c r="DF61" s="59"/>
      <c r="DG61" s="59"/>
      <c r="DH61" s="59"/>
      <c r="DI61" s="59"/>
      <c r="DJ61" s="59"/>
      <c r="DK61" s="59"/>
      <c r="DL61" s="59"/>
      <c r="DM61" s="59"/>
      <c r="DN61" s="59"/>
      <c r="DO61" s="59"/>
      <c r="DP61" s="59"/>
      <c r="DQ61" s="59"/>
      <c r="DR61" s="59"/>
      <c r="DS61" s="59"/>
      <c r="DT61" s="59"/>
      <c r="DU61" s="59"/>
      <c r="DV61" s="59"/>
      <c r="DW61" s="59"/>
      <c r="DX61" s="59"/>
      <c r="DY61" s="59"/>
      <c r="DZ61" s="59"/>
      <c r="EA61" s="59"/>
      <c r="EB61" s="59"/>
      <c r="EC61" s="59"/>
      <c r="ED61" s="59"/>
      <c r="EE61" s="59"/>
      <c r="EF61" s="59"/>
      <c r="EG61" s="59"/>
      <c r="EH61" s="59"/>
      <c r="EI61" s="59"/>
      <c r="EJ61" s="59"/>
      <c r="EK61" s="59"/>
      <c r="EL61" s="59"/>
      <c r="EM61" s="59"/>
      <c r="EN61" s="59"/>
      <c r="EO61" s="59"/>
      <c r="EP61" s="59"/>
      <c r="EQ61" s="59"/>
      <c r="ER61" s="59"/>
      <c r="ES61" s="59"/>
      <c r="ET61" s="59"/>
      <c r="EU61" s="59"/>
      <c r="EV61" s="59"/>
      <c r="EW61" s="59"/>
      <c r="EX61" s="59"/>
      <c r="EY61" s="59"/>
      <c r="EZ61" s="59"/>
      <c r="FA61" s="59"/>
      <c r="FB61" s="59"/>
      <c r="FC61" s="59"/>
      <c r="FD61" s="59"/>
      <c r="FE61" s="59"/>
      <c r="FF61" s="59"/>
      <c r="FG61" s="59"/>
      <c r="FH61" s="59"/>
      <c r="FI61" s="59"/>
      <c r="FJ61" s="59"/>
      <c r="FK61" s="59"/>
      <c r="FL61" s="59"/>
      <c r="FM61" s="59"/>
      <c r="FN61" s="59"/>
      <c r="FO61" s="59"/>
      <c r="FP61" s="59"/>
      <c r="FQ61" s="59"/>
      <c r="FR61" s="59"/>
      <c r="FS61" s="59"/>
      <c r="FT61" s="59"/>
      <c r="FU61" s="59"/>
      <c r="FV61" s="59"/>
      <c r="FW61" s="59"/>
      <c r="FX61" s="59"/>
      <c r="FY61" s="59"/>
      <c r="FZ61" s="59"/>
      <c r="GA61" s="59"/>
      <c r="GB61" s="59"/>
      <c r="GC61" s="59"/>
      <c r="GD61" s="59"/>
      <c r="GE61" s="59"/>
      <c r="GF61" s="59"/>
      <c r="GG61" s="59"/>
      <c r="GH61" s="59"/>
      <c r="GI61" s="59"/>
      <c r="GJ61" s="59"/>
      <c r="GK61" s="59"/>
      <c r="GL61" s="59"/>
      <c r="GM61" s="59"/>
      <c r="GN61" s="59"/>
    </row>
    <row r="62" spans="1:196" x14ac:dyDescent="0.3">
      <c r="A62" s="59"/>
      <c r="B62" s="59"/>
      <c r="C62" s="59"/>
      <c r="D62" s="59"/>
      <c r="E62" s="59"/>
      <c r="F62" s="59"/>
      <c r="G62" s="59"/>
      <c r="H62" s="59"/>
      <c r="I62" s="59"/>
      <c r="J62" s="59"/>
      <c r="K62" s="59"/>
      <c r="L62" s="59"/>
      <c r="M62" s="59"/>
      <c r="N62" s="59"/>
      <c r="O62" s="59"/>
      <c r="P62" s="59"/>
      <c r="Q62" s="59"/>
      <c r="R62" s="59"/>
      <c r="S62" s="59"/>
      <c r="T62" s="59"/>
      <c r="U62" s="59"/>
      <c r="V62" s="59"/>
      <c r="W62" s="59"/>
      <c r="X62" s="59"/>
      <c r="Y62" s="59"/>
      <c r="Z62" s="59"/>
      <c r="AA62" s="59"/>
      <c r="AB62" s="59"/>
      <c r="AC62" s="59"/>
      <c r="AD62" s="59"/>
      <c r="AE62" s="59"/>
      <c r="AF62" s="59"/>
      <c r="AG62" s="59"/>
      <c r="AH62" s="59"/>
      <c r="AI62" s="59"/>
      <c r="AJ62" s="59"/>
      <c r="AK62" s="59"/>
      <c r="AL62" s="59"/>
      <c r="AM62" s="59"/>
      <c r="AN62" s="59"/>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c r="BU62" s="59"/>
      <c r="BV62" s="59"/>
      <c r="BW62" s="59"/>
      <c r="BX62" s="59"/>
      <c r="BY62" s="59"/>
      <c r="BZ62" s="59"/>
      <c r="CA62" s="59"/>
      <c r="CB62" s="59"/>
      <c r="CC62" s="59"/>
      <c r="CD62" s="59"/>
      <c r="CE62" s="59"/>
      <c r="CF62" s="59"/>
      <c r="CG62" s="59"/>
      <c r="CH62" s="59"/>
      <c r="CI62" s="59"/>
      <c r="CJ62" s="59"/>
      <c r="CK62" s="59"/>
      <c r="CL62" s="59"/>
      <c r="CM62" s="59"/>
      <c r="CN62" s="59"/>
      <c r="CO62" s="59"/>
      <c r="CP62" s="59"/>
      <c r="CQ62" s="59"/>
      <c r="CR62" s="59"/>
      <c r="CS62" s="59"/>
      <c r="CT62" s="59"/>
      <c r="CU62" s="59"/>
      <c r="CV62" s="59"/>
      <c r="CW62" s="59"/>
      <c r="CX62" s="59"/>
      <c r="CY62" s="59"/>
      <c r="CZ62" s="59"/>
      <c r="DA62" s="59"/>
      <c r="DB62" s="59"/>
      <c r="DC62" s="59"/>
      <c r="DD62" s="59"/>
      <c r="DE62" s="59"/>
      <c r="DF62" s="59"/>
      <c r="DG62" s="59"/>
      <c r="DH62" s="59"/>
      <c r="DI62" s="59"/>
      <c r="DJ62" s="59"/>
      <c r="DK62" s="59"/>
      <c r="DL62" s="59"/>
      <c r="DM62" s="59"/>
      <c r="DN62" s="59"/>
      <c r="DO62" s="59"/>
      <c r="DP62" s="59"/>
      <c r="DQ62" s="59"/>
      <c r="DR62" s="59"/>
      <c r="DS62" s="59"/>
      <c r="DT62" s="59"/>
      <c r="DU62" s="59"/>
      <c r="DV62" s="59"/>
      <c r="DW62" s="59"/>
      <c r="DX62" s="59"/>
      <c r="DY62" s="59"/>
      <c r="DZ62" s="59"/>
      <c r="EA62" s="59"/>
      <c r="EB62" s="59"/>
      <c r="EC62" s="59"/>
      <c r="ED62" s="59"/>
      <c r="EE62" s="59"/>
      <c r="EF62" s="59"/>
      <c r="EG62" s="59"/>
      <c r="EH62" s="59"/>
      <c r="EI62" s="59"/>
      <c r="EJ62" s="59"/>
      <c r="EK62" s="59"/>
      <c r="EL62" s="59"/>
      <c r="EM62" s="59"/>
      <c r="EN62" s="59"/>
      <c r="EO62" s="59"/>
      <c r="EP62" s="59"/>
      <c r="EQ62" s="59"/>
      <c r="ER62" s="59"/>
      <c r="ES62" s="59"/>
      <c r="ET62" s="59"/>
      <c r="EU62" s="59"/>
      <c r="EV62" s="59"/>
      <c r="EW62" s="59"/>
      <c r="EX62" s="59"/>
      <c r="EY62" s="59"/>
      <c r="EZ62" s="59"/>
      <c r="FA62" s="59"/>
      <c r="FB62" s="59"/>
      <c r="FC62" s="59"/>
      <c r="FD62" s="59"/>
      <c r="FE62" s="59"/>
      <c r="FF62" s="59"/>
      <c r="FG62" s="59"/>
      <c r="FH62" s="59"/>
      <c r="FI62" s="59"/>
      <c r="FJ62" s="59"/>
      <c r="FK62" s="59"/>
      <c r="FL62" s="59"/>
      <c r="FM62" s="59"/>
      <c r="FN62" s="59"/>
      <c r="FO62" s="59"/>
      <c r="FP62" s="59"/>
      <c r="FQ62" s="59"/>
      <c r="FR62" s="59"/>
      <c r="FS62" s="59"/>
      <c r="FT62" s="59"/>
      <c r="FU62" s="59"/>
      <c r="FV62" s="59"/>
      <c r="FW62" s="59"/>
      <c r="FX62" s="59"/>
      <c r="FY62" s="59"/>
      <c r="FZ62" s="59"/>
      <c r="GA62" s="59"/>
      <c r="GB62" s="59"/>
      <c r="GC62" s="59"/>
      <c r="GD62" s="59"/>
      <c r="GE62" s="59"/>
      <c r="GF62" s="59"/>
      <c r="GG62" s="59"/>
      <c r="GH62" s="59"/>
      <c r="GI62" s="59"/>
      <c r="GJ62" s="59"/>
      <c r="GK62" s="59"/>
      <c r="GL62" s="59"/>
      <c r="GM62" s="59"/>
      <c r="GN62" s="59"/>
    </row>
    <row r="63" spans="1:196" x14ac:dyDescent="0.3">
      <c r="A63" s="59"/>
      <c r="B63" s="59"/>
      <c r="C63" s="59"/>
      <c r="D63" s="59"/>
      <c r="E63" s="59"/>
      <c r="F63" s="59"/>
      <c r="G63" s="59"/>
      <c r="H63" s="59"/>
      <c r="I63" s="59"/>
      <c r="J63" s="59"/>
      <c r="K63" s="59"/>
      <c r="L63" s="59"/>
      <c r="M63" s="59"/>
      <c r="N63" s="59"/>
      <c r="O63" s="59"/>
      <c r="P63" s="59"/>
      <c r="Q63" s="59"/>
      <c r="R63" s="59"/>
      <c r="S63" s="59"/>
      <c r="T63" s="59"/>
      <c r="U63" s="59"/>
      <c r="V63" s="59"/>
      <c r="W63" s="59"/>
      <c r="X63" s="59"/>
      <c r="Y63" s="59"/>
      <c r="Z63" s="59"/>
      <c r="AA63" s="59"/>
      <c r="AB63" s="59"/>
      <c r="AC63" s="59"/>
      <c r="AD63" s="59"/>
      <c r="AE63" s="59"/>
      <c r="AF63" s="59"/>
      <c r="AG63" s="59"/>
      <c r="AH63" s="59"/>
      <c r="AI63" s="59"/>
      <c r="AJ63" s="59"/>
      <c r="AK63" s="59"/>
      <c r="AL63" s="59"/>
      <c r="AM63" s="59"/>
      <c r="AN63" s="59"/>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c r="BU63" s="59"/>
      <c r="BV63" s="59"/>
      <c r="BW63" s="59"/>
      <c r="BX63" s="59"/>
      <c r="BY63" s="59"/>
      <c r="BZ63" s="59"/>
      <c r="CA63" s="59"/>
      <c r="CB63" s="59"/>
      <c r="CC63" s="59"/>
      <c r="CD63" s="59"/>
      <c r="CE63" s="59"/>
      <c r="CF63" s="59"/>
      <c r="CG63" s="59"/>
      <c r="CH63" s="59"/>
      <c r="CI63" s="59"/>
      <c r="CJ63" s="59"/>
      <c r="CK63" s="59"/>
      <c r="CL63" s="59"/>
      <c r="CM63" s="59"/>
      <c r="CN63" s="59"/>
      <c r="CO63" s="59"/>
      <c r="CP63" s="59"/>
      <c r="CQ63" s="59"/>
      <c r="CR63" s="59"/>
      <c r="CS63" s="59"/>
      <c r="CT63" s="59"/>
      <c r="CU63" s="59"/>
      <c r="CV63" s="59"/>
      <c r="CW63" s="59"/>
      <c r="CX63" s="59"/>
      <c r="CY63" s="59"/>
      <c r="CZ63" s="59"/>
      <c r="DA63" s="59"/>
      <c r="DB63" s="59"/>
      <c r="DC63" s="59"/>
      <c r="DD63" s="59"/>
      <c r="DE63" s="59"/>
      <c r="DF63" s="59"/>
      <c r="DG63" s="59"/>
      <c r="DH63" s="59"/>
      <c r="DI63" s="59"/>
      <c r="DJ63" s="59"/>
      <c r="DK63" s="59"/>
      <c r="DL63" s="59"/>
      <c r="DM63" s="59"/>
      <c r="DN63" s="59"/>
      <c r="DO63" s="59"/>
      <c r="DP63" s="59"/>
      <c r="DQ63" s="59"/>
      <c r="DR63" s="59"/>
      <c r="DS63" s="59"/>
      <c r="DT63" s="59"/>
      <c r="DU63" s="59"/>
      <c r="DV63" s="59"/>
      <c r="DW63" s="59"/>
      <c r="DX63" s="59"/>
      <c r="DY63" s="59"/>
      <c r="DZ63" s="59"/>
      <c r="EA63" s="59"/>
      <c r="EB63" s="59"/>
      <c r="EC63" s="59"/>
      <c r="ED63" s="59"/>
      <c r="EE63" s="59"/>
      <c r="EF63" s="59"/>
      <c r="EG63" s="59"/>
      <c r="EH63" s="59"/>
      <c r="EI63" s="59"/>
      <c r="EJ63" s="59"/>
      <c r="EK63" s="59"/>
      <c r="EL63" s="59"/>
      <c r="EM63" s="59"/>
      <c r="EN63" s="59"/>
      <c r="EO63" s="59"/>
      <c r="EP63" s="59"/>
      <c r="EQ63" s="59"/>
      <c r="ER63" s="59"/>
      <c r="ES63" s="59"/>
      <c r="ET63" s="59"/>
      <c r="EU63" s="59"/>
      <c r="EV63" s="59"/>
      <c r="EW63" s="59"/>
      <c r="EX63" s="59"/>
      <c r="EY63" s="59"/>
      <c r="EZ63" s="59"/>
      <c r="FA63" s="59"/>
      <c r="FB63" s="59"/>
      <c r="FC63" s="59"/>
      <c r="FD63" s="59"/>
      <c r="FE63" s="59"/>
      <c r="FF63" s="59"/>
      <c r="FG63" s="59"/>
      <c r="FH63" s="59"/>
      <c r="FI63" s="59"/>
      <c r="FJ63" s="59"/>
      <c r="FK63" s="59"/>
      <c r="FL63" s="59"/>
      <c r="FM63" s="59"/>
      <c r="FN63" s="59"/>
      <c r="FO63" s="59"/>
      <c r="FP63" s="59"/>
      <c r="FQ63" s="59"/>
      <c r="FR63" s="59"/>
      <c r="FS63" s="59"/>
      <c r="FT63" s="59"/>
      <c r="FU63" s="59"/>
      <c r="FV63" s="59"/>
      <c r="FW63" s="59"/>
      <c r="FX63" s="59"/>
      <c r="FY63" s="59"/>
      <c r="FZ63" s="59"/>
      <c r="GA63" s="59"/>
      <c r="GB63" s="59"/>
      <c r="GC63" s="59"/>
      <c r="GD63" s="59"/>
      <c r="GE63" s="59"/>
      <c r="GF63" s="59"/>
      <c r="GG63" s="59"/>
      <c r="GH63" s="59"/>
      <c r="GI63" s="59"/>
      <c r="GJ63" s="59"/>
      <c r="GK63" s="59"/>
      <c r="GL63" s="59"/>
      <c r="GM63" s="59"/>
      <c r="GN63" s="59"/>
    </row>
    <row r="64" spans="1:196" x14ac:dyDescent="0.3">
      <c r="A64" s="59"/>
      <c r="B64" s="59"/>
      <c r="C64" s="59"/>
      <c r="D64" s="59"/>
      <c r="E64" s="59"/>
      <c r="F64" s="59"/>
      <c r="G64" s="59"/>
      <c r="H64" s="59"/>
      <c r="I64" s="59"/>
      <c r="J64" s="59"/>
      <c r="K64" s="59"/>
      <c r="L64" s="59"/>
      <c r="M64" s="59"/>
      <c r="N64" s="59"/>
      <c r="O64" s="59"/>
      <c r="P64" s="59"/>
      <c r="Q64" s="59"/>
      <c r="R64" s="59"/>
      <c r="S64" s="59"/>
      <c r="T64" s="59"/>
      <c r="U64" s="59"/>
      <c r="V64" s="59"/>
      <c r="W64" s="59"/>
      <c r="X64" s="59"/>
      <c r="Y64" s="59"/>
      <c r="Z64" s="59"/>
      <c r="AA64" s="59"/>
      <c r="AB64" s="59"/>
      <c r="AC64" s="59"/>
      <c r="AD64" s="59"/>
      <c r="AE64" s="59"/>
      <c r="AF64" s="59"/>
      <c r="AG64" s="59"/>
      <c r="AH64" s="59"/>
      <c r="AI64" s="59"/>
      <c r="AJ64" s="59"/>
      <c r="AK64" s="59"/>
      <c r="AL64" s="59"/>
      <c r="AM64" s="59"/>
      <c r="AN64" s="59"/>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c r="BU64" s="59"/>
      <c r="BV64" s="59"/>
      <c r="BW64" s="59"/>
      <c r="BX64" s="59"/>
      <c r="BY64" s="59"/>
      <c r="BZ64" s="59"/>
      <c r="CA64" s="59"/>
      <c r="CB64" s="59"/>
      <c r="CC64" s="59"/>
      <c r="CD64" s="59"/>
      <c r="CE64" s="59"/>
      <c r="CF64" s="59"/>
      <c r="CG64" s="59"/>
      <c r="CH64" s="59"/>
      <c r="CI64" s="59"/>
      <c r="CJ64" s="59"/>
      <c r="CK64" s="59"/>
      <c r="CL64" s="59"/>
      <c r="CM64" s="59"/>
      <c r="CN64" s="59"/>
      <c r="CO64" s="59"/>
      <c r="CP64" s="59"/>
      <c r="CQ64" s="59"/>
      <c r="CR64" s="59"/>
      <c r="CS64" s="59"/>
      <c r="CT64" s="59"/>
      <c r="CU64" s="59"/>
      <c r="CV64" s="59"/>
      <c r="CW64" s="59"/>
      <c r="CX64" s="59"/>
      <c r="CY64" s="59"/>
      <c r="CZ64" s="59"/>
      <c r="DA64" s="59"/>
      <c r="DB64" s="59"/>
      <c r="DC64" s="59"/>
      <c r="DD64" s="59"/>
      <c r="DE64" s="59"/>
      <c r="DF64" s="59"/>
      <c r="DG64" s="59"/>
      <c r="DH64" s="59"/>
      <c r="DI64" s="59"/>
      <c r="DJ64" s="59"/>
      <c r="DK64" s="59"/>
      <c r="DL64" s="59"/>
      <c r="DM64" s="59"/>
      <c r="DN64" s="59"/>
      <c r="DO64" s="59"/>
      <c r="DP64" s="59"/>
      <c r="DQ64" s="59"/>
      <c r="DR64" s="59"/>
      <c r="DS64" s="59"/>
      <c r="DT64" s="59"/>
      <c r="DU64" s="59"/>
      <c r="DV64" s="59"/>
      <c r="DW64" s="59"/>
      <c r="DX64" s="59"/>
      <c r="DY64" s="59"/>
      <c r="DZ64" s="59"/>
      <c r="EA64" s="59"/>
      <c r="EB64" s="59"/>
      <c r="EC64" s="59"/>
      <c r="ED64" s="59"/>
      <c r="EE64" s="59"/>
      <c r="EF64" s="59"/>
      <c r="EG64" s="59"/>
      <c r="EH64" s="59"/>
      <c r="EI64" s="59"/>
      <c r="EJ64" s="59"/>
      <c r="EK64" s="59"/>
      <c r="EL64" s="59"/>
      <c r="EM64" s="59"/>
      <c r="EN64" s="59"/>
      <c r="EO64" s="59"/>
      <c r="EP64" s="59"/>
      <c r="EQ64" s="59"/>
      <c r="ER64" s="59"/>
      <c r="ES64" s="59"/>
      <c r="ET64" s="59"/>
      <c r="EU64" s="59"/>
      <c r="EV64" s="59"/>
      <c r="EW64" s="59"/>
      <c r="EX64" s="59"/>
      <c r="EY64" s="59"/>
      <c r="EZ64" s="59"/>
      <c r="FA64" s="59"/>
      <c r="FB64" s="59"/>
      <c r="FC64" s="59"/>
      <c r="FD64" s="59"/>
      <c r="FE64" s="59"/>
      <c r="FF64" s="59"/>
      <c r="FG64" s="59"/>
      <c r="FH64" s="59"/>
      <c r="FI64" s="59"/>
      <c r="FJ64" s="59"/>
      <c r="FK64" s="59"/>
      <c r="FL64" s="59"/>
      <c r="FM64" s="59"/>
      <c r="FN64" s="59"/>
      <c r="FO64" s="59"/>
      <c r="FP64" s="59"/>
      <c r="FQ64" s="59"/>
      <c r="FR64" s="59"/>
      <c r="FS64" s="59"/>
      <c r="FT64" s="59"/>
      <c r="FU64" s="59"/>
      <c r="FV64" s="59"/>
      <c r="FW64" s="59"/>
      <c r="FX64" s="59"/>
      <c r="FY64" s="59"/>
      <c r="FZ64" s="59"/>
      <c r="GA64" s="59"/>
      <c r="GB64" s="59"/>
      <c r="GC64" s="59"/>
      <c r="GD64" s="59"/>
      <c r="GE64" s="59"/>
      <c r="GF64" s="59"/>
      <c r="GG64" s="59"/>
      <c r="GH64" s="59"/>
      <c r="GI64" s="59"/>
      <c r="GJ64" s="59"/>
      <c r="GK64" s="59"/>
      <c r="GL64" s="59"/>
      <c r="GM64" s="59"/>
      <c r="GN64" s="59"/>
    </row>
    <row r="65" spans="1:196" x14ac:dyDescent="0.3">
      <c r="A65" s="59"/>
      <c r="B65" s="59"/>
      <c r="C65" s="59"/>
      <c r="D65" s="59"/>
      <c r="E65" s="59"/>
      <c r="F65" s="59"/>
      <c r="G65" s="59"/>
      <c r="H65" s="59"/>
      <c r="I65" s="59"/>
      <c r="J65" s="59"/>
      <c r="K65" s="59"/>
      <c r="L65" s="59"/>
      <c r="M65" s="59"/>
      <c r="N65" s="59"/>
      <c r="O65" s="59"/>
      <c r="P65" s="59"/>
      <c r="Q65" s="59"/>
      <c r="R65" s="59"/>
      <c r="S65" s="59"/>
      <c r="T65" s="59"/>
      <c r="U65" s="59"/>
      <c r="V65" s="59"/>
      <c r="W65" s="59"/>
      <c r="X65" s="59"/>
      <c r="Y65" s="59"/>
      <c r="Z65" s="59"/>
      <c r="AA65" s="59"/>
      <c r="AB65" s="59"/>
      <c r="AC65" s="59"/>
      <c r="AD65" s="59"/>
      <c r="AE65" s="59"/>
      <c r="AF65" s="59"/>
      <c r="AG65" s="59"/>
      <c r="AH65" s="59"/>
      <c r="AI65" s="59"/>
      <c r="AJ65" s="59"/>
      <c r="AK65" s="59"/>
      <c r="AL65" s="59"/>
      <c r="AM65" s="59"/>
      <c r="AN65" s="59"/>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c r="BU65" s="59"/>
      <c r="BV65" s="59"/>
      <c r="BW65" s="59"/>
      <c r="BX65" s="59"/>
      <c r="BY65" s="59"/>
      <c r="BZ65" s="59"/>
      <c r="CA65" s="59"/>
      <c r="CB65" s="59"/>
      <c r="CC65" s="59"/>
      <c r="CD65" s="59"/>
      <c r="CE65" s="59"/>
      <c r="CF65" s="59"/>
      <c r="CG65" s="59"/>
      <c r="CH65" s="59"/>
      <c r="CI65" s="59"/>
      <c r="CJ65" s="59"/>
      <c r="CK65" s="59"/>
      <c r="CL65" s="59"/>
      <c r="CM65" s="59"/>
      <c r="CN65" s="59"/>
      <c r="CO65" s="59"/>
      <c r="CP65" s="59"/>
      <c r="CQ65" s="59"/>
      <c r="CR65" s="59"/>
      <c r="CS65" s="59"/>
      <c r="CT65" s="59"/>
      <c r="CU65" s="59"/>
      <c r="CV65" s="59"/>
      <c r="CW65" s="59"/>
      <c r="CX65" s="59"/>
      <c r="CY65" s="59"/>
      <c r="CZ65" s="59"/>
      <c r="DA65" s="59"/>
      <c r="DB65" s="59"/>
      <c r="DC65" s="59"/>
      <c r="DD65" s="59"/>
      <c r="DE65" s="59"/>
      <c r="DF65" s="59"/>
      <c r="DG65" s="59"/>
      <c r="DH65" s="59"/>
      <c r="DI65" s="59"/>
      <c r="DJ65" s="59"/>
      <c r="DK65" s="59"/>
      <c r="DL65" s="59"/>
      <c r="DM65" s="59"/>
      <c r="DN65" s="59"/>
      <c r="DO65" s="59"/>
      <c r="DP65" s="59"/>
      <c r="DQ65" s="59"/>
      <c r="DR65" s="59"/>
      <c r="DS65" s="59"/>
      <c r="DT65" s="59"/>
      <c r="DU65" s="59"/>
      <c r="DV65" s="59"/>
      <c r="DW65" s="59"/>
      <c r="DX65" s="59"/>
      <c r="DY65" s="59"/>
      <c r="DZ65" s="59"/>
      <c r="EA65" s="59"/>
      <c r="EB65" s="59"/>
      <c r="EC65" s="59"/>
      <c r="ED65" s="59"/>
      <c r="EE65" s="59"/>
      <c r="EF65" s="59"/>
      <c r="EG65" s="59"/>
      <c r="EH65" s="59"/>
      <c r="EI65" s="59"/>
      <c r="EJ65" s="59"/>
      <c r="EK65" s="59"/>
      <c r="EL65" s="59"/>
      <c r="EM65" s="59"/>
      <c r="EN65" s="59"/>
      <c r="EO65" s="59"/>
      <c r="EP65" s="59"/>
      <c r="EQ65" s="59"/>
      <c r="ER65" s="59"/>
      <c r="ES65" s="59"/>
      <c r="ET65" s="59"/>
      <c r="EU65" s="59"/>
      <c r="EV65" s="59"/>
      <c r="EW65" s="59"/>
      <c r="EX65" s="59"/>
      <c r="EY65" s="59"/>
      <c r="EZ65" s="59"/>
      <c r="FA65" s="59"/>
      <c r="FB65" s="59"/>
      <c r="FC65" s="59"/>
      <c r="FD65" s="59"/>
      <c r="FE65" s="59"/>
      <c r="FF65" s="59"/>
      <c r="FG65" s="59"/>
      <c r="FH65" s="59"/>
      <c r="FI65" s="59"/>
      <c r="FJ65" s="59"/>
      <c r="FK65" s="59"/>
      <c r="FL65" s="59"/>
      <c r="FM65" s="59"/>
      <c r="FN65" s="59"/>
      <c r="FO65" s="59"/>
      <c r="FP65" s="59"/>
      <c r="FQ65" s="59"/>
      <c r="FR65" s="59"/>
      <c r="FS65" s="59"/>
      <c r="FT65" s="59"/>
      <c r="FU65" s="59"/>
      <c r="FV65" s="59"/>
      <c r="FW65" s="59"/>
      <c r="FX65" s="59"/>
      <c r="FY65" s="59"/>
      <c r="FZ65" s="59"/>
      <c r="GA65" s="59"/>
      <c r="GB65" s="59"/>
      <c r="GC65" s="59"/>
      <c r="GD65" s="59"/>
      <c r="GE65" s="59"/>
      <c r="GF65" s="59"/>
      <c r="GG65" s="59"/>
      <c r="GH65" s="59"/>
      <c r="GI65" s="59"/>
      <c r="GJ65" s="59"/>
      <c r="GK65" s="59"/>
      <c r="GL65" s="59"/>
      <c r="GM65" s="59"/>
      <c r="GN65" s="59"/>
    </row>
    <row r="66" spans="1:196" x14ac:dyDescent="0.3">
      <c r="A66" s="59"/>
      <c r="B66" s="59"/>
      <c r="C66" s="59"/>
      <c r="D66" s="59"/>
      <c r="E66" s="59"/>
      <c r="F66" s="59"/>
      <c r="G66" s="59"/>
      <c r="H66" s="59"/>
      <c r="I66" s="59"/>
      <c r="J66" s="59"/>
      <c r="K66" s="59"/>
      <c r="L66" s="59"/>
      <c r="M66" s="59"/>
      <c r="N66" s="59"/>
      <c r="O66" s="59"/>
      <c r="P66" s="59"/>
      <c r="Q66" s="59"/>
      <c r="R66" s="59"/>
      <c r="S66" s="59"/>
      <c r="T66" s="59"/>
      <c r="U66" s="59"/>
      <c r="V66" s="59"/>
      <c r="W66" s="59"/>
      <c r="X66" s="59"/>
      <c r="Y66" s="59"/>
      <c r="Z66" s="59"/>
      <c r="AA66" s="59"/>
      <c r="AB66" s="59"/>
      <c r="AC66" s="59"/>
      <c r="AD66" s="59"/>
      <c r="AE66" s="59"/>
      <c r="AF66" s="59"/>
      <c r="AG66" s="59"/>
      <c r="AH66" s="59"/>
      <c r="AI66" s="59"/>
      <c r="AJ66" s="59"/>
      <c r="AK66" s="59"/>
      <c r="AL66" s="59"/>
      <c r="AM66" s="59"/>
      <c r="AN66" s="59"/>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c r="BU66" s="59"/>
      <c r="BV66" s="59"/>
      <c r="BW66" s="59"/>
      <c r="BX66" s="59"/>
      <c r="BY66" s="59"/>
      <c r="BZ66" s="59"/>
      <c r="CA66" s="59"/>
      <c r="CB66" s="59"/>
      <c r="CC66" s="59"/>
      <c r="CD66" s="59"/>
      <c r="CE66" s="59"/>
      <c r="CF66" s="59"/>
      <c r="CG66" s="59"/>
      <c r="CH66" s="59"/>
      <c r="CI66" s="59"/>
      <c r="CJ66" s="59"/>
      <c r="CK66" s="59"/>
      <c r="CL66" s="59"/>
      <c r="CM66" s="59"/>
      <c r="CN66" s="59"/>
      <c r="CO66" s="59"/>
      <c r="CP66" s="59"/>
      <c r="CQ66" s="59"/>
      <c r="CR66" s="59"/>
      <c r="CS66" s="59"/>
      <c r="CT66" s="59"/>
      <c r="CU66" s="59"/>
      <c r="CV66" s="59"/>
      <c r="CW66" s="59"/>
      <c r="CX66" s="59"/>
      <c r="CY66" s="59"/>
      <c r="CZ66" s="59"/>
      <c r="DA66" s="59"/>
      <c r="DB66" s="59"/>
      <c r="DC66" s="59"/>
      <c r="DD66" s="59"/>
      <c r="DE66" s="59"/>
      <c r="DF66" s="59"/>
      <c r="DG66" s="59"/>
      <c r="DH66" s="59"/>
      <c r="DI66" s="59"/>
      <c r="DJ66" s="59"/>
      <c r="DK66" s="59"/>
      <c r="DL66" s="59"/>
      <c r="DM66" s="59"/>
      <c r="DN66" s="59"/>
      <c r="DO66" s="59"/>
      <c r="DP66" s="59"/>
      <c r="DQ66" s="59"/>
      <c r="DR66" s="59"/>
      <c r="DS66" s="59"/>
      <c r="DT66" s="59"/>
      <c r="DU66" s="59"/>
      <c r="DV66" s="59"/>
      <c r="DW66" s="59"/>
      <c r="DX66" s="59"/>
      <c r="DY66" s="59"/>
      <c r="DZ66" s="59"/>
      <c r="EA66" s="59"/>
      <c r="EB66" s="59"/>
      <c r="EC66" s="59"/>
      <c r="ED66" s="59"/>
      <c r="EE66" s="59"/>
      <c r="EF66" s="59"/>
      <c r="EG66" s="59"/>
      <c r="EH66" s="59"/>
      <c r="EI66" s="59"/>
      <c r="EJ66" s="59"/>
      <c r="EK66" s="59"/>
      <c r="EL66" s="59"/>
      <c r="EM66" s="59"/>
      <c r="EN66" s="59"/>
      <c r="EO66" s="59"/>
      <c r="EP66" s="59"/>
      <c r="EQ66" s="59"/>
      <c r="ER66" s="59"/>
      <c r="ES66" s="59"/>
      <c r="ET66" s="59"/>
      <c r="EU66" s="59"/>
      <c r="EV66" s="59"/>
      <c r="EW66" s="59"/>
      <c r="EX66" s="59"/>
      <c r="EY66" s="59"/>
      <c r="EZ66" s="59"/>
      <c r="FA66" s="59"/>
      <c r="FB66" s="59"/>
      <c r="FC66" s="59"/>
      <c r="FD66" s="59"/>
      <c r="FE66" s="59"/>
      <c r="FF66" s="59"/>
      <c r="FG66" s="59"/>
      <c r="FH66" s="59"/>
      <c r="FI66" s="59"/>
      <c r="FJ66" s="59"/>
      <c r="FK66" s="59"/>
      <c r="FL66" s="59"/>
      <c r="FM66" s="59"/>
      <c r="FN66" s="59"/>
      <c r="FO66" s="59"/>
      <c r="FP66" s="59"/>
      <c r="FQ66" s="59"/>
      <c r="FR66" s="59"/>
      <c r="FS66" s="59"/>
      <c r="FT66" s="59"/>
      <c r="FU66" s="59"/>
      <c r="FV66" s="59"/>
      <c r="FW66" s="59"/>
      <c r="FX66" s="59"/>
      <c r="FY66" s="59"/>
      <c r="FZ66" s="59"/>
      <c r="GA66" s="59"/>
      <c r="GB66" s="59"/>
      <c r="GC66" s="59"/>
      <c r="GD66" s="59"/>
      <c r="GE66" s="59"/>
      <c r="GF66" s="59"/>
      <c r="GG66" s="59"/>
      <c r="GH66" s="59"/>
      <c r="GI66" s="59"/>
      <c r="GJ66" s="59"/>
      <c r="GK66" s="59"/>
      <c r="GL66" s="59"/>
      <c r="GM66" s="59"/>
      <c r="GN66" s="59"/>
    </row>
    <row r="67" spans="1:196" x14ac:dyDescent="0.3">
      <c r="A67" s="59"/>
      <c r="B67" s="59"/>
      <c r="C67" s="59"/>
      <c r="D67" s="59"/>
      <c r="E67" s="59"/>
      <c r="F67" s="59"/>
      <c r="G67" s="59"/>
      <c r="H67" s="59"/>
      <c r="I67" s="59"/>
      <c r="J67" s="59"/>
      <c r="K67" s="59"/>
      <c r="L67" s="59"/>
      <c r="M67" s="59"/>
      <c r="N67" s="59"/>
      <c r="O67" s="59"/>
      <c r="P67" s="59"/>
      <c r="Q67" s="59"/>
      <c r="R67" s="59"/>
      <c r="S67" s="59"/>
      <c r="T67" s="59"/>
      <c r="U67" s="59"/>
      <c r="V67" s="59"/>
      <c r="W67" s="59"/>
      <c r="X67" s="59"/>
      <c r="Y67" s="59"/>
      <c r="Z67" s="59"/>
      <c r="AA67" s="59"/>
      <c r="AB67" s="59"/>
      <c r="AC67" s="59"/>
      <c r="AD67" s="59"/>
      <c r="AE67" s="59"/>
      <c r="AF67" s="59"/>
      <c r="AG67" s="59"/>
      <c r="AH67" s="59"/>
      <c r="AI67" s="59"/>
      <c r="AJ67" s="59"/>
      <c r="AK67" s="59"/>
      <c r="AL67" s="59"/>
      <c r="AM67" s="59"/>
      <c r="AN67" s="59"/>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c r="BU67" s="59"/>
      <c r="BV67" s="59"/>
      <c r="BW67" s="59"/>
      <c r="BX67" s="59"/>
      <c r="BY67" s="59"/>
      <c r="BZ67" s="59"/>
      <c r="CA67" s="59"/>
      <c r="CB67" s="59"/>
      <c r="CC67" s="59"/>
      <c r="CD67" s="59"/>
      <c r="CE67" s="59"/>
      <c r="CF67" s="59"/>
      <c r="CG67" s="59"/>
      <c r="CH67" s="59"/>
      <c r="CI67" s="59"/>
      <c r="CJ67" s="59"/>
      <c r="CK67" s="59"/>
      <c r="CL67" s="59"/>
      <c r="CM67" s="59"/>
      <c r="CN67" s="59"/>
      <c r="CO67" s="59"/>
      <c r="CP67" s="59"/>
      <c r="CQ67" s="59"/>
      <c r="CR67" s="59"/>
      <c r="CS67" s="59"/>
      <c r="CT67" s="59"/>
      <c r="CU67" s="59"/>
      <c r="CV67" s="59"/>
      <c r="CW67" s="59"/>
      <c r="CX67" s="59"/>
      <c r="CY67" s="59"/>
      <c r="CZ67" s="59"/>
      <c r="DA67" s="59"/>
      <c r="DB67" s="59"/>
      <c r="DC67" s="59"/>
      <c r="DD67" s="59"/>
      <c r="DE67" s="59"/>
      <c r="DF67" s="59"/>
      <c r="DG67" s="59"/>
      <c r="DH67" s="59"/>
      <c r="DI67" s="59"/>
      <c r="DJ67" s="59"/>
      <c r="DK67" s="59"/>
      <c r="DL67" s="59"/>
      <c r="DM67" s="59"/>
      <c r="DN67" s="59"/>
      <c r="DO67" s="59"/>
      <c r="DP67" s="59"/>
      <c r="DQ67" s="59"/>
      <c r="DR67" s="59"/>
      <c r="DS67" s="59"/>
      <c r="DT67" s="59"/>
      <c r="DU67" s="59"/>
      <c r="DV67" s="59"/>
      <c r="DW67" s="59"/>
      <c r="DX67" s="59"/>
      <c r="DY67" s="59"/>
      <c r="DZ67" s="59"/>
      <c r="EA67" s="59"/>
      <c r="EB67" s="59"/>
      <c r="EC67" s="59"/>
      <c r="ED67" s="59"/>
      <c r="EE67" s="59"/>
      <c r="EF67" s="59"/>
      <c r="EG67" s="59"/>
      <c r="EH67" s="59"/>
      <c r="EI67" s="59"/>
      <c r="EJ67" s="59"/>
      <c r="EK67" s="59"/>
      <c r="EL67" s="59"/>
      <c r="EM67" s="59"/>
      <c r="EN67" s="59"/>
      <c r="EO67" s="59"/>
      <c r="EP67" s="59"/>
      <c r="EQ67" s="59"/>
      <c r="ER67" s="59"/>
      <c r="ES67" s="59"/>
      <c r="ET67" s="59"/>
      <c r="EU67" s="59"/>
      <c r="EV67" s="59"/>
      <c r="EW67" s="59"/>
      <c r="EX67" s="59"/>
      <c r="EY67" s="59"/>
      <c r="EZ67" s="59"/>
      <c r="FA67" s="59"/>
      <c r="FB67" s="59"/>
      <c r="FC67" s="59"/>
      <c r="FD67" s="59"/>
      <c r="FE67" s="59"/>
      <c r="FF67" s="59"/>
      <c r="FG67" s="59"/>
      <c r="FH67" s="59"/>
      <c r="FI67" s="59"/>
      <c r="FJ67" s="59"/>
      <c r="FK67" s="59"/>
      <c r="FL67" s="59"/>
      <c r="FM67" s="59"/>
      <c r="FN67" s="59"/>
      <c r="FO67" s="59"/>
      <c r="FP67" s="59"/>
      <c r="FQ67" s="59"/>
      <c r="FR67" s="59"/>
      <c r="FS67" s="59"/>
      <c r="FT67" s="59"/>
      <c r="FU67" s="59"/>
      <c r="FV67" s="59"/>
      <c r="FW67" s="59"/>
      <c r="FX67" s="59"/>
      <c r="FY67" s="59"/>
      <c r="FZ67" s="59"/>
      <c r="GA67" s="59"/>
      <c r="GB67" s="59"/>
      <c r="GC67" s="59"/>
      <c r="GD67" s="59"/>
      <c r="GE67" s="59"/>
      <c r="GF67" s="59"/>
      <c r="GG67" s="59"/>
      <c r="GH67" s="59"/>
      <c r="GI67" s="59"/>
      <c r="GJ67" s="59"/>
      <c r="GK67" s="59"/>
      <c r="GL67" s="59"/>
      <c r="GM67" s="59"/>
      <c r="GN67" s="59"/>
    </row>
    <row r="68" spans="1:196" x14ac:dyDescent="0.3">
      <c r="A68" s="59"/>
      <c r="B68" s="59"/>
      <c r="C68" s="59"/>
      <c r="D68" s="59"/>
      <c r="E68" s="59"/>
      <c r="F68" s="59"/>
      <c r="G68" s="59"/>
      <c r="H68" s="59"/>
      <c r="I68" s="59"/>
      <c r="J68" s="59"/>
      <c r="K68" s="59"/>
      <c r="L68" s="59"/>
      <c r="M68" s="59"/>
      <c r="N68" s="59"/>
      <c r="O68" s="59"/>
      <c r="P68" s="59"/>
      <c r="Q68" s="59"/>
      <c r="R68" s="59"/>
      <c r="S68" s="59"/>
      <c r="T68" s="59"/>
      <c r="U68" s="59"/>
      <c r="V68" s="59"/>
      <c r="W68" s="59"/>
      <c r="X68" s="59"/>
      <c r="Y68" s="59"/>
      <c r="Z68" s="59"/>
      <c r="AA68" s="59"/>
      <c r="AB68" s="59"/>
      <c r="AC68" s="59"/>
      <c r="AD68" s="59"/>
      <c r="AE68" s="59"/>
      <c r="AF68" s="59"/>
      <c r="AG68" s="59"/>
      <c r="AH68" s="59"/>
      <c r="AI68" s="59"/>
      <c r="AJ68" s="59"/>
      <c r="AK68" s="59"/>
      <c r="AL68" s="59"/>
      <c r="AM68" s="59"/>
      <c r="AN68" s="59"/>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c r="BU68" s="59"/>
      <c r="BV68" s="59"/>
      <c r="BW68" s="59"/>
      <c r="BX68" s="59"/>
      <c r="BY68" s="59"/>
      <c r="BZ68" s="59"/>
      <c r="CA68" s="59"/>
      <c r="CB68" s="59"/>
      <c r="CC68" s="59"/>
      <c r="CD68" s="59"/>
      <c r="CE68" s="59"/>
      <c r="CF68" s="59"/>
      <c r="CG68" s="59"/>
      <c r="CH68" s="59"/>
      <c r="CI68" s="59"/>
      <c r="CJ68" s="59"/>
      <c r="CK68" s="59"/>
      <c r="CL68" s="59"/>
      <c r="CM68" s="59"/>
      <c r="CN68" s="59"/>
      <c r="CO68" s="59"/>
      <c r="CP68" s="59"/>
      <c r="CQ68" s="59"/>
      <c r="CR68" s="59"/>
      <c r="CS68" s="59"/>
      <c r="CT68" s="59"/>
      <c r="CU68" s="59"/>
      <c r="CV68" s="59"/>
      <c r="CW68" s="59"/>
      <c r="CX68" s="59"/>
      <c r="CY68" s="59"/>
      <c r="CZ68" s="59"/>
      <c r="DA68" s="59"/>
      <c r="DB68" s="59"/>
      <c r="DC68" s="59"/>
      <c r="DD68" s="59"/>
      <c r="DE68" s="59"/>
      <c r="DF68" s="59"/>
      <c r="DG68" s="59"/>
      <c r="DH68" s="59"/>
      <c r="DI68" s="59"/>
      <c r="DJ68" s="59"/>
      <c r="DK68" s="59"/>
      <c r="DL68" s="59"/>
      <c r="DM68" s="59"/>
      <c r="DN68" s="59"/>
      <c r="DO68" s="59"/>
      <c r="DP68" s="59"/>
      <c r="DQ68" s="59"/>
      <c r="DR68" s="59"/>
      <c r="DS68" s="59"/>
      <c r="DT68" s="59"/>
      <c r="DU68" s="59"/>
      <c r="DV68" s="59"/>
      <c r="DW68" s="59"/>
      <c r="DX68" s="59"/>
      <c r="DY68" s="59"/>
      <c r="DZ68" s="59"/>
      <c r="EA68" s="59"/>
      <c r="EB68" s="59"/>
      <c r="EC68" s="59"/>
      <c r="ED68" s="59"/>
      <c r="EE68" s="59"/>
      <c r="EF68" s="59"/>
      <c r="EG68" s="59"/>
      <c r="EH68" s="59"/>
      <c r="EI68" s="59"/>
      <c r="EJ68" s="59"/>
      <c r="EK68" s="59"/>
      <c r="EL68" s="59"/>
      <c r="EM68" s="59"/>
      <c r="EN68" s="59"/>
      <c r="EO68" s="59"/>
      <c r="EP68" s="59"/>
      <c r="EQ68" s="59"/>
      <c r="ER68" s="59"/>
      <c r="ES68" s="59"/>
      <c r="ET68" s="59"/>
      <c r="EU68" s="59"/>
      <c r="EV68" s="59"/>
      <c r="EW68" s="59"/>
      <c r="EX68" s="59"/>
      <c r="EY68" s="59"/>
      <c r="EZ68" s="59"/>
      <c r="FA68" s="59"/>
      <c r="FB68" s="59"/>
      <c r="FC68" s="59"/>
      <c r="FD68" s="59"/>
      <c r="FE68" s="59"/>
      <c r="FF68" s="59"/>
      <c r="FG68" s="59"/>
      <c r="FH68" s="59"/>
      <c r="FI68" s="59"/>
      <c r="FJ68" s="59"/>
      <c r="FK68" s="59"/>
      <c r="FL68" s="59"/>
      <c r="FM68" s="59"/>
      <c r="FN68" s="59"/>
      <c r="FO68" s="59"/>
      <c r="FP68" s="59"/>
      <c r="FQ68" s="59"/>
      <c r="FR68" s="59"/>
      <c r="FS68" s="59"/>
      <c r="FT68" s="59"/>
      <c r="FU68" s="59"/>
      <c r="FV68" s="59"/>
      <c r="FW68" s="59"/>
      <c r="FX68" s="59"/>
      <c r="FY68" s="59"/>
      <c r="FZ68" s="59"/>
      <c r="GA68" s="59"/>
      <c r="GB68" s="59"/>
      <c r="GC68" s="59"/>
      <c r="GD68" s="59"/>
      <c r="GE68" s="59"/>
      <c r="GF68" s="59"/>
      <c r="GG68" s="59"/>
      <c r="GH68" s="59"/>
      <c r="GI68" s="59"/>
      <c r="GJ68" s="59"/>
      <c r="GK68" s="59"/>
      <c r="GL68" s="59"/>
      <c r="GM68" s="59"/>
      <c r="GN68" s="59"/>
    </row>
    <row r="69" spans="1:196" x14ac:dyDescent="0.3">
      <c r="A69" s="59"/>
      <c r="B69" s="59"/>
      <c r="C69" s="59"/>
      <c r="D69" s="59"/>
      <c r="E69" s="59"/>
      <c r="F69" s="59"/>
      <c r="G69" s="59"/>
      <c r="H69" s="59"/>
      <c r="I69" s="59"/>
      <c r="J69" s="59"/>
      <c r="K69" s="59"/>
      <c r="L69" s="59"/>
      <c r="M69" s="59"/>
      <c r="N69" s="59"/>
      <c r="O69" s="59"/>
      <c r="P69" s="59"/>
      <c r="Q69" s="59"/>
      <c r="R69" s="59"/>
      <c r="S69" s="59"/>
      <c r="T69" s="59"/>
      <c r="U69" s="59"/>
      <c r="V69" s="59"/>
      <c r="W69" s="59"/>
      <c r="X69" s="59"/>
      <c r="Y69" s="59"/>
      <c r="Z69" s="59"/>
      <c r="AA69" s="59"/>
      <c r="AB69" s="59"/>
      <c r="AC69" s="59"/>
      <c r="AD69" s="59"/>
      <c r="AE69" s="59"/>
      <c r="AF69" s="59"/>
      <c r="AG69" s="59"/>
      <c r="AH69" s="59"/>
      <c r="AI69" s="59"/>
      <c r="AJ69" s="59"/>
      <c r="AK69" s="59"/>
      <c r="AL69" s="59"/>
      <c r="AM69" s="59"/>
      <c r="AN69" s="59"/>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c r="BU69" s="59"/>
      <c r="BV69" s="59"/>
      <c r="BW69" s="59"/>
      <c r="BX69" s="59"/>
      <c r="BY69" s="59"/>
      <c r="BZ69" s="59"/>
      <c r="CA69" s="59"/>
      <c r="CB69" s="59"/>
      <c r="CC69" s="59"/>
      <c r="CD69" s="59"/>
      <c r="CE69" s="59"/>
      <c r="CF69" s="59"/>
      <c r="CG69" s="59"/>
      <c r="CH69" s="59"/>
      <c r="CI69" s="59"/>
      <c r="CJ69" s="59"/>
      <c r="CK69" s="59"/>
      <c r="CL69" s="59"/>
      <c r="CM69" s="59"/>
      <c r="CN69" s="59"/>
      <c r="CO69" s="59"/>
      <c r="CP69" s="59"/>
      <c r="CQ69" s="59"/>
      <c r="CR69" s="59"/>
      <c r="CS69" s="59"/>
      <c r="CT69" s="59"/>
      <c r="CU69" s="59"/>
      <c r="CV69" s="59"/>
      <c r="CW69" s="59"/>
      <c r="CX69" s="59"/>
      <c r="CY69" s="59"/>
      <c r="CZ69" s="59"/>
      <c r="DA69" s="59"/>
      <c r="DB69" s="59"/>
      <c r="DC69" s="59"/>
      <c r="DD69" s="59"/>
      <c r="DE69" s="59"/>
      <c r="DF69" s="59"/>
      <c r="DG69" s="59"/>
      <c r="DH69" s="59"/>
      <c r="DI69" s="59"/>
      <c r="DJ69" s="59"/>
      <c r="DK69" s="59"/>
      <c r="DL69" s="59"/>
      <c r="DM69" s="59"/>
      <c r="DN69" s="59"/>
      <c r="DO69" s="59"/>
      <c r="DP69" s="59"/>
      <c r="DQ69" s="59"/>
      <c r="DR69" s="59"/>
      <c r="DS69" s="59"/>
      <c r="DT69" s="59"/>
      <c r="DU69" s="59"/>
      <c r="DV69" s="59"/>
      <c r="DW69" s="59"/>
      <c r="DX69" s="59"/>
      <c r="DY69" s="59"/>
      <c r="DZ69" s="59"/>
      <c r="EA69" s="59"/>
      <c r="EB69" s="59"/>
      <c r="EC69" s="59"/>
      <c r="ED69" s="59"/>
      <c r="EE69" s="59"/>
      <c r="EF69" s="59"/>
      <c r="EG69" s="59"/>
      <c r="EH69" s="59"/>
      <c r="EI69" s="59"/>
      <c r="EJ69" s="59"/>
      <c r="EK69" s="59"/>
      <c r="EL69" s="59"/>
      <c r="EM69" s="59"/>
      <c r="EN69" s="59"/>
      <c r="EO69" s="59"/>
      <c r="EP69" s="59"/>
      <c r="EQ69" s="59"/>
      <c r="ER69" s="59"/>
      <c r="ES69" s="59"/>
      <c r="ET69" s="59"/>
      <c r="EU69" s="59"/>
      <c r="EV69" s="59"/>
      <c r="EW69" s="59"/>
      <c r="EX69" s="59"/>
      <c r="EY69" s="59"/>
      <c r="EZ69" s="59"/>
      <c r="FA69" s="59"/>
      <c r="FB69" s="59"/>
      <c r="FC69" s="59"/>
      <c r="FD69" s="59"/>
      <c r="FE69" s="59"/>
      <c r="FF69" s="59"/>
      <c r="FG69" s="59"/>
      <c r="FH69" s="59"/>
      <c r="FI69" s="59"/>
      <c r="FJ69" s="59"/>
      <c r="FK69" s="59"/>
      <c r="FL69" s="59"/>
      <c r="FM69" s="59"/>
      <c r="FN69" s="59"/>
      <c r="FO69" s="59"/>
      <c r="FP69" s="59"/>
      <c r="FQ69" s="59"/>
      <c r="FR69" s="59"/>
      <c r="FS69" s="59"/>
      <c r="FT69" s="59"/>
      <c r="FU69" s="59"/>
      <c r="FV69" s="59"/>
      <c r="FW69" s="59"/>
      <c r="FX69" s="59"/>
      <c r="FY69" s="59"/>
      <c r="FZ69" s="59"/>
      <c r="GA69" s="59"/>
      <c r="GB69" s="59"/>
      <c r="GC69" s="59"/>
      <c r="GD69" s="59"/>
      <c r="GE69" s="59"/>
      <c r="GF69" s="59"/>
      <c r="GG69" s="59"/>
      <c r="GH69" s="59"/>
      <c r="GI69" s="59"/>
      <c r="GJ69" s="59"/>
      <c r="GK69" s="59"/>
      <c r="GL69" s="59"/>
      <c r="GM69" s="59"/>
      <c r="GN69" s="59"/>
    </row>
    <row r="70" spans="1:196" x14ac:dyDescent="0.3">
      <c r="A70" s="59"/>
      <c r="B70" s="59"/>
      <c r="C70" s="59"/>
      <c r="D70" s="59"/>
      <c r="E70" s="59"/>
      <c r="F70" s="59"/>
      <c r="G70" s="59"/>
      <c r="H70" s="59"/>
      <c r="I70" s="59"/>
      <c r="J70" s="59"/>
      <c r="K70" s="59"/>
      <c r="L70" s="59"/>
      <c r="M70" s="59"/>
      <c r="N70" s="59"/>
      <c r="O70" s="59"/>
      <c r="P70" s="59"/>
      <c r="Q70" s="59"/>
      <c r="R70" s="59"/>
      <c r="S70" s="59"/>
      <c r="T70" s="59"/>
      <c r="U70" s="59"/>
      <c r="V70" s="59"/>
      <c r="W70" s="59"/>
      <c r="X70" s="59"/>
      <c r="Y70" s="59"/>
      <c r="Z70" s="59"/>
      <c r="AA70" s="59"/>
      <c r="AB70" s="59"/>
      <c r="AC70" s="59"/>
      <c r="AD70" s="59"/>
      <c r="AE70" s="59"/>
      <c r="AF70" s="59"/>
      <c r="AG70" s="59"/>
      <c r="AH70" s="59"/>
      <c r="AI70" s="59"/>
      <c r="AJ70" s="59"/>
      <c r="AK70" s="59"/>
      <c r="AL70" s="59"/>
      <c r="AM70" s="59"/>
      <c r="AN70" s="59"/>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c r="BU70" s="59"/>
      <c r="BV70" s="59"/>
      <c r="BW70" s="59"/>
      <c r="BX70" s="59"/>
      <c r="BY70" s="59"/>
      <c r="BZ70" s="59"/>
      <c r="CA70" s="59"/>
      <c r="CB70" s="59"/>
      <c r="CC70" s="59"/>
      <c r="CD70" s="59"/>
      <c r="CE70" s="59"/>
      <c r="CF70" s="59"/>
      <c r="CG70" s="59"/>
      <c r="CH70" s="59"/>
      <c r="CI70" s="59"/>
      <c r="CJ70" s="59"/>
      <c r="CK70" s="59"/>
      <c r="CL70" s="59"/>
      <c r="CM70" s="59"/>
      <c r="CN70" s="59"/>
      <c r="CO70" s="59"/>
      <c r="CP70" s="59"/>
      <c r="CQ70" s="59"/>
      <c r="CR70" s="59"/>
      <c r="CS70" s="59"/>
      <c r="CT70" s="59"/>
      <c r="CU70" s="59"/>
      <c r="CV70" s="59"/>
      <c r="CW70" s="59"/>
      <c r="CX70" s="59"/>
      <c r="CY70" s="59"/>
      <c r="CZ70" s="59"/>
      <c r="DA70" s="59"/>
      <c r="DB70" s="59"/>
      <c r="DC70" s="59"/>
      <c r="DD70" s="59"/>
      <c r="DE70" s="59"/>
      <c r="DF70" s="59"/>
      <c r="DG70" s="59"/>
      <c r="DH70" s="59"/>
      <c r="DI70" s="59"/>
      <c r="DJ70" s="59"/>
      <c r="DK70" s="59"/>
      <c r="DL70" s="59"/>
      <c r="DM70" s="59"/>
      <c r="DN70" s="59"/>
      <c r="DO70" s="59"/>
      <c r="DP70" s="59"/>
      <c r="DQ70" s="59"/>
      <c r="DR70" s="59"/>
      <c r="DS70" s="59"/>
      <c r="DT70" s="59"/>
      <c r="DU70" s="59"/>
      <c r="DV70" s="59"/>
      <c r="DW70" s="59"/>
      <c r="DX70" s="59"/>
      <c r="DY70" s="59"/>
      <c r="DZ70" s="59"/>
      <c r="EA70" s="59"/>
      <c r="EB70" s="59"/>
      <c r="EC70" s="59"/>
      <c r="ED70" s="59"/>
      <c r="EE70" s="59"/>
      <c r="EF70" s="59"/>
      <c r="EG70" s="59"/>
      <c r="EH70" s="59"/>
      <c r="EI70" s="59"/>
      <c r="EJ70" s="59"/>
      <c r="EK70" s="59"/>
      <c r="EL70" s="59"/>
      <c r="EM70" s="59"/>
      <c r="EN70" s="59"/>
      <c r="EO70" s="59"/>
      <c r="EP70" s="59"/>
      <c r="EQ70" s="59"/>
      <c r="ER70" s="59"/>
      <c r="ES70" s="59"/>
      <c r="ET70" s="59"/>
      <c r="EU70" s="59"/>
      <c r="EV70" s="59"/>
      <c r="EW70" s="59"/>
      <c r="EX70" s="59"/>
      <c r="EY70" s="59"/>
      <c r="EZ70" s="59"/>
      <c r="FA70" s="59"/>
      <c r="FB70" s="59"/>
      <c r="FC70" s="59"/>
      <c r="FD70" s="59"/>
      <c r="FE70" s="59"/>
      <c r="FF70" s="59"/>
      <c r="FG70" s="59"/>
      <c r="FH70" s="59"/>
      <c r="FI70" s="59"/>
      <c r="FJ70" s="59"/>
      <c r="FK70" s="59"/>
      <c r="FL70" s="59"/>
      <c r="FM70" s="59"/>
      <c r="FN70" s="59"/>
      <c r="FO70" s="59"/>
      <c r="FP70" s="59"/>
      <c r="FQ70" s="59"/>
      <c r="FR70" s="59"/>
      <c r="FS70" s="59"/>
      <c r="FT70" s="59"/>
      <c r="FU70" s="59"/>
      <c r="FV70" s="59"/>
      <c r="FW70" s="59"/>
      <c r="FX70" s="59"/>
      <c r="FY70" s="59"/>
      <c r="FZ70" s="59"/>
      <c r="GA70" s="59"/>
      <c r="GB70" s="59"/>
      <c r="GC70" s="59"/>
      <c r="GD70" s="59"/>
      <c r="GE70" s="59"/>
      <c r="GF70" s="59"/>
      <c r="GG70" s="59"/>
      <c r="GH70" s="59"/>
      <c r="GI70" s="59"/>
      <c r="GJ70" s="59"/>
      <c r="GK70" s="59"/>
      <c r="GL70" s="59"/>
      <c r="GM70" s="59"/>
      <c r="GN70" s="59"/>
    </row>
    <row r="71" spans="1:196" x14ac:dyDescent="0.3">
      <c r="A71" s="59"/>
      <c r="B71" s="59"/>
      <c r="C71" s="59"/>
      <c r="D71" s="59"/>
      <c r="E71" s="59"/>
      <c r="F71" s="59"/>
      <c r="G71" s="59"/>
      <c r="H71" s="59"/>
      <c r="I71" s="59"/>
      <c r="J71" s="59"/>
      <c r="K71" s="59"/>
      <c r="L71" s="59"/>
      <c r="M71" s="59"/>
      <c r="N71" s="59"/>
      <c r="O71" s="59"/>
      <c r="P71" s="59"/>
      <c r="Q71" s="59"/>
      <c r="R71" s="59"/>
      <c r="S71" s="59"/>
      <c r="T71" s="59"/>
      <c r="U71" s="59"/>
      <c r="V71" s="59"/>
      <c r="W71" s="59"/>
      <c r="X71" s="59"/>
      <c r="Y71" s="59"/>
      <c r="Z71" s="59"/>
      <c r="AA71" s="59"/>
      <c r="AB71" s="59"/>
      <c r="AC71" s="59"/>
      <c r="AD71" s="59"/>
      <c r="AE71" s="59"/>
      <c r="AF71" s="59"/>
      <c r="AG71" s="59"/>
      <c r="AH71" s="59"/>
      <c r="AI71" s="59"/>
      <c r="AJ71" s="59"/>
      <c r="AK71" s="59"/>
      <c r="AL71" s="59"/>
      <c r="AM71" s="59"/>
      <c r="AN71" s="59"/>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c r="BU71" s="59"/>
      <c r="BV71" s="59"/>
      <c r="BW71" s="59"/>
      <c r="BX71" s="59"/>
      <c r="BY71" s="59"/>
      <c r="BZ71" s="59"/>
      <c r="CA71" s="59"/>
      <c r="CB71" s="59"/>
      <c r="CC71" s="59"/>
      <c r="CD71" s="59"/>
      <c r="CE71" s="59"/>
      <c r="CF71" s="59"/>
      <c r="CG71" s="59"/>
      <c r="CH71" s="59"/>
      <c r="CI71" s="59"/>
      <c r="CJ71" s="59"/>
      <c r="CK71" s="59"/>
      <c r="CL71" s="59"/>
      <c r="CM71" s="59"/>
      <c r="CN71" s="59"/>
      <c r="CO71" s="59"/>
      <c r="CP71" s="59"/>
      <c r="CQ71" s="59"/>
      <c r="CR71" s="59"/>
      <c r="CS71" s="59"/>
      <c r="CT71" s="59"/>
      <c r="CU71" s="59"/>
      <c r="CV71" s="59"/>
      <c r="CW71" s="59"/>
      <c r="CX71" s="59"/>
      <c r="CY71" s="59"/>
      <c r="CZ71" s="59"/>
      <c r="DA71" s="59"/>
      <c r="DB71" s="59"/>
      <c r="DC71" s="59"/>
      <c r="DD71" s="59"/>
      <c r="DE71" s="59"/>
      <c r="DF71" s="59"/>
      <c r="DG71" s="59"/>
      <c r="DH71" s="59"/>
      <c r="DI71" s="59"/>
      <c r="DJ71" s="59"/>
      <c r="DK71" s="59"/>
      <c r="DL71" s="59"/>
      <c r="DM71" s="59"/>
      <c r="DN71" s="59"/>
      <c r="DO71" s="59"/>
      <c r="DP71" s="59"/>
      <c r="DQ71" s="59"/>
      <c r="DR71" s="59"/>
      <c r="DS71" s="59"/>
      <c r="DT71" s="59"/>
      <c r="DU71" s="59"/>
      <c r="DV71" s="59"/>
      <c r="DW71" s="59"/>
      <c r="DX71" s="59"/>
      <c r="DY71" s="59"/>
      <c r="DZ71" s="59"/>
      <c r="EA71" s="59"/>
      <c r="EB71" s="59"/>
      <c r="EC71" s="59"/>
      <c r="ED71" s="59"/>
      <c r="EE71" s="59"/>
      <c r="EF71" s="59"/>
      <c r="EG71" s="59"/>
      <c r="EH71" s="59"/>
      <c r="EI71" s="59"/>
      <c r="EJ71" s="59"/>
      <c r="EK71" s="59"/>
      <c r="EL71" s="59"/>
      <c r="EM71" s="59"/>
      <c r="EN71" s="59"/>
      <c r="EO71" s="59"/>
      <c r="EP71" s="59"/>
      <c r="EQ71" s="59"/>
      <c r="ER71" s="59"/>
      <c r="ES71" s="59"/>
      <c r="ET71" s="59"/>
      <c r="EU71" s="59"/>
      <c r="EV71" s="59"/>
      <c r="EW71" s="59"/>
      <c r="EX71" s="59"/>
      <c r="EY71" s="59"/>
      <c r="EZ71" s="59"/>
      <c r="FA71" s="59"/>
      <c r="FB71" s="59"/>
      <c r="FC71" s="59"/>
      <c r="FD71" s="59"/>
      <c r="FE71" s="59"/>
      <c r="FF71" s="59"/>
      <c r="FG71" s="59"/>
      <c r="FH71" s="59"/>
      <c r="FI71" s="59"/>
      <c r="FJ71" s="59"/>
      <c r="FK71" s="59"/>
      <c r="FL71" s="59"/>
      <c r="FM71" s="59"/>
      <c r="FN71" s="59"/>
      <c r="FO71" s="59"/>
      <c r="FP71" s="59"/>
      <c r="FQ71" s="59"/>
      <c r="FR71" s="59"/>
      <c r="FS71" s="59"/>
      <c r="FT71" s="59"/>
      <c r="FU71" s="59"/>
      <c r="FV71" s="59"/>
      <c r="FW71" s="59"/>
      <c r="FX71" s="59"/>
      <c r="FY71" s="59"/>
      <c r="FZ71" s="59"/>
      <c r="GA71" s="59"/>
      <c r="GB71" s="59"/>
      <c r="GC71" s="59"/>
      <c r="GD71" s="59"/>
      <c r="GE71" s="59"/>
      <c r="GF71" s="59"/>
      <c r="GG71" s="59"/>
      <c r="GH71" s="59"/>
      <c r="GI71" s="59"/>
      <c r="GJ71" s="59"/>
      <c r="GK71" s="59"/>
      <c r="GL71" s="59"/>
      <c r="GM71" s="59"/>
      <c r="GN71" s="59"/>
    </row>
    <row r="72" spans="1:196" x14ac:dyDescent="0.3">
      <c r="A72" s="59"/>
      <c r="B72" s="59"/>
      <c r="C72" s="59"/>
      <c r="D72" s="59"/>
      <c r="E72" s="59"/>
      <c r="F72" s="59"/>
      <c r="G72" s="59"/>
      <c r="H72" s="59"/>
      <c r="I72" s="59"/>
      <c r="J72" s="59"/>
      <c r="K72" s="59"/>
      <c r="L72" s="59"/>
      <c r="M72" s="59"/>
      <c r="N72" s="59"/>
      <c r="O72" s="59"/>
      <c r="P72" s="59"/>
      <c r="Q72" s="59"/>
      <c r="R72" s="59"/>
      <c r="S72" s="59"/>
      <c r="T72" s="59"/>
      <c r="U72" s="59"/>
      <c r="V72" s="59"/>
      <c r="W72" s="59"/>
      <c r="X72" s="59"/>
      <c r="Y72" s="59"/>
      <c r="Z72" s="59"/>
      <c r="AA72" s="59"/>
      <c r="AB72" s="59"/>
      <c r="AC72" s="59"/>
      <c r="AD72" s="59"/>
      <c r="AE72" s="59"/>
      <c r="AF72" s="59"/>
      <c r="AG72" s="59"/>
      <c r="AH72" s="59"/>
      <c r="AI72" s="59"/>
      <c r="AJ72" s="59"/>
      <c r="AK72" s="59"/>
      <c r="AL72" s="59"/>
      <c r="AM72" s="59"/>
      <c r="AN72" s="59"/>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c r="BU72" s="59"/>
      <c r="BV72" s="59"/>
      <c r="BW72" s="59"/>
      <c r="BX72" s="59"/>
      <c r="BY72" s="59"/>
      <c r="BZ72" s="59"/>
      <c r="CA72" s="59"/>
      <c r="CB72" s="59"/>
      <c r="CC72" s="59"/>
      <c r="CD72" s="59"/>
      <c r="CE72" s="59"/>
      <c r="CF72" s="59"/>
      <c r="CG72" s="59"/>
      <c r="CH72" s="59"/>
      <c r="CI72" s="59"/>
      <c r="CJ72" s="59"/>
      <c r="CK72" s="59"/>
      <c r="CL72" s="59"/>
      <c r="CM72" s="59"/>
      <c r="CN72" s="59"/>
      <c r="CO72" s="59"/>
      <c r="CP72" s="59"/>
      <c r="CQ72" s="59"/>
      <c r="CR72" s="59"/>
      <c r="CS72" s="59"/>
      <c r="CT72" s="59"/>
      <c r="CU72" s="59"/>
      <c r="CV72" s="59"/>
      <c r="CW72" s="59"/>
      <c r="CX72" s="59"/>
      <c r="CY72" s="59"/>
      <c r="CZ72" s="59"/>
      <c r="DA72" s="59"/>
      <c r="DB72" s="59"/>
      <c r="DC72" s="59"/>
      <c r="DD72" s="59"/>
      <c r="DE72" s="59"/>
      <c r="DF72" s="59"/>
      <c r="DG72" s="59"/>
      <c r="DH72" s="59"/>
      <c r="DI72" s="59"/>
      <c r="DJ72" s="59"/>
      <c r="DK72" s="59"/>
      <c r="DL72" s="59"/>
      <c r="DM72" s="59"/>
      <c r="DN72" s="59"/>
      <c r="DO72" s="59"/>
      <c r="DP72" s="59"/>
      <c r="DQ72" s="59"/>
      <c r="DR72" s="59"/>
      <c r="DS72" s="59"/>
      <c r="DT72" s="59"/>
      <c r="DU72" s="59"/>
      <c r="DV72" s="59"/>
      <c r="DW72" s="59"/>
      <c r="DX72" s="59"/>
      <c r="DY72" s="59"/>
      <c r="DZ72" s="59"/>
      <c r="EA72" s="59"/>
      <c r="EB72" s="59"/>
      <c r="EC72" s="59"/>
      <c r="ED72" s="59"/>
      <c r="EE72" s="59"/>
      <c r="EF72" s="59"/>
      <c r="EG72" s="59"/>
      <c r="EH72" s="59"/>
      <c r="EI72" s="59"/>
      <c r="EJ72" s="59"/>
      <c r="EK72" s="59"/>
      <c r="EL72" s="59"/>
      <c r="EM72" s="59"/>
      <c r="EN72" s="59"/>
      <c r="EO72" s="59"/>
      <c r="EP72" s="59"/>
      <c r="EQ72" s="59"/>
      <c r="ER72" s="59"/>
      <c r="ES72" s="59"/>
      <c r="ET72" s="59"/>
      <c r="EU72" s="59"/>
      <c r="EV72" s="59"/>
      <c r="EW72" s="59"/>
      <c r="EX72" s="59"/>
      <c r="EY72" s="59"/>
      <c r="EZ72" s="59"/>
      <c r="FA72" s="59"/>
      <c r="FB72" s="59"/>
      <c r="FC72" s="59"/>
      <c r="FD72" s="59"/>
      <c r="FE72" s="59"/>
      <c r="FF72" s="59"/>
      <c r="FG72" s="59"/>
      <c r="FH72" s="59"/>
      <c r="FI72" s="59"/>
      <c r="FJ72" s="59"/>
      <c r="FK72" s="59"/>
      <c r="FL72" s="59"/>
      <c r="FM72" s="59"/>
      <c r="FN72" s="59"/>
      <c r="FO72" s="59"/>
      <c r="FP72" s="59"/>
      <c r="FQ72" s="59"/>
      <c r="FR72" s="59"/>
      <c r="FS72" s="59"/>
      <c r="FT72" s="59"/>
      <c r="FU72" s="59"/>
      <c r="FV72" s="59"/>
      <c r="FW72" s="59"/>
      <c r="FX72" s="59"/>
      <c r="FY72" s="59"/>
      <c r="FZ72" s="59"/>
      <c r="GA72" s="59"/>
      <c r="GB72" s="59"/>
      <c r="GC72" s="59"/>
      <c r="GD72" s="59"/>
      <c r="GE72" s="59"/>
      <c r="GF72" s="59"/>
      <c r="GG72" s="59"/>
      <c r="GH72" s="59"/>
      <c r="GI72" s="59"/>
      <c r="GJ72" s="59"/>
      <c r="GK72" s="59"/>
      <c r="GL72" s="59"/>
      <c r="GM72" s="59"/>
      <c r="GN72" s="59"/>
    </row>
    <row r="73" spans="1:196" x14ac:dyDescent="0.3">
      <c r="A73" s="59"/>
      <c r="B73" s="59"/>
      <c r="C73" s="59"/>
      <c r="D73" s="59"/>
      <c r="E73" s="59"/>
      <c r="F73" s="59"/>
      <c r="G73" s="59"/>
      <c r="H73" s="59"/>
      <c r="I73" s="59"/>
      <c r="J73" s="59"/>
      <c r="K73" s="59"/>
      <c r="L73" s="59"/>
      <c r="M73" s="59"/>
      <c r="N73" s="59"/>
      <c r="O73" s="59"/>
      <c r="P73" s="59"/>
      <c r="Q73" s="59"/>
      <c r="R73" s="59"/>
      <c r="S73" s="59"/>
      <c r="T73" s="59"/>
      <c r="U73" s="59"/>
      <c r="V73" s="59"/>
      <c r="W73" s="59"/>
      <c r="X73" s="59"/>
      <c r="Y73" s="59"/>
      <c r="Z73" s="59"/>
      <c r="AA73" s="59"/>
      <c r="AB73" s="59"/>
      <c r="AC73" s="59"/>
      <c r="AD73" s="59"/>
      <c r="AE73" s="59"/>
      <c r="AF73" s="59"/>
      <c r="AG73" s="59"/>
      <c r="AH73" s="59"/>
      <c r="AI73" s="59"/>
      <c r="AJ73" s="59"/>
      <c r="AK73" s="59"/>
      <c r="AL73" s="59"/>
      <c r="AM73" s="59"/>
      <c r="AN73" s="59"/>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c r="BU73" s="59"/>
      <c r="BV73" s="59"/>
      <c r="BW73" s="59"/>
      <c r="BX73" s="59"/>
      <c r="BY73" s="59"/>
      <c r="BZ73" s="59"/>
      <c r="CA73" s="59"/>
      <c r="CB73" s="59"/>
      <c r="CC73" s="59"/>
      <c r="CD73" s="59"/>
      <c r="CE73" s="59"/>
      <c r="CF73" s="59"/>
      <c r="CG73" s="59"/>
      <c r="CH73" s="59"/>
      <c r="CI73" s="59"/>
      <c r="CJ73" s="59"/>
      <c r="CK73" s="59"/>
      <c r="CL73" s="59"/>
      <c r="CM73" s="59"/>
      <c r="CN73" s="59"/>
      <c r="CO73" s="59"/>
      <c r="CP73" s="59"/>
      <c r="CQ73" s="59"/>
      <c r="CR73" s="59"/>
      <c r="CS73" s="59"/>
      <c r="CT73" s="59"/>
      <c r="CU73" s="59"/>
      <c r="CV73" s="59"/>
      <c r="CW73" s="59"/>
      <c r="CX73" s="59"/>
      <c r="CY73" s="59"/>
      <c r="CZ73" s="59"/>
      <c r="DA73" s="59"/>
      <c r="DB73" s="59"/>
      <c r="DC73" s="59"/>
      <c r="DD73" s="59"/>
      <c r="DE73" s="59"/>
      <c r="DF73" s="59"/>
      <c r="DG73" s="59"/>
      <c r="DH73" s="59"/>
      <c r="DI73" s="59"/>
      <c r="DJ73" s="59"/>
      <c r="DK73" s="59"/>
      <c r="DL73" s="59"/>
      <c r="DM73" s="59"/>
      <c r="DN73" s="59"/>
      <c r="DO73" s="59"/>
      <c r="DP73" s="59"/>
      <c r="DQ73" s="59"/>
      <c r="DR73" s="59"/>
      <c r="DS73" s="59"/>
      <c r="DT73" s="59"/>
      <c r="DU73" s="59"/>
      <c r="DV73" s="59"/>
      <c r="DW73" s="59"/>
      <c r="DX73" s="59"/>
      <c r="DY73" s="59"/>
      <c r="DZ73" s="59"/>
      <c r="EA73" s="59"/>
      <c r="EB73" s="59"/>
      <c r="EC73" s="59"/>
      <c r="ED73" s="59"/>
      <c r="EE73" s="59"/>
      <c r="EF73" s="59"/>
      <c r="EG73" s="59"/>
      <c r="EH73" s="59"/>
      <c r="EI73" s="59"/>
      <c r="EJ73" s="59"/>
      <c r="EK73" s="59"/>
      <c r="EL73" s="59"/>
      <c r="EM73" s="59"/>
      <c r="EN73" s="59"/>
      <c r="EO73" s="59"/>
      <c r="EP73" s="59"/>
      <c r="EQ73" s="59"/>
      <c r="ER73" s="59"/>
      <c r="ES73" s="59"/>
      <c r="ET73" s="59"/>
      <c r="EU73" s="59"/>
      <c r="EV73" s="59"/>
      <c r="EW73" s="59"/>
      <c r="EX73" s="59"/>
      <c r="EY73" s="59"/>
      <c r="EZ73" s="59"/>
      <c r="FA73" s="59"/>
      <c r="FB73" s="59"/>
      <c r="FC73" s="59"/>
      <c r="FD73" s="59"/>
      <c r="FE73" s="59"/>
      <c r="FF73" s="59"/>
      <c r="FG73" s="59"/>
      <c r="FH73" s="59"/>
      <c r="FI73" s="59"/>
      <c r="FJ73" s="59"/>
      <c r="FK73" s="59"/>
      <c r="FL73" s="59"/>
      <c r="FM73" s="59"/>
      <c r="FN73" s="59"/>
      <c r="FO73" s="59"/>
      <c r="FP73" s="59"/>
      <c r="FQ73" s="59"/>
      <c r="FR73" s="59"/>
      <c r="FS73" s="59"/>
      <c r="FT73" s="59"/>
      <c r="FU73" s="59"/>
      <c r="FV73" s="59"/>
      <c r="FW73" s="59"/>
      <c r="FX73" s="59"/>
      <c r="FY73" s="59"/>
      <c r="FZ73" s="59"/>
      <c r="GA73" s="59"/>
      <c r="GB73" s="59"/>
      <c r="GC73" s="59"/>
      <c r="GD73" s="59"/>
      <c r="GE73" s="59"/>
      <c r="GF73" s="59"/>
      <c r="GG73" s="59"/>
      <c r="GH73" s="59"/>
      <c r="GI73" s="59"/>
      <c r="GJ73" s="59"/>
      <c r="GK73" s="59"/>
      <c r="GL73" s="59"/>
      <c r="GM73" s="59"/>
      <c r="GN73" s="59"/>
    </row>
    <row r="74" spans="1:196" x14ac:dyDescent="0.3">
      <c r="A74" s="59"/>
      <c r="B74" s="59"/>
      <c r="C74" s="59"/>
      <c r="D74" s="59"/>
      <c r="E74" s="59"/>
      <c r="F74" s="59"/>
      <c r="G74" s="59"/>
      <c r="H74" s="59"/>
      <c r="I74" s="59"/>
      <c r="J74" s="59"/>
      <c r="K74" s="59"/>
      <c r="L74" s="59"/>
      <c r="M74" s="59"/>
      <c r="N74" s="59"/>
      <c r="O74" s="59"/>
      <c r="P74" s="59"/>
      <c r="Q74" s="59"/>
      <c r="R74" s="59"/>
      <c r="S74" s="59"/>
      <c r="T74" s="59"/>
      <c r="U74" s="59"/>
      <c r="V74" s="59"/>
      <c r="W74" s="59"/>
      <c r="X74" s="59"/>
      <c r="Y74" s="59"/>
      <c r="Z74" s="59"/>
      <c r="AA74" s="59"/>
      <c r="AB74" s="59"/>
      <c r="AC74" s="59"/>
      <c r="AD74" s="59"/>
      <c r="AE74" s="59"/>
      <c r="AF74" s="59"/>
      <c r="AG74" s="59"/>
      <c r="AH74" s="59"/>
      <c r="AI74" s="59"/>
      <c r="AJ74" s="59"/>
      <c r="AK74" s="59"/>
      <c r="AL74" s="59"/>
      <c r="AM74" s="59"/>
      <c r="AN74" s="59"/>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c r="BU74" s="59"/>
      <c r="BV74" s="59"/>
      <c r="BW74" s="59"/>
      <c r="BX74" s="59"/>
      <c r="BY74" s="59"/>
      <c r="BZ74" s="59"/>
      <c r="CA74" s="59"/>
      <c r="CB74" s="59"/>
      <c r="CC74" s="59"/>
      <c r="CD74" s="59"/>
      <c r="CE74" s="59"/>
      <c r="CF74" s="59"/>
      <c r="CG74" s="59"/>
      <c r="CH74" s="59"/>
      <c r="CI74" s="59"/>
      <c r="CJ74" s="59"/>
      <c r="CK74" s="59"/>
      <c r="CL74" s="59"/>
      <c r="CM74" s="59"/>
      <c r="CN74" s="59"/>
      <c r="CO74" s="59"/>
      <c r="CP74" s="59"/>
      <c r="CQ74" s="59"/>
      <c r="CR74" s="59"/>
      <c r="CS74" s="59"/>
      <c r="CT74" s="59"/>
      <c r="CU74" s="59"/>
      <c r="CV74" s="59"/>
      <c r="CW74" s="59"/>
      <c r="CX74" s="59"/>
      <c r="CY74" s="59"/>
      <c r="CZ74" s="59"/>
      <c r="DA74" s="59"/>
      <c r="DB74" s="59"/>
      <c r="DC74" s="59"/>
      <c r="DD74" s="59"/>
      <c r="DE74" s="59"/>
      <c r="DF74" s="59"/>
      <c r="DG74" s="59"/>
      <c r="DH74" s="59"/>
      <c r="DI74" s="59"/>
      <c r="DJ74" s="59"/>
      <c r="DK74" s="59"/>
      <c r="DL74" s="59"/>
      <c r="DM74" s="59"/>
      <c r="DN74" s="59"/>
      <c r="DO74" s="59"/>
      <c r="DP74" s="59"/>
      <c r="DQ74" s="59"/>
      <c r="DR74" s="59"/>
      <c r="DS74" s="59"/>
      <c r="DT74" s="59"/>
      <c r="DU74" s="59"/>
      <c r="DV74" s="59"/>
      <c r="DW74" s="59"/>
      <c r="DX74" s="59"/>
      <c r="DY74" s="59"/>
      <c r="DZ74" s="59"/>
      <c r="EA74" s="59"/>
      <c r="EB74" s="59"/>
      <c r="EC74" s="59"/>
      <c r="ED74" s="59"/>
      <c r="EE74" s="59"/>
      <c r="EF74" s="59"/>
      <c r="EG74" s="59"/>
      <c r="EH74" s="59"/>
      <c r="EI74" s="59"/>
      <c r="EJ74" s="59"/>
      <c r="EK74" s="59"/>
      <c r="EL74" s="59"/>
      <c r="EM74" s="59"/>
      <c r="EN74" s="59"/>
      <c r="EO74" s="59"/>
      <c r="EP74" s="59"/>
      <c r="EQ74" s="59"/>
      <c r="ER74" s="59"/>
      <c r="ES74" s="59"/>
      <c r="ET74" s="59"/>
      <c r="EU74" s="59"/>
      <c r="EV74" s="59"/>
      <c r="EW74" s="59"/>
      <c r="EX74" s="59"/>
      <c r="EY74" s="59"/>
      <c r="EZ74" s="59"/>
      <c r="FA74" s="59"/>
      <c r="FB74" s="59"/>
      <c r="FC74" s="59"/>
      <c r="FD74" s="59"/>
      <c r="FE74" s="59"/>
      <c r="FF74" s="59"/>
      <c r="FG74" s="59"/>
      <c r="FH74" s="59"/>
      <c r="FI74" s="59"/>
      <c r="FJ74" s="59"/>
      <c r="FK74" s="59"/>
      <c r="FL74" s="59"/>
      <c r="FM74" s="59"/>
      <c r="FN74" s="59"/>
      <c r="FO74" s="59"/>
      <c r="FP74" s="59"/>
      <c r="FQ74" s="59"/>
      <c r="FR74" s="59"/>
      <c r="FS74" s="59"/>
      <c r="FT74" s="59"/>
      <c r="FU74" s="59"/>
      <c r="FV74" s="59"/>
      <c r="FW74" s="59"/>
      <c r="FX74" s="59"/>
      <c r="FY74" s="59"/>
      <c r="FZ74" s="59"/>
      <c r="GA74" s="59"/>
      <c r="GB74" s="59"/>
      <c r="GC74" s="59"/>
      <c r="GD74" s="59"/>
      <c r="GE74" s="59"/>
      <c r="GF74" s="59"/>
      <c r="GG74" s="59"/>
      <c r="GH74" s="59"/>
      <c r="GI74" s="59"/>
      <c r="GJ74" s="59"/>
      <c r="GK74" s="59"/>
      <c r="GL74" s="59"/>
      <c r="GM74" s="59"/>
      <c r="GN74" s="59"/>
    </row>
    <row r="75" spans="1:196" x14ac:dyDescent="0.3">
      <c r="A75" s="59"/>
      <c r="B75" s="59"/>
      <c r="C75" s="59"/>
      <c r="D75" s="59"/>
      <c r="E75" s="59"/>
      <c r="F75" s="59"/>
      <c r="G75" s="59"/>
      <c r="H75" s="59"/>
      <c r="I75" s="59"/>
      <c r="J75" s="59"/>
      <c r="K75" s="59"/>
      <c r="L75" s="59"/>
      <c r="M75" s="59"/>
      <c r="N75" s="59"/>
      <c r="O75" s="59"/>
      <c r="P75" s="59"/>
      <c r="Q75" s="59"/>
      <c r="R75" s="59"/>
      <c r="S75" s="59"/>
      <c r="T75" s="59"/>
      <c r="U75" s="59"/>
      <c r="V75" s="59"/>
      <c r="W75" s="59"/>
      <c r="X75" s="59"/>
      <c r="Y75" s="59"/>
      <c r="Z75" s="59"/>
      <c r="AA75" s="59"/>
      <c r="AB75" s="59"/>
      <c r="AC75" s="59"/>
      <c r="AD75" s="59"/>
      <c r="AE75" s="59"/>
      <c r="AF75" s="59"/>
      <c r="AG75" s="59"/>
      <c r="AH75" s="59"/>
      <c r="AI75" s="59"/>
      <c r="AJ75" s="59"/>
      <c r="AK75" s="59"/>
      <c r="AL75" s="59"/>
      <c r="AM75" s="59"/>
      <c r="AN75" s="59"/>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c r="BU75" s="59"/>
      <c r="BV75" s="59"/>
      <c r="BW75" s="59"/>
      <c r="BX75" s="59"/>
      <c r="BY75" s="59"/>
      <c r="BZ75" s="59"/>
      <c r="CA75" s="59"/>
      <c r="CB75" s="59"/>
      <c r="CC75" s="59"/>
      <c r="CD75" s="59"/>
      <c r="CE75" s="59"/>
      <c r="CF75" s="59"/>
      <c r="CG75" s="59"/>
      <c r="CH75" s="59"/>
      <c r="CI75" s="59"/>
      <c r="CJ75" s="59"/>
      <c r="CK75" s="59"/>
      <c r="CL75" s="59"/>
      <c r="CM75" s="59"/>
      <c r="CN75" s="59"/>
      <c r="CO75" s="59"/>
      <c r="CP75" s="59"/>
      <c r="CQ75" s="59"/>
      <c r="CR75" s="59"/>
      <c r="CS75" s="59"/>
      <c r="CT75" s="59"/>
      <c r="CU75" s="59"/>
      <c r="CV75" s="59"/>
      <c r="CW75" s="59"/>
      <c r="CX75" s="59"/>
      <c r="CY75" s="59"/>
      <c r="CZ75" s="59"/>
      <c r="DA75" s="59"/>
      <c r="DB75" s="59"/>
      <c r="DC75" s="59"/>
      <c r="DD75" s="59"/>
      <c r="DE75" s="59"/>
      <c r="DF75" s="59"/>
      <c r="DG75" s="59"/>
      <c r="DH75" s="59"/>
      <c r="DI75" s="59"/>
      <c r="DJ75" s="59"/>
      <c r="DK75" s="59"/>
      <c r="DL75" s="59"/>
      <c r="DM75" s="59"/>
      <c r="DN75" s="59"/>
      <c r="DO75" s="59"/>
      <c r="DP75" s="59"/>
      <c r="DQ75" s="59"/>
      <c r="DR75" s="59"/>
      <c r="DS75" s="59"/>
      <c r="DT75" s="59"/>
      <c r="DU75" s="59"/>
      <c r="DV75" s="59"/>
      <c r="DW75" s="59"/>
      <c r="DX75" s="59"/>
      <c r="DY75" s="59"/>
      <c r="DZ75" s="59"/>
      <c r="EA75" s="59"/>
      <c r="EB75" s="59"/>
      <c r="EC75" s="59"/>
      <c r="ED75" s="59"/>
      <c r="EE75" s="59"/>
      <c r="EF75" s="59"/>
      <c r="EG75" s="59"/>
      <c r="EH75" s="59"/>
      <c r="EI75" s="59"/>
      <c r="EJ75" s="59"/>
      <c r="EK75" s="59"/>
      <c r="EL75" s="59"/>
      <c r="EM75" s="59"/>
      <c r="EN75" s="59"/>
      <c r="EO75" s="59"/>
      <c r="EP75" s="59"/>
      <c r="EQ75" s="59"/>
      <c r="ER75" s="59"/>
      <c r="ES75" s="59"/>
      <c r="ET75" s="59"/>
      <c r="EU75" s="59"/>
      <c r="EV75" s="59"/>
      <c r="EW75" s="59"/>
      <c r="EX75" s="59"/>
      <c r="EY75" s="59"/>
      <c r="EZ75" s="59"/>
      <c r="FA75" s="59"/>
      <c r="FB75" s="59"/>
      <c r="FC75" s="59"/>
      <c r="FD75" s="59"/>
      <c r="FE75" s="59"/>
      <c r="FF75" s="59"/>
      <c r="FG75" s="59"/>
      <c r="FH75" s="59"/>
      <c r="FI75" s="59"/>
      <c r="FJ75" s="59"/>
      <c r="FK75" s="59"/>
      <c r="FL75" s="59"/>
      <c r="FM75" s="59"/>
      <c r="FN75" s="59"/>
      <c r="FO75" s="59"/>
      <c r="FP75" s="59"/>
      <c r="FQ75" s="59"/>
      <c r="FR75" s="59"/>
      <c r="FS75" s="59"/>
      <c r="FT75" s="59"/>
      <c r="FU75" s="59"/>
      <c r="FV75" s="59"/>
      <c r="FW75" s="59"/>
      <c r="FX75" s="59"/>
      <c r="FY75" s="59"/>
      <c r="FZ75" s="59"/>
      <c r="GA75" s="59"/>
      <c r="GB75" s="59"/>
      <c r="GC75" s="59"/>
      <c r="GD75" s="59"/>
      <c r="GE75" s="59"/>
      <c r="GF75" s="59"/>
      <c r="GG75" s="59"/>
      <c r="GH75" s="59"/>
      <c r="GI75" s="59"/>
      <c r="GJ75" s="59"/>
      <c r="GK75" s="59"/>
      <c r="GL75" s="59"/>
      <c r="GM75" s="59"/>
      <c r="GN75" s="59"/>
    </row>
    <row r="76" spans="1:196" x14ac:dyDescent="0.3">
      <c r="A76" s="59"/>
      <c r="B76" s="59"/>
      <c r="C76" s="59"/>
      <c r="D76" s="59"/>
      <c r="E76" s="59"/>
      <c r="F76" s="59"/>
      <c r="G76" s="59"/>
      <c r="H76" s="59"/>
      <c r="I76" s="59"/>
      <c r="J76" s="59"/>
      <c r="K76" s="59"/>
      <c r="L76" s="59"/>
      <c r="M76" s="59"/>
      <c r="N76" s="59"/>
      <c r="O76" s="59"/>
      <c r="P76" s="59"/>
      <c r="Q76" s="59"/>
      <c r="R76" s="59"/>
      <c r="S76" s="59"/>
      <c r="T76" s="59"/>
      <c r="U76" s="59"/>
      <c r="V76" s="59"/>
      <c r="W76" s="59"/>
      <c r="X76" s="59"/>
      <c r="Y76" s="59"/>
      <c r="Z76" s="59"/>
      <c r="AA76" s="59"/>
      <c r="AB76" s="59"/>
      <c r="AC76" s="59"/>
      <c r="AD76" s="59"/>
      <c r="AE76" s="59"/>
      <c r="AF76" s="59"/>
      <c r="AG76" s="59"/>
      <c r="AH76" s="59"/>
      <c r="AI76" s="59"/>
      <c r="AJ76" s="59"/>
      <c r="AK76" s="59"/>
      <c r="AL76" s="59"/>
      <c r="AM76" s="59"/>
      <c r="AN76" s="59"/>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c r="BU76" s="59"/>
      <c r="BV76" s="59"/>
      <c r="BW76" s="59"/>
      <c r="BX76" s="59"/>
      <c r="BY76" s="59"/>
      <c r="BZ76" s="59"/>
      <c r="CA76" s="59"/>
      <c r="CB76" s="59"/>
      <c r="CC76" s="59"/>
      <c r="CD76" s="59"/>
      <c r="CE76" s="59"/>
      <c r="CF76" s="59"/>
      <c r="CG76" s="59"/>
      <c r="CH76" s="59"/>
      <c r="CI76" s="59"/>
      <c r="CJ76" s="59"/>
      <c r="CK76" s="59"/>
      <c r="CL76" s="59"/>
      <c r="CM76" s="59"/>
      <c r="CN76" s="59"/>
      <c r="CO76" s="59"/>
      <c r="CP76" s="59"/>
      <c r="CQ76" s="59"/>
      <c r="CR76" s="59"/>
      <c r="CS76" s="59"/>
      <c r="CT76" s="59"/>
      <c r="CU76" s="59"/>
      <c r="CV76" s="59"/>
      <c r="CW76" s="59"/>
      <c r="CX76" s="59"/>
      <c r="CY76" s="59"/>
      <c r="CZ76" s="59"/>
      <c r="DA76" s="59"/>
      <c r="DB76" s="59"/>
      <c r="DC76" s="59"/>
      <c r="DD76" s="59"/>
      <c r="DE76" s="59"/>
      <c r="DF76" s="59"/>
      <c r="DG76" s="59"/>
      <c r="DH76" s="59"/>
      <c r="DI76" s="59"/>
      <c r="DJ76" s="59"/>
      <c r="DK76" s="59"/>
      <c r="DL76" s="59"/>
      <c r="DM76" s="59"/>
      <c r="DN76" s="59"/>
      <c r="DO76" s="59"/>
      <c r="DP76" s="59"/>
      <c r="DQ76" s="59"/>
      <c r="DR76" s="59"/>
      <c r="DS76" s="59"/>
      <c r="DT76" s="59"/>
      <c r="DU76" s="59"/>
      <c r="DV76" s="59"/>
      <c r="DW76" s="59"/>
      <c r="DX76" s="59"/>
      <c r="DY76" s="59"/>
      <c r="DZ76" s="59"/>
      <c r="EA76" s="59"/>
      <c r="EB76" s="59"/>
      <c r="EC76" s="59"/>
      <c r="ED76" s="59"/>
      <c r="EE76" s="59"/>
      <c r="EF76" s="59"/>
      <c r="EG76" s="59"/>
      <c r="EH76" s="59"/>
      <c r="EI76" s="59"/>
      <c r="EJ76" s="59"/>
      <c r="EK76" s="59"/>
      <c r="EL76" s="59"/>
      <c r="EM76" s="59"/>
      <c r="EN76" s="59"/>
      <c r="EO76" s="59"/>
      <c r="EP76" s="59"/>
      <c r="EQ76" s="59"/>
      <c r="ER76" s="59"/>
      <c r="ES76" s="59"/>
      <c r="ET76" s="59"/>
      <c r="EU76" s="59"/>
      <c r="EV76" s="59"/>
      <c r="EW76" s="59"/>
      <c r="EX76" s="59"/>
      <c r="EY76" s="59"/>
      <c r="EZ76" s="59"/>
      <c r="FA76" s="59"/>
      <c r="FB76" s="59"/>
      <c r="FC76" s="59"/>
      <c r="FD76" s="59"/>
      <c r="FE76" s="59"/>
      <c r="FF76" s="59"/>
      <c r="FG76" s="59"/>
      <c r="FH76" s="59"/>
      <c r="FI76" s="59"/>
      <c r="FJ76" s="59"/>
      <c r="FK76" s="59"/>
      <c r="FL76" s="59"/>
      <c r="FM76" s="59"/>
      <c r="FN76" s="59"/>
      <c r="FO76" s="59"/>
      <c r="FP76" s="59"/>
      <c r="FQ76" s="59"/>
      <c r="FR76" s="59"/>
      <c r="FS76" s="59"/>
      <c r="FT76" s="59"/>
      <c r="FU76" s="59"/>
      <c r="FV76" s="59"/>
      <c r="FW76" s="59"/>
      <c r="FX76" s="59"/>
      <c r="FY76" s="59"/>
      <c r="FZ76" s="59"/>
      <c r="GA76" s="59"/>
      <c r="GB76" s="59"/>
      <c r="GC76" s="59"/>
      <c r="GD76" s="59"/>
      <c r="GE76" s="59"/>
      <c r="GF76" s="59"/>
      <c r="GG76" s="59"/>
      <c r="GH76" s="59"/>
      <c r="GI76" s="59"/>
      <c r="GJ76" s="59"/>
      <c r="GK76" s="59"/>
      <c r="GL76" s="59"/>
      <c r="GM76" s="59"/>
      <c r="GN76" s="59"/>
    </row>
    <row r="77" spans="1:196" x14ac:dyDescent="0.3">
      <c r="A77" s="59"/>
      <c r="B77" s="59"/>
      <c r="C77" s="59"/>
      <c r="D77" s="59"/>
      <c r="E77" s="59"/>
      <c r="F77" s="59"/>
      <c r="G77" s="59"/>
      <c r="H77" s="59"/>
      <c r="I77" s="59"/>
      <c r="J77" s="59"/>
      <c r="K77" s="59"/>
      <c r="L77" s="59"/>
      <c r="M77" s="59"/>
      <c r="N77" s="59"/>
      <c r="O77" s="59"/>
      <c r="P77" s="59"/>
      <c r="Q77" s="59"/>
      <c r="R77" s="59"/>
      <c r="S77" s="59"/>
      <c r="T77" s="59"/>
      <c r="U77" s="59"/>
      <c r="V77" s="59"/>
      <c r="W77" s="59"/>
      <c r="X77" s="59"/>
      <c r="Y77" s="59"/>
      <c r="Z77" s="59"/>
      <c r="AA77" s="59"/>
      <c r="AB77" s="59"/>
      <c r="AC77" s="59"/>
      <c r="AD77" s="59"/>
      <c r="AE77" s="59"/>
      <c r="AF77" s="59"/>
      <c r="AG77" s="59"/>
      <c r="AH77" s="59"/>
      <c r="AI77" s="59"/>
      <c r="AJ77" s="59"/>
      <c r="AK77" s="59"/>
      <c r="AL77" s="59"/>
      <c r="AM77" s="59"/>
      <c r="AN77" s="59"/>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c r="BU77" s="59"/>
      <c r="BV77" s="59"/>
      <c r="BW77" s="59"/>
      <c r="BX77" s="59"/>
      <c r="BY77" s="59"/>
      <c r="BZ77" s="59"/>
      <c r="CA77" s="59"/>
      <c r="CB77" s="59"/>
      <c r="CC77" s="59"/>
      <c r="CD77" s="59"/>
      <c r="CE77" s="59"/>
      <c r="CF77" s="59"/>
      <c r="CG77" s="59"/>
      <c r="CH77" s="59"/>
      <c r="CI77" s="59"/>
      <c r="CJ77" s="59"/>
      <c r="CK77" s="59"/>
      <c r="CL77" s="59"/>
      <c r="CM77" s="59"/>
      <c r="CN77" s="59"/>
      <c r="CO77" s="59"/>
      <c r="CP77" s="59"/>
      <c r="CQ77" s="59"/>
      <c r="CR77" s="59"/>
      <c r="CS77" s="59"/>
      <c r="CT77" s="59"/>
      <c r="CU77" s="59"/>
      <c r="CV77" s="59"/>
      <c r="CW77" s="59"/>
      <c r="CX77" s="59"/>
      <c r="CY77" s="59"/>
      <c r="CZ77" s="59"/>
      <c r="DA77" s="59"/>
      <c r="DB77" s="59"/>
      <c r="DC77" s="59"/>
      <c r="DD77" s="59"/>
      <c r="DE77" s="59"/>
      <c r="DF77" s="59"/>
      <c r="DG77" s="59"/>
      <c r="DH77" s="59"/>
      <c r="DI77" s="59"/>
      <c r="DJ77" s="59"/>
      <c r="DK77" s="59"/>
      <c r="DL77" s="59"/>
      <c r="DM77" s="59"/>
      <c r="DN77" s="59"/>
      <c r="DO77" s="59"/>
      <c r="DP77" s="59"/>
      <c r="DQ77" s="59"/>
      <c r="DR77" s="59"/>
      <c r="DS77" s="59"/>
      <c r="DT77" s="59"/>
      <c r="DU77" s="59"/>
      <c r="DV77" s="59"/>
      <c r="DW77" s="59"/>
      <c r="DX77" s="59"/>
      <c r="DY77" s="59"/>
      <c r="DZ77" s="59"/>
      <c r="EA77" s="59"/>
      <c r="EB77" s="59"/>
      <c r="EC77" s="59"/>
      <c r="ED77" s="59"/>
      <c r="EE77" s="59"/>
      <c r="EF77" s="59"/>
      <c r="EG77" s="59"/>
      <c r="EH77" s="59"/>
      <c r="EI77" s="59"/>
      <c r="EJ77" s="59"/>
      <c r="EK77" s="59"/>
      <c r="EL77" s="59"/>
      <c r="EM77" s="59"/>
      <c r="EN77" s="59"/>
      <c r="EO77" s="59"/>
      <c r="EP77" s="59"/>
      <c r="EQ77" s="59"/>
      <c r="ER77" s="59"/>
      <c r="ES77" s="59"/>
      <c r="ET77" s="59"/>
      <c r="EU77" s="59"/>
      <c r="EV77" s="59"/>
      <c r="EW77" s="59"/>
      <c r="EX77" s="59"/>
      <c r="EY77" s="59"/>
      <c r="EZ77" s="59"/>
      <c r="FA77" s="59"/>
      <c r="FB77" s="59"/>
      <c r="FC77" s="59"/>
      <c r="FD77" s="59"/>
      <c r="FE77" s="59"/>
      <c r="FF77" s="59"/>
      <c r="FG77" s="59"/>
      <c r="FH77" s="59"/>
      <c r="FI77" s="59"/>
      <c r="FJ77" s="59"/>
      <c r="FK77" s="59"/>
      <c r="FL77" s="59"/>
      <c r="FM77" s="59"/>
      <c r="FN77" s="59"/>
      <c r="FO77" s="59"/>
      <c r="FP77" s="59"/>
      <c r="FQ77" s="59"/>
      <c r="FR77" s="59"/>
      <c r="FS77" s="59"/>
      <c r="FT77" s="59"/>
      <c r="FU77" s="59"/>
      <c r="FV77" s="59"/>
      <c r="FW77" s="59"/>
      <c r="FX77" s="59"/>
      <c r="FY77" s="59"/>
      <c r="FZ77" s="59"/>
      <c r="GA77" s="59"/>
      <c r="GB77" s="59"/>
      <c r="GC77" s="59"/>
      <c r="GD77" s="59"/>
      <c r="GE77" s="59"/>
      <c r="GF77" s="59"/>
      <c r="GG77" s="59"/>
      <c r="GH77" s="59"/>
      <c r="GI77" s="59"/>
      <c r="GJ77" s="59"/>
      <c r="GK77" s="59"/>
      <c r="GL77" s="59"/>
      <c r="GM77" s="59"/>
      <c r="GN77" s="59"/>
    </row>
    <row r="78" spans="1:196" x14ac:dyDescent="0.3">
      <c r="A78" s="59"/>
      <c r="B78" s="59"/>
      <c r="C78" s="59"/>
      <c r="D78" s="59"/>
      <c r="E78" s="59"/>
      <c r="F78" s="59"/>
      <c r="G78" s="59"/>
      <c r="H78" s="59"/>
      <c r="I78" s="59"/>
      <c r="J78" s="59"/>
      <c r="K78" s="59"/>
      <c r="L78" s="59"/>
      <c r="M78" s="59"/>
      <c r="N78" s="59"/>
      <c r="O78" s="59"/>
      <c r="P78" s="59"/>
      <c r="Q78" s="59"/>
      <c r="R78" s="59"/>
      <c r="S78" s="59"/>
      <c r="T78" s="59"/>
      <c r="U78" s="59"/>
      <c r="V78" s="59"/>
      <c r="W78" s="59"/>
      <c r="X78" s="59"/>
      <c r="Y78" s="59"/>
      <c r="Z78" s="59"/>
      <c r="AA78" s="59"/>
      <c r="AB78" s="59"/>
      <c r="AC78" s="59"/>
      <c r="AD78" s="59"/>
      <c r="AE78" s="59"/>
      <c r="AF78" s="59"/>
      <c r="AG78" s="59"/>
      <c r="AH78" s="59"/>
      <c r="AI78" s="59"/>
      <c r="AJ78" s="59"/>
      <c r="AK78" s="59"/>
      <c r="AL78" s="59"/>
      <c r="AM78" s="59"/>
      <c r="AN78" s="59"/>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c r="BU78" s="59"/>
      <c r="BV78" s="59"/>
      <c r="BW78" s="59"/>
      <c r="BX78" s="59"/>
      <c r="BY78" s="59"/>
      <c r="BZ78" s="59"/>
      <c r="CA78" s="59"/>
      <c r="CB78" s="59"/>
      <c r="CC78" s="59"/>
      <c r="CD78" s="59"/>
      <c r="CE78" s="59"/>
      <c r="CF78" s="59"/>
      <c r="CG78" s="59"/>
      <c r="CH78" s="59"/>
      <c r="CI78" s="59"/>
      <c r="CJ78" s="59"/>
      <c r="CK78" s="59"/>
      <c r="CL78" s="59"/>
      <c r="CM78" s="59"/>
      <c r="CN78" s="59"/>
      <c r="CO78" s="59"/>
      <c r="CP78" s="59"/>
      <c r="CQ78" s="59"/>
      <c r="CR78" s="59"/>
      <c r="CS78" s="59"/>
      <c r="CT78" s="59"/>
      <c r="CU78" s="59"/>
      <c r="CV78" s="59"/>
      <c r="CW78" s="59"/>
      <c r="CX78" s="59"/>
      <c r="CY78" s="59"/>
      <c r="CZ78" s="59"/>
      <c r="DA78" s="59"/>
      <c r="DB78" s="59"/>
      <c r="DC78" s="59"/>
      <c r="DD78" s="59"/>
      <c r="DE78" s="59"/>
      <c r="DF78" s="59"/>
      <c r="DG78" s="59"/>
      <c r="DH78" s="59"/>
      <c r="DI78" s="59"/>
      <c r="DJ78" s="59"/>
      <c r="DK78" s="59"/>
      <c r="DL78" s="59"/>
      <c r="DM78" s="59"/>
      <c r="DN78" s="59"/>
      <c r="DO78" s="59"/>
      <c r="DP78" s="59"/>
      <c r="DQ78" s="59"/>
      <c r="DR78" s="59"/>
      <c r="DS78" s="59"/>
      <c r="DT78" s="59"/>
      <c r="DU78" s="59"/>
      <c r="DV78" s="59"/>
      <c r="DW78" s="59"/>
      <c r="DX78" s="59"/>
      <c r="DY78" s="59"/>
      <c r="DZ78" s="59"/>
      <c r="EA78" s="59"/>
      <c r="EB78" s="59"/>
      <c r="EC78" s="59"/>
      <c r="ED78" s="59"/>
      <c r="EE78" s="59"/>
      <c r="EF78" s="59"/>
      <c r="EG78" s="59"/>
      <c r="EH78" s="59"/>
      <c r="EI78" s="59"/>
      <c r="EJ78" s="59"/>
      <c r="EK78" s="59"/>
      <c r="EL78" s="59"/>
      <c r="EM78" s="59"/>
      <c r="EN78" s="59"/>
      <c r="EO78" s="59"/>
      <c r="EP78" s="59"/>
      <c r="EQ78" s="59"/>
      <c r="ER78" s="59"/>
      <c r="ES78" s="59"/>
      <c r="ET78" s="59"/>
      <c r="EU78" s="59"/>
      <c r="EV78" s="59"/>
      <c r="EW78" s="59"/>
      <c r="EX78" s="59"/>
      <c r="EY78" s="59"/>
      <c r="EZ78" s="59"/>
      <c r="FA78" s="59"/>
      <c r="FB78" s="59"/>
      <c r="FC78" s="59"/>
      <c r="FD78" s="59"/>
      <c r="FE78" s="59"/>
      <c r="FF78" s="59"/>
      <c r="FG78" s="59"/>
      <c r="FH78" s="59"/>
      <c r="FI78" s="59"/>
      <c r="FJ78" s="59"/>
      <c r="FK78" s="59"/>
      <c r="FL78" s="59"/>
      <c r="FM78" s="59"/>
      <c r="FN78" s="59"/>
      <c r="FO78" s="59"/>
      <c r="FP78" s="59"/>
      <c r="FQ78" s="59"/>
      <c r="FR78" s="59"/>
      <c r="FS78" s="59"/>
      <c r="FT78" s="59"/>
      <c r="FU78" s="59"/>
      <c r="FV78" s="59"/>
      <c r="FW78" s="59"/>
      <c r="FX78" s="59"/>
      <c r="FY78" s="59"/>
      <c r="FZ78" s="59"/>
      <c r="GA78" s="59"/>
      <c r="GB78" s="59"/>
      <c r="GC78" s="59"/>
      <c r="GD78" s="59"/>
      <c r="GE78" s="59"/>
      <c r="GF78" s="59"/>
      <c r="GG78" s="59"/>
      <c r="GH78" s="59"/>
      <c r="GI78" s="59"/>
      <c r="GJ78" s="59"/>
      <c r="GK78" s="59"/>
      <c r="GL78" s="59"/>
      <c r="GM78" s="59"/>
      <c r="GN78" s="59"/>
    </row>
    <row r="79" spans="1:196" x14ac:dyDescent="0.3">
      <c r="A79" s="59"/>
      <c r="B79" s="59"/>
      <c r="C79" s="59"/>
      <c r="D79" s="59"/>
      <c r="E79" s="59"/>
      <c r="F79" s="59"/>
      <c r="G79" s="59"/>
      <c r="H79" s="59"/>
      <c r="I79" s="59"/>
      <c r="J79" s="59"/>
      <c r="K79" s="59"/>
      <c r="L79" s="59"/>
      <c r="M79" s="59"/>
      <c r="N79" s="59"/>
      <c r="O79" s="59"/>
      <c r="P79" s="59"/>
      <c r="Q79" s="59"/>
      <c r="R79" s="59"/>
      <c r="S79" s="59"/>
      <c r="T79" s="59"/>
      <c r="U79" s="59"/>
      <c r="V79" s="59"/>
      <c r="W79" s="59"/>
      <c r="X79" s="59"/>
      <c r="Y79" s="59"/>
      <c r="Z79" s="59"/>
      <c r="AA79" s="59"/>
      <c r="AB79" s="59"/>
      <c r="AC79" s="59"/>
      <c r="AD79" s="59"/>
      <c r="AE79" s="59"/>
      <c r="AF79" s="59"/>
      <c r="AG79" s="59"/>
      <c r="AH79" s="59"/>
      <c r="AI79" s="59"/>
      <c r="AJ79" s="59"/>
      <c r="AK79" s="59"/>
      <c r="AL79" s="59"/>
      <c r="AM79" s="59"/>
      <c r="AN79" s="59"/>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c r="BU79" s="59"/>
      <c r="BV79" s="59"/>
      <c r="BW79" s="59"/>
      <c r="BX79" s="59"/>
      <c r="BY79" s="59"/>
      <c r="BZ79" s="59"/>
      <c r="CA79" s="59"/>
      <c r="CB79" s="59"/>
      <c r="CC79" s="59"/>
      <c r="CD79" s="59"/>
      <c r="CE79" s="59"/>
      <c r="CF79" s="59"/>
      <c r="CG79" s="59"/>
      <c r="CH79" s="59"/>
      <c r="CI79" s="59"/>
      <c r="CJ79" s="59"/>
      <c r="CK79" s="59"/>
      <c r="CL79" s="59"/>
      <c r="CM79" s="59"/>
      <c r="CN79" s="59"/>
      <c r="CO79" s="59"/>
      <c r="CP79" s="59"/>
      <c r="CQ79" s="59"/>
      <c r="CR79" s="59"/>
      <c r="CS79" s="59"/>
      <c r="CT79" s="59"/>
      <c r="CU79" s="59"/>
      <c r="CV79" s="59"/>
      <c r="CW79" s="59"/>
      <c r="CX79" s="59"/>
      <c r="CY79" s="59"/>
      <c r="CZ79" s="59"/>
      <c r="DA79" s="59"/>
      <c r="DB79" s="59"/>
      <c r="DC79" s="59"/>
      <c r="DD79" s="59"/>
      <c r="DE79" s="59"/>
      <c r="DF79" s="59"/>
      <c r="DG79" s="59"/>
      <c r="DH79" s="59"/>
      <c r="DI79" s="59"/>
      <c r="DJ79" s="59"/>
      <c r="DK79" s="59"/>
      <c r="DL79" s="59"/>
      <c r="DM79" s="59"/>
      <c r="DN79" s="59"/>
      <c r="DO79" s="59"/>
      <c r="DP79" s="59"/>
      <c r="DQ79" s="59"/>
      <c r="DR79" s="59"/>
      <c r="DS79" s="59"/>
      <c r="DT79" s="59"/>
      <c r="DU79" s="59"/>
      <c r="DV79" s="59"/>
      <c r="DW79" s="59"/>
      <c r="DX79" s="59"/>
      <c r="DY79" s="59"/>
      <c r="DZ79" s="59"/>
      <c r="EA79" s="59"/>
      <c r="EB79" s="59"/>
      <c r="EC79" s="59"/>
      <c r="ED79" s="59"/>
      <c r="EE79" s="59"/>
      <c r="EF79" s="59"/>
      <c r="EG79" s="59"/>
      <c r="EH79" s="59"/>
      <c r="EI79" s="59"/>
      <c r="EJ79" s="59"/>
      <c r="EK79" s="59"/>
      <c r="EL79" s="59"/>
      <c r="EM79" s="59"/>
      <c r="EN79" s="59"/>
      <c r="EO79" s="59"/>
      <c r="EP79" s="59"/>
      <c r="EQ79" s="59"/>
      <c r="ER79" s="59"/>
      <c r="ES79" s="59"/>
      <c r="ET79" s="59"/>
      <c r="EU79" s="59"/>
      <c r="EV79" s="59"/>
      <c r="EW79" s="59"/>
      <c r="EX79" s="59"/>
      <c r="EY79" s="59"/>
      <c r="EZ79" s="59"/>
      <c r="FA79" s="59"/>
      <c r="FB79" s="59"/>
      <c r="FC79" s="59"/>
      <c r="FD79" s="59"/>
      <c r="FE79" s="59"/>
      <c r="FF79" s="59"/>
      <c r="FG79" s="59"/>
      <c r="FH79" s="59"/>
      <c r="FI79" s="59"/>
      <c r="FJ79" s="59"/>
      <c r="FK79" s="59"/>
      <c r="FL79" s="59"/>
      <c r="FM79" s="59"/>
      <c r="FN79" s="59"/>
      <c r="FO79" s="59"/>
      <c r="FP79" s="59"/>
      <c r="FQ79" s="59"/>
      <c r="FR79" s="59"/>
      <c r="FS79" s="59"/>
      <c r="FT79" s="59"/>
      <c r="FU79" s="59"/>
      <c r="FV79" s="59"/>
      <c r="FW79" s="59"/>
      <c r="FX79" s="59"/>
      <c r="FY79" s="59"/>
      <c r="FZ79" s="59"/>
      <c r="GA79" s="59"/>
      <c r="GB79" s="59"/>
      <c r="GC79" s="59"/>
      <c r="GD79" s="59"/>
      <c r="GE79" s="59"/>
      <c r="GF79" s="59"/>
      <c r="GG79" s="59"/>
      <c r="GH79" s="59"/>
      <c r="GI79" s="59"/>
      <c r="GJ79" s="59"/>
      <c r="GK79" s="59"/>
      <c r="GL79" s="59"/>
      <c r="GM79" s="59"/>
      <c r="GN79" s="59"/>
    </row>
    <row r="80" spans="1:196" x14ac:dyDescent="0.3">
      <c r="A80" s="59"/>
      <c r="B80" s="59"/>
      <c r="C80" s="59"/>
      <c r="D80" s="59"/>
      <c r="E80" s="59"/>
      <c r="F80" s="59"/>
      <c r="G80" s="59"/>
      <c r="H80" s="59"/>
      <c r="I80" s="59"/>
      <c r="J80" s="59"/>
      <c r="K80" s="59"/>
      <c r="L80" s="59"/>
      <c r="M80" s="59"/>
      <c r="N80" s="59"/>
      <c r="O80" s="59"/>
      <c r="P80" s="59"/>
      <c r="Q80" s="59"/>
      <c r="R80" s="59"/>
      <c r="S80" s="59"/>
      <c r="T80" s="59"/>
      <c r="U80" s="59"/>
      <c r="V80" s="59"/>
      <c r="W80" s="59"/>
      <c r="X80" s="59"/>
      <c r="Y80" s="59"/>
      <c r="Z80" s="59"/>
      <c r="AA80" s="59"/>
      <c r="AB80" s="59"/>
      <c r="AC80" s="59"/>
      <c r="AD80" s="59"/>
      <c r="AE80" s="59"/>
      <c r="AF80" s="59"/>
      <c r="AG80" s="59"/>
      <c r="AH80" s="59"/>
      <c r="AI80" s="59"/>
      <c r="AJ80" s="59"/>
      <c r="AK80" s="59"/>
      <c r="AL80" s="59"/>
      <c r="AM80" s="59"/>
      <c r="AN80" s="59"/>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c r="BU80" s="59"/>
      <c r="BV80" s="59"/>
      <c r="BW80" s="59"/>
      <c r="BX80" s="59"/>
      <c r="BY80" s="59"/>
      <c r="BZ80" s="59"/>
      <c r="CA80" s="59"/>
      <c r="CB80" s="59"/>
      <c r="CC80" s="59"/>
      <c r="CD80" s="59"/>
      <c r="CE80" s="59"/>
      <c r="CF80" s="59"/>
      <c r="CG80" s="59"/>
      <c r="CH80" s="59"/>
      <c r="CI80" s="59"/>
      <c r="CJ80" s="59"/>
      <c r="CK80" s="59"/>
      <c r="CL80" s="59"/>
      <c r="CM80" s="59"/>
      <c r="CN80" s="59"/>
      <c r="CO80" s="59"/>
      <c r="CP80" s="59"/>
      <c r="CQ80" s="59"/>
      <c r="CR80" s="59"/>
      <c r="CS80" s="59"/>
      <c r="CT80" s="59"/>
      <c r="CU80" s="59"/>
      <c r="CV80" s="59"/>
      <c r="CW80" s="59"/>
      <c r="CX80" s="59"/>
      <c r="CY80" s="59"/>
      <c r="CZ80" s="59"/>
      <c r="DA80" s="59"/>
      <c r="DB80" s="59"/>
      <c r="DC80" s="59"/>
      <c r="DD80" s="59"/>
      <c r="DE80" s="59"/>
      <c r="DF80" s="59"/>
      <c r="DG80" s="59"/>
      <c r="DH80" s="59"/>
      <c r="DI80" s="59"/>
      <c r="DJ80" s="59"/>
      <c r="DK80" s="59"/>
      <c r="DL80" s="59"/>
      <c r="DM80" s="59"/>
      <c r="DN80" s="59"/>
      <c r="DO80" s="59"/>
      <c r="DP80" s="59"/>
      <c r="DQ80" s="59"/>
      <c r="DR80" s="59"/>
      <c r="DS80" s="59"/>
      <c r="DT80" s="59"/>
      <c r="DU80" s="59"/>
      <c r="DV80" s="59"/>
      <c r="DW80" s="59"/>
      <c r="DX80" s="59"/>
      <c r="DY80" s="59"/>
      <c r="DZ80" s="59"/>
      <c r="EA80" s="59"/>
      <c r="EB80" s="59"/>
      <c r="EC80" s="59"/>
      <c r="ED80" s="59"/>
      <c r="EE80" s="59"/>
      <c r="EF80" s="59"/>
      <c r="EG80" s="59"/>
      <c r="EH80" s="59"/>
      <c r="EI80" s="59"/>
      <c r="EJ80" s="59"/>
      <c r="EK80" s="59"/>
      <c r="EL80" s="59"/>
      <c r="EM80" s="59"/>
      <c r="EN80" s="59"/>
      <c r="EO80" s="59"/>
      <c r="EP80" s="59"/>
      <c r="EQ80" s="59"/>
      <c r="ER80" s="59"/>
      <c r="ES80" s="59"/>
      <c r="ET80" s="59"/>
      <c r="EU80" s="59"/>
      <c r="EV80" s="59"/>
      <c r="EW80" s="59"/>
      <c r="EX80" s="59"/>
      <c r="EY80" s="59"/>
      <c r="EZ80" s="59"/>
      <c r="FA80" s="59"/>
      <c r="FB80" s="59"/>
      <c r="FC80" s="59"/>
      <c r="FD80" s="59"/>
      <c r="FE80" s="59"/>
      <c r="FF80" s="59"/>
      <c r="FG80" s="59"/>
      <c r="FH80" s="59"/>
      <c r="FI80" s="59"/>
      <c r="FJ80" s="59"/>
      <c r="FK80" s="59"/>
      <c r="FL80" s="59"/>
      <c r="FM80" s="59"/>
      <c r="FN80" s="59"/>
      <c r="FO80" s="59"/>
      <c r="FP80" s="59"/>
      <c r="FQ80" s="59"/>
      <c r="FR80" s="59"/>
      <c r="FS80" s="59"/>
      <c r="FT80" s="59"/>
      <c r="FU80" s="59"/>
      <c r="FV80" s="59"/>
      <c r="FW80" s="59"/>
      <c r="FX80" s="59"/>
      <c r="FY80" s="59"/>
      <c r="FZ80" s="59"/>
      <c r="GA80" s="59"/>
      <c r="GB80" s="59"/>
      <c r="GC80" s="59"/>
      <c r="GD80" s="59"/>
      <c r="GE80" s="59"/>
      <c r="GF80" s="59"/>
      <c r="GG80" s="59"/>
      <c r="GH80" s="59"/>
      <c r="GI80" s="59"/>
      <c r="GJ80" s="59"/>
      <c r="GK80" s="59"/>
      <c r="GL80" s="59"/>
      <c r="GM80" s="59"/>
      <c r="GN80" s="59"/>
    </row>
    <row r="81" spans="1:196" x14ac:dyDescent="0.3">
      <c r="A81" s="59"/>
      <c r="B81" s="59"/>
      <c r="C81" s="59"/>
      <c r="D81" s="59"/>
      <c r="E81" s="59"/>
      <c r="F81" s="59"/>
      <c r="G81" s="59"/>
      <c r="H81" s="59"/>
      <c r="I81" s="59"/>
      <c r="J81" s="59"/>
      <c r="K81" s="59"/>
      <c r="L81" s="59"/>
      <c r="M81" s="59"/>
      <c r="N81" s="59"/>
      <c r="O81" s="59"/>
      <c r="P81" s="59"/>
      <c r="Q81" s="59"/>
      <c r="R81" s="59"/>
      <c r="S81" s="59"/>
      <c r="T81" s="59"/>
      <c r="U81" s="59"/>
      <c r="V81" s="59"/>
      <c r="W81" s="59"/>
      <c r="X81" s="59"/>
      <c r="Y81" s="59"/>
      <c r="Z81" s="59"/>
      <c r="AA81" s="59"/>
      <c r="AB81" s="59"/>
      <c r="AC81" s="59"/>
      <c r="AD81" s="59"/>
      <c r="AE81" s="59"/>
      <c r="AF81" s="59"/>
      <c r="AG81" s="59"/>
      <c r="AH81" s="59"/>
      <c r="AI81" s="59"/>
      <c r="AJ81" s="59"/>
      <c r="AK81" s="59"/>
      <c r="AL81" s="59"/>
      <c r="AM81" s="59"/>
      <c r="AN81" s="59"/>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c r="BU81" s="59"/>
      <c r="BV81" s="59"/>
      <c r="BW81" s="59"/>
      <c r="BX81" s="59"/>
      <c r="BY81" s="59"/>
      <c r="BZ81" s="59"/>
      <c r="CA81" s="59"/>
      <c r="CB81" s="59"/>
      <c r="CC81" s="59"/>
      <c r="CD81" s="59"/>
      <c r="CE81" s="59"/>
      <c r="CF81" s="59"/>
      <c r="CG81" s="59"/>
      <c r="CH81" s="59"/>
      <c r="CI81" s="59"/>
      <c r="CJ81" s="59"/>
      <c r="CK81" s="59"/>
      <c r="CL81" s="59"/>
      <c r="CM81" s="59"/>
      <c r="CN81" s="59"/>
      <c r="CO81" s="59"/>
      <c r="CP81" s="59"/>
      <c r="CQ81" s="59"/>
      <c r="CR81" s="59"/>
      <c r="CS81" s="59"/>
      <c r="CT81" s="59"/>
      <c r="CU81" s="59"/>
      <c r="CV81" s="59"/>
      <c r="CW81" s="59"/>
      <c r="CX81" s="59"/>
      <c r="CY81" s="59"/>
      <c r="CZ81" s="59"/>
      <c r="DA81" s="59"/>
      <c r="DB81" s="59"/>
      <c r="DC81" s="59"/>
      <c r="DD81" s="59"/>
      <c r="DE81" s="59"/>
      <c r="DF81" s="59"/>
      <c r="DG81" s="59"/>
      <c r="DH81" s="59"/>
      <c r="DI81" s="59"/>
      <c r="DJ81" s="59"/>
      <c r="DK81" s="59"/>
      <c r="DL81" s="59"/>
      <c r="DM81" s="59"/>
      <c r="DN81" s="59"/>
      <c r="DO81" s="59"/>
      <c r="DP81" s="59"/>
      <c r="DQ81" s="59"/>
      <c r="DR81" s="59"/>
      <c r="DS81" s="59"/>
      <c r="DT81" s="59"/>
      <c r="DU81" s="59"/>
      <c r="DV81" s="59"/>
      <c r="DW81" s="59"/>
      <c r="DX81" s="59"/>
      <c r="DY81" s="59"/>
      <c r="DZ81" s="59"/>
      <c r="EA81" s="59"/>
      <c r="EB81" s="59"/>
      <c r="EC81" s="59"/>
      <c r="ED81" s="59"/>
      <c r="EE81" s="59"/>
      <c r="EF81" s="59"/>
      <c r="EG81" s="59"/>
      <c r="EH81" s="59"/>
      <c r="EI81" s="59"/>
      <c r="EJ81" s="59"/>
      <c r="EK81" s="59"/>
      <c r="EL81" s="59"/>
      <c r="EM81" s="59"/>
      <c r="EN81" s="59"/>
      <c r="EO81" s="59"/>
      <c r="EP81" s="59"/>
      <c r="EQ81" s="59"/>
      <c r="ER81" s="59"/>
      <c r="ES81" s="59"/>
      <c r="ET81" s="59"/>
      <c r="EU81" s="59"/>
      <c r="EV81" s="59"/>
      <c r="EW81" s="59"/>
      <c r="EX81" s="59"/>
      <c r="EY81" s="59"/>
      <c r="EZ81" s="59"/>
      <c r="FA81" s="59"/>
      <c r="FB81" s="59"/>
      <c r="FC81" s="59"/>
      <c r="FD81" s="59"/>
      <c r="FE81" s="59"/>
      <c r="FF81" s="59"/>
      <c r="FG81" s="59"/>
      <c r="FH81" s="59"/>
      <c r="FI81" s="59"/>
      <c r="FJ81" s="59"/>
      <c r="FK81" s="59"/>
      <c r="FL81" s="59"/>
      <c r="FM81" s="59"/>
      <c r="FN81" s="59"/>
      <c r="FO81" s="59"/>
      <c r="FP81" s="59"/>
      <c r="FQ81" s="59"/>
      <c r="FR81" s="59"/>
      <c r="FS81" s="59"/>
      <c r="FT81" s="59"/>
      <c r="FU81" s="59"/>
      <c r="FV81" s="59"/>
      <c r="FW81" s="59"/>
      <c r="FX81" s="59"/>
      <c r="FY81" s="59"/>
      <c r="FZ81" s="59"/>
      <c r="GA81" s="59"/>
      <c r="GB81" s="59"/>
      <c r="GC81" s="59"/>
      <c r="GD81" s="59"/>
      <c r="GE81" s="59"/>
      <c r="GF81" s="59"/>
      <c r="GG81" s="59"/>
      <c r="GH81" s="59"/>
      <c r="GI81" s="59"/>
      <c r="GJ81" s="59"/>
      <c r="GK81" s="59"/>
      <c r="GL81" s="59"/>
      <c r="GM81" s="59"/>
      <c r="GN81" s="59"/>
    </row>
    <row r="82" spans="1:196" x14ac:dyDescent="0.3">
      <c r="A82" s="59"/>
      <c r="B82" s="59"/>
      <c r="C82" s="59"/>
      <c r="D82" s="59"/>
      <c r="E82" s="59"/>
      <c r="F82" s="59"/>
      <c r="G82" s="59"/>
      <c r="H82" s="59"/>
      <c r="I82" s="59"/>
      <c r="J82" s="59"/>
      <c r="K82" s="59"/>
      <c r="L82" s="59"/>
      <c r="M82" s="59"/>
      <c r="N82" s="59"/>
      <c r="O82" s="59"/>
      <c r="P82" s="59"/>
      <c r="Q82" s="59"/>
      <c r="R82" s="59"/>
      <c r="S82" s="59"/>
      <c r="T82" s="59"/>
      <c r="U82" s="59"/>
      <c r="V82" s="59"/>
      <c r="W82" s="59"/>
      <c r="X82" s="59"/>
      <c r="Y82" s="59"/>
      <c r="Z82" s="59"/>
      <c r="AA82" s="59"/>
      <c r="AB82" s="59"/>
      <c r="AC82" s="59"/>
      <c r="AD82" s="59"/>
      <c r="AE82" s="59"/>
      <c r="AF82" s="59"/>
      <c r="AG82" s="59"/>
      <c r="AH82" s="59"/>
      <c r="AI82" s="59"/>
      <c r="AJ82" s="59"/>
      <c r="AK82" s="59"/>
      <c r="AL82" s="59"/>
      <c r="AM82" s="59"/>
      <c r="AN82" s="59"/>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c r="BU82" s="59"/>
      <c r="BV82" s="59"/>
      <c r="BW82" s="59"/>
      <c r="BX82" s="59"/>
      <c r="BY82" s="59"/>
      <c r="BZ82" s="59"/>
      <c r="CA82" s="59"/>
      <c r="CB82" s="59"/>
      <c r="CC82" s="59"/>
      <c r="CD82" s="59"/>
      <c r="CE82" s="59"/>
      <c r="CF82" s="59"/>
      <c r="CG82" s="59"/>
      <c r="CH82" s="59"/>
      <c r="CI82" s="59"/>
      <c r="CJ82" s="59"/>
      <c r="CK82" s="59"/>
      <c r="CL82" s="59"/>
      <c r="CM82" s="59"/>
      <c r="CN82" s="59"/>
      <c r="CO82" s="59"/>
      <c r="CP82" s="59"/>
      <c r="CQ82" s="59"/>
      <c r="CR82" s="59"/>
      <c r="CS82" s="59"/>
      <c r="CT82" s="59"/>
      <c r="CU82" s="59"/>
      <c r="CV82" s="59"/>
      <c r="CW82" s="59"/>
      <c r="CX82" s="59"/>
      <c r="CY82" s="59"/>
      <c r="CZ82" s="59"/>
      <c r="DA82" s="59"/>
      <c r="DB82" s="59"/>
      <c r="DC82" s="59"/>
      <c r="DD82" s="59"/>
      <c r="DE82" s="59"/>
      <c r="DF82" s="59"/>
      <c r="DG82" s="59"/>
      <c r="DH82" s="59"/>
      <c r="DI82" s="59"/>
      <c r="DJ82" s="59"/>
      <c r="DK82" s="59"/>
      <c r="DL82" s="59"/>
      <c r="DM82" s="59"/>
      <c r="DN82" s="59"/>
      <c r="DO82" s="59"/>
      <c r="DP82" s="59"/>
      <c r="DQ82" s="59"/>
      <c r="DR82" s="59"/>
      <c r="DS82" s="59"/>
      <c r="DT82" s="59"/>
      <c r="DU82" s="59"/>
      <c r="DV82" s="59"/>
      <c r="DW82" s="59"/>
      <c r="DX82" s="59"/>
      <c r="DY82" s="59"/>
      <c r="DZ82" s="59"/>
      <c r="EA82" s="59"/>
      <c r="EB82" s="59"/>
      <c r="EC82" s="59"/>
      <c r="ED82" s="59"/>
      <c r="EE82" s="59"/>
      <c r="EF82" s="59"/>
      <c r="EG82" s="59"/>
      <c r="EH82" s="59"/>
      <c r="EI82" s="59"/>
      <c r="EJ82" s="59"/>
      <c r="EK82" s="59"/>
      <c r="EL82" s="59"/>
      <c r="EM82" s="59"/>
      <c r="EN82" s="59"/>
      <c r="EO82" s="59"/>
      <c r="EP82" s="59"/>
      <c r="EQ82" s="59"/>
      <c r="ER82" s="59"/>
      <c r="ES82" s="59"/>
      <c r="ET82" s="59"/>
      <c r="EU82" s="59"/>
      <c r="EV82" s="59"/>
      <c r="EW82" s="59"/>
      <c r="EX82" s="59"/>
      <c r="EY82" s="59"/>
      <c r="EZ82" s="59"/>
      <c r="FA82" s="59"/>
      <c r="FB82" s="59"/>
      <c r="FC82" s="59"/>
      <c r="FD82" s="59"/>
      <c r="FE82" s="59"/>
      <c r="FF82" s="59"/>
      <c r="FG82" s="59"/>
      <c r="FH82" s="59"/>
      <c r="FI82" s="59"/>
      <c r="FJ82" s="59"/>
      <c r="FK82" s="59"/>
      <c r="FL82" s="59"/>
      <c r="FM82" s="59"/>
      <c r="FN82" s="59"/>
      <c r="FO82" s="59"/>
      <c r="FP82" s="59"/>
      <c r="FQ82" s="59"/>
      <c r="FR82" s="59"/>
      <c r="FS82" s="59"/>
      <c r="FT82" s="59"/>
      <c r="FU82" s="59"/>
      <c r="FV82" s="59"/>
      <c r="FW82" s="59"/>
      <c r="FX82" s="59"/>
      <c r="FY82" s="59"/>
      <c r="FZ82" s="59"/>
      <c r="GA82" s="59"/>
      <c r="GB82" s="59"/>
      <c r="GC82" s="59"/>
      <c r="GD82" s="59"/>
      <c r="GE82" s="59"/>
      <c r="GF82" s="59"/>
      <c r="GG82" s="59"/>
      <c r="GH82" s="59"/>
      <c r="GI82" s="59"/>
      <c r="GJ82" s="59"/>
      <c r="GK82" s="59"/>
      <c r="GL82" s="59"/>
      <c r="GM82" s="59"/>
      <c r="GN82" s="59"/>
    </row>
    <row r="83" spans="1:196" x14ac:dyDescent="0.3">
      <c r="A83" s="59"/>
      <c r="B83" s="59"/>
      <c r="C83" s="59"/>
      <c r="D83" s="59"/>
      <c r="E83" s="59"/>
      <c r="F83" s="59"/>
      <c r="G83" s="59"/>
      <c r="H83" s="59"/>
      <c r="I83" s="59"/>
      <c r="J83" s="59"/>
      <c r="K83" s="59"/>
      <c r="L83" s="59"/>
      <c r="M83" s="59"/>
      <c r="N83" s="59"/>
      <c r="O83" s="59"/>
      <c r="P83" s="59"/>
      <c r="Q83" s="59"/>
      <c r="R83" s="59"/>
      <c r="S83" s="59"/>
      <c r="T83" s="59"/>
      <c r="U83" s="59"/>
      <c r="V83" s="59"/>
      <c r="W83" s="59"/>
      <c r="X83" s="59"/>
      <c r="Y83" s="59"/>
      <c r="Z83" s="59"/>
      <c r="AA83" s="59"/>
      <c r="AB83" s="59"/>
      <c r="AC83" s="59"/>
      <c r="AD83" s="59"/>
      <c r="AE83" s="59"/>
      <c r="AF83" s="59"/>
      <c r="AG83" s="59"/>
      <c r="AH83" s="59"/>
      <c r="AI83" s="59"/>
      <c r="AJ83" s="59"/>
      <c r="AK83" s="59"/>
      <c r="AL83" s="59"/>
      <c r="AM83" s="59"/>
      <c r="AN83" s="59"/>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c r="BU83" s="59"/>
      <c r="BV83" s="59"/>
      <c r="BW83" s="59"/>
      <c r="BX83" s="59"/>
      <c r="BY83" s="59"/>
      <c r="BZ83" s="59"/>
      <c r="CA83" s="59"/>
      <c r="CB83" s="59"/>
      <c r="CC83" s="59"/>
      <c r="CD83" s="59"/>
      <c r="CE83" s="59"/>
      <c r="CF83" s="59"/>
      <c r="CG83" s="59"/>
      <c r="CH83" s="59"/>
      <c r="CI83" s="59"/>
      <c r="CJ83" s="59"/>
      <c r="CK83" s="59"/>
      <c r="CL83" s="59"/>
      <c r="CM83" s="59"/>
      <c r="CN83" s="59"/>
      <c r="CO83" s="59"/>
      <c r="CP83" s="59"/>
      <c r="CQ83" s="59"/>
      <c r="CR83" s="59"/>
      <c r="CS83" s="59"/>
      <c r="CT83" s="59"/>
      <c r="CU83" s="59"/>
      <c r="CV83" s="59"/>
      <c r="CW83" s="59"/>
      <c r="CX83" s="59"/>
      <c r="CY83" s="59"/>
      <c r="CZ83" s="59"/>
      <c r="DA83" s="59"/>
      <c r="DB83" s="59"/>
      <c r="DC83" s="59"/>
      <c r="DD83" s="59"/>
      <c r="DE83" s="59"/>
      <c r="DF83" s="59"/>
      <c r="DG83" s="59"/>
      <c r="DH83" s="59"/>
      <c r="DI83" s="59"/>
      <c r="DJ83" s="59"/>
      <c r="DK83" s="59"/>
      <c r="DL83" s="59"/>
      <c r="DM83" s="59"/>
      <c r="DN83" s="59"/>
      <c r="DO83" s="59"/>
      <c r="DP83" s="59"/>
      <c r="DQ83" s="59"/>
      <c r="DR83" s="59"/>
      <c r="DS83" s="59"/>
      <c r="DT83" s="59"/>
      <c r="DU83" s="59"/>
      <c r="DV83" s="59"/>
      <c r="DW83" s="59"/>
      <c r="DX83" s="59"/>
      <c r="DY83" s="59"/>
      <c r="DZ83" s="59"/>
      <c r="EA83" s="59"/>
      <c r="EB83" s="59"/>
      <c r="EC83" s="59"/>
      <c r="ED83" s="59"/>
      <c r="EE83" s="59"/>
      <c r="EF83" s="59"/>
      <c r="EG83" s="59"/>
      <c r="EH83" s="59"/>
      <c r="EI83" s="59"/>
      <c r="EJ83" s="59"/>
      <c r="EK83" s="59"/>
      <c r="EL83" s="59"/>
      <c r="EM83" s="59"/>
      <c r="EN83" s="59"/>
      <c r="EO83" s="59"/>
      <c r="EP83" s="59"/>
      <c r="EQ83" s="59"/>
      <c r="ER83" s="59"/>
      <c r="ES83" s="59"/>
      <c r="ET83" s="59"/>
      <c r="EU83" s="59"/>
      <c r="EV83" s="59"/>
      <c r="EW83" s="59"/>
      <c r="EX83" s="59"/>
      <c r="EY83" s="59"/>
      <c r="EZ83" s="59"/>
      <c r="FA83" s="59"/>
      <c r="FB83" s="59"/>
      <c r="FC83" s="59"/>
      <c r="FD83" s="59"/>
      <c r="FE83" s="59"/>
      <c r="FF83" s="59"/>
      <c r="FG83" s="59"/>
      <c r="FH83" s="59"/>
      <c r="FI83" s="59"/>
      <c r="FJ83" s="59"/>
      <c r="FK83" s="59"/>
      <c r="FL83" s="59"/>
      <c r="FM83" s="59"/>
      <c r="FN83" s="59"/>
      <c r="FO83" s="59"/>
      <c r="FP83" s="59"/>
      <c r="FQ83" s="59"/>
      <c r="FR83" s="59"/>
      <c r="FS83" s="59"/>
      <c r="FT83" s="59"/>
      <c r="FU83" s="59"/>
      <c r="FV83" s="59"/>
      <c r="FW83" s="59"/>
      <c r="FX83" s="59"/>
      <c r="FY83" s="59"/>
      <c r="FZ83" s="59"/>
      <c r="GA83" s="59"/>
      <c r="GB83" s="59"/>
      <c r="GC83" s="59"/>
      <c r="GD83" s="59"/>
      <c r="GE83" s="59"/>
      <c r="GF83" s="59"/>
      <c r="GG83" s="59"/>
      <c r="GH83" s="59"/>
      <c r="GI83" s="59"/>
      <c r="GJ83" s="59"/>
      <c r="GK83" s="59"/>
      <c r="GL83" s="59"/>
      <c r="GM83" s="59"/>
      <c r="GN83" s="59"/>
    </row>
    <row r="84" spans="1:196" x14ac:dyDescent="0.3">
      <c r="A84" s="59"/>
      <c r="B84" s="59"/>
      <c r="C84" s="59"/>
      <c r="D84" s="59"/>
      <c r="E84" s="59"/>
      <c r="F84" s="59"/>
      <c r="G84" s="59"/>
      <c r="H84" s="59"/>
      <c r="I84" s="59"/>
      <c r="J84" s="59"/>
      <c r="K84" s="59"/>
      <c r="L84" s="59"/>
      <c r="M84" s="59"/>
      <c r="N84" s="59"/>
      <c r="O84" s="59"/>
      <c r="P84" s="59"/>
      <c r="Q84" s="59"/>
      <c r="R84" s="59"/>
      <c r="S84" s="59"/>
      <c r="T84" s="59"/>
      <c r="U84" s="59"/>
      <c r="V84" s="59"/>
      <c r="W84" s="59"/>
      <c r="X84" s="59"/>
      <c r="Y84" s="59"/>
      <c r="Z84" s="59"/>
      <c r="AA84" s="59"/>
      <c r="AB84" s="59"/>
      <c r="AC84" s="59"/>
      <c r="AD84" s="59"/>
      <c r="AE84" s="59"/>
      <c r="AF84" s="59"/>
      <c r="AG84" s="59"/>
      <c r="AH84" s="59"/>
      <c r="AI84" s="59"/>
      <c r="AJ84" s="59"/>
      <c r="AK84" s="59"/>
      <c r="AL84" s="59"/>
      <c r="AM84" s="59"/>
      <c r="AN84" s="59"/>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c r="BU84" s="59"/>
      <c r="BV84" s="59"/>
      <c r="BW84" s="59"/>
      <c r="BX84" s="59"/>
      <c r="BY84" s="59"/>
      <c r="BZ84" s="59"/>
      <c r="CA84" s="59"/>
      <c r="CB84" s="59"/>
      <c r="CC84" s="59"/>
      <c r="CD84" s="59"/>
      <c r="CE84" s="59"/>
      <c r="CF84" s="59"/>
      <c r="CG84" s="59"/>
      <c r="CH84" s="59"/>
      <c r="CI84" s="59"/>
      <c r="CJ84" s="59"/>
      <c r="CK84" s="59"/>
      <c r="CL84" s="59"/>
      <c r="CM84" s="59"/>
      <c r="CN84" s="59"/>
      <c r="CO84" s="59"/>
      <c r="CP84" s="59"/>
      <c r="CQ84" s="59"/>
      <c r="CR84" s="59"/>
      <c r="CS84" s="59"/>
      <c r="CT84" s="59"/>
      <c r="CU84" s="59"/>
      <c r="CV84" s="59"/>
      <c r="CW84" s="59"/>
      <c r="CX84" s="59"/>
      <c r="CY84" s="59"/>
      <c r="CZ84" s="59"/>
      <c r="DA84" s="59"/>
      <c r="DB84" s="59"/>
      <c r="DC84" s="59"/>
      <c r="DD84" s="59"/>
      <c r="DE84" s="59"/>
      <c r="DF84" s="59"/>
      <c r="DG84" s="59"/>
      <c r="DH84" s="59"/>
      <c r="DI84" s="59"/>
      <c r="DJ84" s="59"/>
      <c r="DK84" s="59"/>
      <c r="DL84" s="59"/>
      <c r="DM84" s="59"/>
      <c r="DN84" s="59"/>
      <c r="DO84" s="59"/>
      <c r="DP84" s="59"/>
      <c r="DQ84" s="59"/>
      <c r="DR84" s="59"/>
      <c r="DS84" s="59"/>
      <c r="DT84" s="59"/>
      <c r="DU84" s="59"/>
      <c r="DV84" s="59"/>
      <c r="DW84" s="59"/>
      <c r="DX84" s="59"/>
      <c r="DY84" s="59"/>
      <c r="DZ84" s="59"/>
      <c r="EA84" s="59"/>
      <c r="EB84" s="59"/>
      <c r="EC84" s="59"/>
      <c r="ED84" s="59"/>
      <c r="EE84" s="59"/>
      <c r="EF84" s="59"/>
      <c r="EG84" s="59"/>
      <c r="EH84" s="59"/>
      <c r="EI84" s="59"/>
      <c r="EJ84" s="59"/>
      <c r="EK84" s="59"/>
      <c r="EL84" s="59"/>
      <c r="EM84" s="59"/>
      <c r="EN84" s="59"/>
      <c r="EO84" s="59"/>
      <c r="EP84" s="59"/>
      <c r="EQ84" s="59"/>
      <c r="ER84" s="59"/>
      <c r="ES84" s="59"/>
      <c r="ET84" s="59"/>
      <c r="EU84" s="59"/>
      <c r="EV84" s="59"/>
      <c r="EW84" s="59"/>
      <c r="EX84" s="59"/>
      <c r="EY84" s="59"/>
      <c r="EZ84" s="59"/>
      <c r="FA84" s="59"/>
      <c r="FB84" s="59"/>
      <c r="FC84" s="59"/>
      <c r="FD84" s="59"/>
      <c r="FE84" s="59"/>
      <c r="FF84" s="59"/>
      <c r="FG84" s="59"/>
      <c r="FH84" s="59"/>
      <c r="FI84" s="59"/>
      <c r="FJ84" s="59"/>
      <c r="FK84" s="59"/>
      <c r="FL84" s="59"/>
      <c r="FM84" s="59"/>
      <c r="FN84" s="59"/>
      <c r="FO84" s="59"/>
      <c r="FP84" s="59"/>
      <c r="FQ84" s="59"/>
      <c r="FR84" s="59"/>
      <c r="FS84" s="59"/>
      <c r="FT84" s="59"/>
      <c r="FU84" s="59"/>
      <c r="FV84" s="59"/>
      <c r="FW84" s="59"/>
      <c r="FX84" s="59"/>
      <c r="FY84" s="59"/>
      <c r="FZ84" s="59"/>
      <c r="GA84" s="59"/>
      <c r="GB84" s="59"/>
      <c r="GC84" s="59"/>
      <c r="GD84" s="59"/>
      <c r="GE84" s="59"/>
      <c r="GF84" s="59"/>
      <c r="GG84" s="59"/>
      <c r="GH84" s="59"/>
      <c r="GI84" s="59"/>
      <c r="GJ84" s="59"/>
      <c r="GK84" s="59"/>
      <c r="GL84" s="59"/>
      <c r="GM84" s="59"/>
      <c r="GN84" s="59"/>
    </row>
    <row r="85" spans="1:196" x14ac:dyDescent="0.3">
      <c r="A85" s="59"/>
      <c r="B85" s="59"/>
      <c r="C85" s="59"/>
      <c r="D85" s="59"/>
      <c r="E85" s="59"/>
      <c r="F85" s="59"/>
      <c r="G85" s="59"/>
      <c r="H85" s="59"/>
      <c r="I85" s="59"/>
      <c r="J85" s="59"/>
      <c r="K85" s="59"/>
      <c r="L85" s="59"/>
      <c r="M85" s="59"/>
      <c r="N85" s="59"/>
      <c r="O85" s="59"/>
      <c r="P85" s="59"/>
      <c r="Q85" s="59"/>
      <c r="R85" s="59"/>
      <c r="S85" s="59"/>
      <c r="T85" s="59"/>
      <c r="U85" s="59"/>
      <c r="V85" s="59"/>
      <c r="W85" s="59"/>
      <c r="X85" s="59"/>
      <c r="Y85" s="59"/>
      <c r="Z85" s="59"/>
      <c r="AA85" s="59"/>
      <c r="AB85" s="59"/>
      <c r="AC85" s="59"/>
      <c r="AD85" s="59"/>
      <c r="AE85" s="59"/>
      <c r="AF85" s="59"/>
      <c r="AG85" s="59"/>
      <c r="AH85" s="59"/>
      <c r="AI85" s="59"/>
      <c r="AJ85" s="59"/>
      <c r="AK85" s="59"/>
      <c r="AL85" s="59"/>
      <c r="AM85" s="59"/>
      <c r="AN85" s="59"/>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c r="BU85" s="59"/>
      <c r="BV85" s="59"/>
      <c r="BW85" s="59"/>
      <c r="BX85" s="59"/>
      <c r="BY85" s="59"/>
      <c r="BZ85" s="59"/>
      <c r="CA85" s="59"/>
      <c r="CB85" s="59"/>
      <c r="CC85" s="59"/>
      <c r="CD85" s="59"/>
      <c r="CE85" s="59"/>
      <c r="CF85" s="59"/>
      <c r="CG85" s="59"/>
      <c r="CH85" s="59"/>
      <c r="CI85" s="59"/>
      <c r="CJ85" s="59"/>
      <c r="CK85" s="59"/>
      <c r="CL85" s="59"/>
      <c r="CM85" s="59"/>
      <c r="CN85" s="59"/>
      <c r="CO85" s="59"/>
      <c r="CP85" s="59"/>
      <c r="CQ85" s="59"/>
      <c r="CR85" s="59"/>
      <c r="CS85" s="59"/>
      <c r="CT85" s="59"/>
      <c r="CU85" s="59"/>
      <c r="CV85" s="59"/>
      <c r="CW85" s="59"/>
      <c r="CX85" s="59"/>
      <c r="CY85" s="59"/>
      <c r="CZ85" s="59"/>
      <c r="DA85" s="59"/>
      <c r="DB85" s="59"/>
      <c r="DC85" s="59"/>
      <c r="DD85" s="59"/>
      <c r="DE85" s="59"/>
      <c r="DF85" s="59"/>
      <c r="DG85" s="59"/>
      <c r="DH85" s="59"/>
      <c r="DI85" s="59"/>
      <c r="DJ85" s="59"/>
      <c r="DK85" s="59"/>
      <c r="DL85" s="59"/>
      <c r="DM85" s="59"/>
      <c r="DN85" s="59"/>
      <c r="DO85" s="59"/>
      <c r="DP85" s="59"/>
      <c r="DQ85" s="59"/>
      <c r="DR85" s="59"/>
      <c r="DS85" s="59"/>
      <c r="DT85" s="59"/>
      <c r="DU85" s="59"/>
      <c r="DV85" s="59"/>
      <c r="DW85" s="59"/>
      <c r="DX85" s="59"/>
      <c r="DY85" s="59"/>
      <c r="DZ85" s="59"/>
      <c r="EA85" s="59"/>
      <c r="EB85" s="59"/>
      <c r="EC85" s="59"/>
      <c r="ED85" s="59"/>
      <c r="EE85" s="59"/>
      <c r="EF85" s="59"/>
      <c r="EG85" s="59"/>
      <c r="EH85" s="59"/>
      <c r="EI85" s="59"/>
      <c r="EJ85" s="59"/>
      <c r="EK85" s="59"/>
      <c r="EL85" s="59"/>
      <c r="EM85" s="59"/>
      <c r="EN85" s="59"/>
      <c r="EO85" s="59"/>
      <c r="EP85" s="59"/>
      <c r="EQ85" s="59"/>
      <c r="ER85" s="59"/>
      <c r="ES85" s="59"/>
      <c r="ET85" s="59"/>
      <c r="EU85" s="59"/>
      <c r="EV85" s="59"/>
      <c r="EW85" s="59"/>
      <c r="EX85" s="59"/>
      <c r="EY85" s="59"/>
      <c r="EZ85" s="59"/>
      <c r="FA85" s="59"/>
      <c r="FB85" s="59"/>
      <c r="FC85" s="59"/>
      <c r="FD85" s="59"/>
      <c r="FE85" s="59"/>
      <c r="FF85" s="59"/>
      <c r="FG85" s="59"/>
      <c r="FH85" s="59"/>
      <c r="FI85" s="59"/>
      <c r="FJ85" s="59"/>
      <c r="FK85" s="59"/>
      <c r="FL85" s="59"/>
      <c r="FM85" s="59"/>
      <c r="FN85" s="59"/>
      <c r="FO85" s="59"/>
      <c r="FP85" s="59"/>
      <c r="FQ85" s="59"/>
      <c r="FR85" s="59"/>
      <c r="FS85" s="59"/>
      <c r="FT85" s="59"/>
      <c r="FU85" s="59"/>
      <c r="FV85" s="59"/>
      <c r="FW85" s="59"/>
      <c r="FX85" s="59"/>
      <c r="FY85" s="59"/>
      <c r="FZ85" s="59"/>
      <c r="GA85" s="59"/>
      <c r="GB85" s="59"/>
      <c r="GC85" s="59"/>
      <c r="GD85" s="59"/>
      <c r="GE85" s="59"/>
      <c r="GF85" s="59"/>
      <c r="GG85" s="59"/>
      <c r="GH85" s="59"/>
      <c r="GI85" s="59"/>
      <c r="GJ85" s="59"/>
      <c r="GK85" s="59"/>
      <c r="GL85" s="59"/>
      <c r="GM85" s="59"/>
      <c r="GN85" s="59"/>
    </row>
    <row r="86" spans="1:196" x14ac:dyDescent="0.3">
      <c r="A86" s="59"/>
      <c r="B86" s="59"/>
      <c r="C86" s="59"/>
      <c r="D86" s="59"/>
      <c r="E86" s="59"/>
      <c r="F86" s="59"/>
      <c r="G86" s="59"/>
      <c r="H86" s="59"/>
      <c r="I86" s="59"/>
      <c r="J86" s="59"/>
      <c r="K86" s="59"/>
      <c r="L86" s="59"/>
      <c r="M86" s="59"/>
      <c r="N86" s="59"/>
      <c r="O86" s="59"/>
      <c r="P86" s="59"/>
      <c r="Q86" s="59"/>
      <c r="R86" s="59"/>
      <c r="S86" s="59"/>
      <c r="T86" s="59"/>
      <c r="U86" s="59"/>
      <c r="V86" s="59"/>
      <c r="W86" s="59"/>
      <c r="X86" s="59"/>
      <c r="Y86" s="59"/>
      <c r="Z86" s="59"/>
      <c r="AA86" s="59"/>
      <c r="AB86" s="59"/>
      <c r="AC86" s="59"/>
      <c r="AD86" s="59"/>
      <c r="AE86" s="59"/>
      <c r="AF86" s="59"/>
      <c r="AG86" s="59"/>
      <c r="AH86" s="59"/>
      <c r="AI86" s="59"/>
      <c r="AJ86" s="59"/>
      <c r="AK86" s="59"/>
      <c r="AL86" s="59"/>
      <c r="AM86" s="59"/>
      <c r="AN86" s="59"/>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c r="BU86" s="59"/>
      <c r="BV86" s="59"/>
      <c r="BW86" s="59"/>
      <c r="BX86" s="59"/>
      <c r="BY86" s="59"/>
      <c r="BZ86" s="59"/>
      <c r="CA86" s="59"/>
      <c r="CB86" s="59"/>
      <c r="CC86" s="59"/>
      <c r="CD86" s="59"/>
      <c r="CE86" s="59"/>
      <c r="CF86" s="59"/>
      <c r="CG86" s="59"/>
      <c r="CH86" s="59"/>
      <c r="CI86" s="59"/>
      <c r="CJ86" s="59"/>
      <c r="CK86" s="59"/>
      <c r="CL86" s="59"/>
      <c r="CM86" s="59"/>
      <c r="CN86" s="59"/>
      <c r="CO86" s="59"/>
      <c r="CP86" s="59"/>
      <c r="CQ86" s="59"/>
      <c r="CR86" s="59"/>
      <c r="CS86" s="59"/>
      <c r="CT86" s="59"/>
      <c r="CU86" s="59"/>
      <c r="CV86" s="59"/>
      <c r="CW86" s="59"/>
      <c r="CX86" s="59"/>
      <c r="CY86" s="59"/>
      <c r="CZ86" s="59"/>
      <c r="DA86" s="59"/>
      <c r="DB86" s="59"/>
      <c r="DC86" s="59"/>
      <c r="DD86" s="59"/>
      <c r="DE86" s="59"/>
      <c r="DF86" s="59"/>
      <c r="DG86" s="59"/>
      <c r="DH86" s="59"/>
      <c r="DI86" s="59"/>
      <c r="DJ86" s="59"/>
      <c r="DK86" s="59"/>
      <c r="DL86" s="59"/>
      <c r="DM86" s="59"/>
      <c r="DN86" s="59"/>
      <c r="DO86" s="59"/>
      <c r="DP86" s="59"/>
      <c r="DQ86" s="59"/>
      <c r="DR86" s="59"/>
      <c r="DS86" s="59"/>
      <c r="DT86" s="59"/>
      <c r="DU86" s="59"/>
      <c r="DV86" s="59"/>
      <c r="DW86" s="59"/>
      <c r="DX86" s="59"/>
      <c r="DY86" s="59"/>
      <c r="DZ86" s="59"/>
      <c r="EA86" s="59"/>
      <c r="EB86" s="59"/>
      <c r="EC86" s="59"/>
      <c r="ED86" s="59"/>
      <c r="EE86" s="59"/>
      <c r="EF86" s="59"/>
      <c r="EG86" s="59"/>
      <c r="EH86" s="59"/>
      <c r="EI86" s="59"/>
      <c r="EJ86" s="59"/>
      <c r="EK86" s="59"/>
      <c r="EL86" s="59"/>
      <c r="EM86" s="59"/>
      <c r="EN86" s="59"/>
      <c r="EO86" s="59"/>
      <c r="EP86" s="59"/>
      <c r="EQ86" s="59"/>
      <c r="ER86" s="59"/>
      <c r="ES86" s="59"/>
      <c r="ET86" s="59"/>
      <c r="EU86" s="59"/>
      <c r="EV86" s="59"/>
      <c r="EW86" s="59"/>
      <c r="EX86" s="59"/>
      <c r="EY86" s="59"/>
      <c r="EZ86" s="59"/>
      <c r="FA86" s="59"/>
      <c r="FB86" s="59"/>
      <c r="FC86" s="59"/>
      <c r="FD86" s="59"/>
      <c r="FE86" s="59"/>
      <c r="FF86" s="59"/>
      <c r="FG86" s="59"/>
      <c r="FH86" s="59"/>
      <c r="FI86" s="59"/>
      <c r="FJ86" s="59"/>
      <c r="FK86" s="59"/>
      <c r="FL86" s="59"/>
      <c r="FM86" s="59"/>
      <c r="FN86" s="59"/>
      <c r="FO86" s="59"/>
      <c r="FP86" s="59"/>
      <c r="FQ86" s="59"/>
      <c r="FR86" s="59"/>
      <c r="FS86" s="59"/>
      <c r="FT86" s="59"/>
      <c r="FU86" s="59"/>
      <c r="FV86" s="59"/>
      <c r="FW86" s="59"/>
      <c r="FX86" s="59"/>
      <c r="FY86" s="59"/>
      <c r="FZ86" s="59"/>
      <c r="GA86" s="59"/>
      <c r="GB86" s="59"/>
      <c r="GC86" s="59"/>
      <c r="GD86" s="59"/>
      <c r="GE86" s="59"/>
      <c r="GF86" s="59"/>
      <c r="GG86" s="59"/>
      <c r="GH86" s="59"/>
      <c r="GI86" s="59"/>
      <c r="GJ86" s="59"/>
      <c r="GK86" s="59"/>
      <c r="GL86" s="59"/>
      <c r="GM86" s="59"/>
      <c r="GN86" s="59"/>
    </row>
    <row r="87" spans="1:196" x14ac:dyDescent="0.3">
      <c r="A87" s="59"/>
      <c r="B87" s="59"/>
      <c r="C87" s="59"/>
      <c r="D87" s="59"/>
      <c r="E87" s="59"/>
      <c r="F87" s="59"/>
      <c r="G87" s="59"/>
      <c r="H87" s="59"/>
      <c r="I87" s="59"/>
      <c r="J87" s="59"/>
      <c r="K87" s="59"/>
      <c r="L87" s="59"/>
      <c r="M87" s="59"/>
      <c r="N87" s="59"/>
      <c r="O87" s="59"/>
      <c r="P87" s="59"/>
      <c r="Q87" s="59"/>
      <c r="R87" s="59"/>
      <c r="S87" s="59"/>
      <c r="T87" s="59"/>
      <c r="U87" s="59"/>
      <c r="V87" s="59"/>
      <c r="W87" s="59"/>
      <c r="X87" s="59"/>
      <c r="Y87" s="59"/>
      <c r="Z87" s="59"/>
      <c r="AA87" s="59"/>
      <c r="AB87" s="59"/>
      <c r="AC87" s="59"/>
      <c r="AD87" s="59"/>
      <c r="AE87" s="59"/>
      <c r="AF87" s="59"/>
      <c r="AG87" s="59"/>
      <c r="AH87" s="59"/>
      <c r="AI87" s="59"/>
      <c r="AJ87" s="59"/>
      <c r="AK87" s="59"/>
      <c r="AL87" s="59"/>
      <c r="AM87" s="59"/>
      <c r="AN87" s="59"/>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c r="BU87" s="59"/>
      <c r="BV87" s="59"/>
      <c r="BW87" s="59"/>
      <c r="BX87" s="59"/>
      <c r="BY87" s="59"/>
      <c r="BZ87" s="59"/>
      <c r="CA87" s="59"/>
      <c r="CB87" s="59"/>
      <c r="CC87" s="59"/>
      <c r="CD87" s="59"/>
      <c r="CE87" s="59"/>
      <c r="CF87" s="59"/>
      <c r="CG87" s="59"/>
      <c r="CH87" s="59"/>
      <c r="CI87" s="59"/>
      <c r="CJ87" s="59"/>
      <c r="CK87" s="59"/>
      <c r="CL87" s="59"/>
      <c r="CM87" s="59"/>
      <c r="CN87" s="59"/>
      <c r="CO87" s="59"/>
      <c r="CP87" s="59"/>
      <c r="CQ87" s="59"/>
      <c r="CR87" s="59"/>
      <c r="CS87" s="59"/>
      <c r="CT87" s="59"/>
      <c r="CU87" s="59"/>
      <c r="CV87" s="59"/>
      <c r="CW87" s="59"/>
      <c r="CX87" s="59"/>
      <c r="CY87" s="59"/>
      <c r="CZ87" s="59"/>
      <c r="DA87" s="59"/>
      <c r="DB87" s="59"/>
      <c r="DC87" s="59"/>
      <c r="DD87" s="59"/>
      <c r="DE87" s="59"/>
      <c r="DF87" s="59"/>
      <c r="DG87" s="59"/>
      <c r="DH87" s="59"/>
      <c r="DI87" s="59"/>
      <c r="DJ87" s="59"/>
      <c r="DK87" s="59"/>
      <c r="DL87" s="59"/>
      <c r="DM87" s="59"/>
      <c r="DN87" s="59"/>
      <c r="DO87" s="59"/>
      <c r="DP87" s="59"/>
      <c r="DQ87" s="59"/>
      <c r="DR87" s="59"/>
      <c r="DS87" s="59"/>
      <c r="DT87" s="59"/>
      <c r="DU87" s="59"/>
      <c r="DV87" s="59"/>
      <c r="DW87" s="59"/>
      <c r="DX87" s="59"/>
      <c r="DY87" s="59"/>
      <c r="DZ87" s="59"/>
      <c r="EA87" s="59"/>
      <c r="EB87" s="59"/>
      <c r="EC87" s="59"/>
      <c r="ED87" s="59"/>
      <c r="EE87" s="59"/>
      <c r="EF87" s="59"/>
      <c r="EG87" s="59"/>
      <c r="EH87" s="59"/>
      <c r="EI87" s="59"/>
      <c r="EJ87" s="59"/>
      <c r="EK87" s="59"/>
      <c r="EL87" s="59"/>
      <c r="EM87" s="59"/>
      <c r="EN87" s="59"/>
      <c r="EO87" s="59"/>
      <c r="EP87" s="59"/>
      <c r="EQ87" s="59"/>
      <c r="ER87" s="59"/>
      <c r="ES87" s="59"/>
      <c r="ET87" s="59"/>
      <c r="EU87" s="59"/>
      <c r="EV87" s="59"/>
      <c r="EW87" s="59"/>
      <c r="EX87" s="59"/>
      <c r="EY87" s="59"/>
      <c r="EZ87" s="59"/>
      <c r="FA87" s="59"/>
      <c r="FB87" s="59"/>
      <c r="FC87" s="59"/>
      <c r="FD87" s="59"/>
      <c r="FE87" s="59"/>
      <c r="FF87" s="59"/>
      <c r="FG87" s="59"/>
      <c r="FH87" s="59"/>
      <c r="FI87" s="59"/>
      <c r="FJ87" s="59"/>
      <c r="FK87" s="59"/>
      <c r="FL87" s="59"/>
      <c r="FM87" s="59"/>
      <c r="FN87" s="59"/>
      <c r="FO87" s="59"/>
      <c r="FP87" s="59"/>
      <c r="FQ87" s="59"/>
      <c r="FR87" s="59"/>
      <c r="FS87" s="59"/>
      <c r="FT87" s="59"/>
      <c r="FU87" s="59"/>
      <c r="FV87" s="59"/>
      <c r="FW87" s="59"/>
      <c r="FX87" s="59"/>
      <c r="FY87" s="59"/>
      <c r="FZ87" s="59"/>
      <c r="GA87" s="59"/>
      <c r="GB87" s="59"/>
      <c r="GC87" s="59"/>
      <c r="GD87" s="59"/>
      <c r="GE87" s="59"/>
      <c r="GF87" s="59"/>
      <c r="GG87" s="59"/>
      <c r="GH87" s="59"/>
      <c r="GI87" s="59"/>
      <c r="GJ87" s="59"/>
      <c r="GK87" s="59"/>
      <c r="GL87" s="59"/>
      <c r="GM87" s="59"/>
      <c r="GN87" s="59"/>
    </row>
    <row r="88" spans="1:196" x14ac:dyDescent="0.3">
      <c r="A88" s="59"/>
      <c r="B88" s="59"/>
      <c r="C88" s="59"/>
      <c r="D88" s="59"/>
      <c r="E88" s="59"/>
      <c r="F88" s="59"/>
      <c r="G88" s="59"/>
      <c r="H88" s="59"/>
      <c r="I88" s="59"/>
      <c r="J88" s="59"/>
      <c r="K88" s="59"/>
      <c r="L88" s="59"/>
      <c r="M88" s="59"/>
      <c r="N88" s="59"/>
      <c r="O88" s="59"/>
      <c r="P88" s="59"/>
      <c r="Q88" s="59"/>
      <c r="R88" s="59"/>
      <c r="S88" s="59"/>
      <c r="T88" s="59"/>
      <c r="U88" s="59"/>
      <c r="V88" s="59"/>
      <c r="W88" s="59"/>
      <c r="X88" s="59"/>
      <c r="Y88" s="59"/>
      <c r="Z88" s="59"/>
      <c r="AA88" s="59"/>
      <c r="AB88" s="59"/>
      <c r="AC88" s="59"/>
      <c r="AD88" s="59"/>
      <c r="AE88" s="59"/>
      <c r="AF88" s="59"/>
      <c r="AG88" s="59"/>
      <c r="AH88" s="59"/>
      <c r="AI88" s="59"/>
      <c r="AJ88" s="59"/>
      <c r="AK88" s="59"/>
      <c r="AL88" s="59"/>
      <c r="AM88" s="59"/>
      <c r="AN88" s="59"/>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c r="BU88" s="59"/>
      <c r="BV88" s="59"/>
      <c r="BW88" s="59"/>
      <c r="BX88" s="59"/>
      <c r="BY88" s="59"/>
      <c r="BZ88" s="59"/>
      <c r="CA88" s="59"/>
      <c r="CB88" s="59"/>
      <c r="CC88" s="59"/>
      <c r="CD88" s="59"/>
      <c r="CE88" s="59"/>
      <c r="CF88" s="59"/>
      <c r="CG88" s="59"/>
      <c r="CH88" s="59"/>
      <c r="CI88" s="59"/>
      <c r="CJ88" s="59"/>
      <c r="CK88" s="59"/>
      <c r="CL88" s="59"/>
      <c r="CM88" s="59"/>
      <c r="CN88" s="59"/>
      <c r="CO88" s="59"/>
      <c r="CP88" s="59"/>
      <c r="CQ88" s="59"/>
      <c r="CR88" s="59"/>
      <c r="CS88" s="59"/>
      <c r="CT88" s="59"/>
      <c r="CU88" s="59"/>
      <c r="CV88" s="59"/>
      <c r="CW88" s="59"/>
      <c r="CX88" s="59"/>
      <c r="CY88" s="59"/>
      <c r="CZ88" s="59"/>
      <c r="DA88" s="59"/>
      <c r="DB88" s="59"/>
      <c r="DC88" s="59"/>
      <c r="DD88" s="59"/>
      <c r="DE88" s="59"/>
      <c r="DF88" s="59"/>
      <c r="DG88" s="59"/>
      <c r="DH88" s="59"/>
      <c r="DI88" s="59"/>
      <c r="DJ88" s="59"/>
      <c r="DK88" s="59"/>
      <c r="DL88" s="59"/>
      <c r="DM88" s="59"/>
      <c r="DN88" s="59"/>
      <c r="DO88" s="59"/>
      <c r="DP88" s="59"/>
      <c r="DQ88" s="59"/>
      <c r="DR88" s="59"/>
      <c r="DS88" s="59"/>
      <c r="DT88" s="59"/>
      <c r="DU88" s="59"/>
      <c r="DV88" s="59"/>
      <c r="DW88" s="59"/>
      <c r="DX88" s="59"/>
      <c r="DY88" s="59"/>
      <c r="DZ88" s="59"/>
      <c r="EA88" s="59"/>
      <c r="EB88" s="59"/>
      <c r="EC88" s="59"/>
      <c r="ED88" s="59"/>
      <c r="EE88" s="59"/>
      <c r="EF88" s="59"/>
      <c r="EG88" s="59"/>
      <c r="EH88" s="59"/>
      <c r="EI88" s="59"/>
      <c r="EJ88" s="59"/>
      <c r="EK88" s="59"/>
      <c r="EL88" s="59"/>
      <c r="EM88" s="59"/>
      <c r="EN88" s="59"/>
      <c r="EO88" s="59"/>
      <c r="EP88" s="59"/>
      <c r="EQ88" s="59"/>
      <c r="ER88" s="59"/>
      <c r="ES88" s="59"/>
      <c r="ET88" s="59"/>
      <c r="EU88" s="59"/>
      <c r="EV88" s="59"/>
      <c r="EW88" s="59"/>
      <c r="EX88" s="59"/>
      <c r="EY88" s="59"/>
      <c r="EZ88" s="59"/>
      <c r="FA88" s="59"/>
      <c r="FB88" s="59"/>
      <c r="FC88" s="59"/>
      <c r="FD88" s="59"/>
      <c r="FE88" s="59"/>
      <c r="FF88" s="59"/>
      <c r="FG88" s="59"/>
      <c r="FH88" s="59"/>
      <c r="FI88" s="59"/>
      <c r="FJ88" s="59"/>
      <c r="FK88" s="59"/>
      <c r="FL88" s="59"/>
      <c r="FM88" s="59"/>
      <c r="FN88" s="59"/>
      <c r="FO88" s="59"/>
      <c r="FP88" s="59"/>
      <c r="FQ88" s="59"/>
      <c r="FR88" s="59"/>
      <c r="FS88" s="59"/>
      <c r="FT88" s="59"/>
      <c r="FU88" s="59"/>
      <c r="FV88" s="59"/>
      <c r="FW88" s="59"/>
      <c r="FX88" s="59"/>
      <c r="FY88" s="59"/>
      <c r="FZ88" s="59"/>
      <c r="GA88" s="59"/>
      <c r="GB88" s="59"/>
      <c r="GC88" s="59"/>
      <c r="GD88" s="59"/>
      <c r="GE88" s="59"/>
      <c r="GF88" s="59"/>
      <c r="GG88" s="59"/>
      <c r="GH88" s="59"/>
      <c r="GI88" s="59"/>
      <c r="GJ88" s="59"/>
      <c r="GK88" s="59"/>
      <c r="GL88" s="59"/>
      <c r="GM88" s="59"/>
      <c r="GN88" s="59"/>
    </row>
    <row r="89" spans="1:196" x14ac:dyDescent="0.3">
      <c r="A89" s="59"/>
      <c r="B89" s="59"/>
      <c r="C89" s="59"/>
      <c r="D89" s="59"/>
      <c r="E89" s="59"/>
      <c r="F89" s="59"/>
      <c r="G89" s="59"/>
      <c r="H89" s="59"/>
      <c r="I89" s="59"/>
      <c r="J89" s="59"/>
      <c r="K89" s="59"/>
      <c r="L89" s="59"/>
      <c r="M89" s="59"/>
      <c r="N89" s="59"/>
      <c r="O89" s="59"/>
      <c r="P89" s="59"/>
      <c r="Q89" s="59"/>
      <c r="R89" s="59"/>
      <c r="S89" s="59"/>
      <c r="T89" s="59"/>
      <c r="U89" s="59"/>
      <c r="V89" s="59"/>
      <c r="W89" s="59"/>
      <c r="X89" s="59"/>
      <c r="Y89" s="59"/>
      <c r="Z89" s="59"/>
      <c r="AA89" s="59"/>
      <c r="AB89" s="59"/>
      <c r="AC89" s="59"/>
      <c r="AD89" s="59"/>
      <c r="AE89" s="59"/>
      <c r="AF89" s="59"/>
      <c r="AG89" s="59"/>
      <c r="AH89" s="59"/>
      <c r="AI89" s="59"/>
      <c r="AJ89" s="59"/>
      <c r="AK89" s="59"/>
      <c r="AL89" s="59"/>
      <c r="AM89" s="59"/>
      <c r="AN89" s="59"/>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c r="BU89" s="59"/>
      <c r="BV89" s="59"/>
      <c r="BW89" s="59"/>
      <c r="BX89" s="59"/>
      <c r="BY89" s="59"/>
      <c r="BZ89" s="59"/>
      <c r="CA89" s="59"/>
      <c r="CB89" s="59"/>
      <c r="CC89" s="59"/>
      <c r="CD89" s="59"/>
      <c r="CE89" s="59"/>
      <c r="CF89" s="59"/>
      <c r="CG89" s="59"/>
      <c r="CH89" s="59"/>
      <c r="CI89" s="59"/>
      <c r="CJ89" s="59"/>
      <c r="CK89" s="59"/>
      <c r="CL89" s="59"/>
      <c r="CM89" s="59"/>
      <c r="CN89" s="59"/>
      <c r="CO89" s="59"/>
      <c r="CP89" s="59"/>
      <c r="CQ89" s="59"/>
      <c r="CR89" s="59"/>
      <c r="CS89" s="59"/>
      <c r="CT89" s="59"/>
      <c r="CU89" s="59"/>
      <c r="CV89" s="59"/>
      <c r="CW89" s="59"/>
      <c r="CX89" s="59"/>
      <c r="CY89" s="59"/>
      <c r="CZ89" s="59"/>
      <c r="DA89" s="59"/>
      <c r="DB89" s="59"/>
      <c r="DC89" s="59"/>
      <c r="DD89" s="59"/>
      <c r="DE89" s="59"/>
      <c r="DF89" s="59"/>
      <c r="DG89" s="59"/>
      <c r="DH89" s="59"/>
      <c r="DI89" s="59"/>
      <c r="DJ89" s="59"/>
      <c r="DK89" s="59"/>
      <c r="DL89" s="59"/>
      <c r="DM89" s="59"/>
      <c r="DN89" s="59"/>
      <c r="DO89" s="59"/>
      <c r="DP89" s="59"/>
      <c r="DQ89" s="59"/>
      <c r="DR89" s="59"/>
      <c r="DS89" s="59"/>
      <c r="DT89" s="59"/>
      <c r="DU89" s="59"/>
      <c r="DV89" s="59"/>
      <c r="DW89" s="59"/>
      <c r="DX89" s="59"/>
      <c r="DY89" s="59"/>
      <c r="DZ89" s="59"/>
      <c r="EA89" s="59"/>
      <c r="EB89" s="59"/>
      <c r="EC89" s="59"/>
      <c r="ED89" s="59"/>
      <c r="EE89" s="59"/>
      <c r="EF89" s="59"/>
      <c r="EG89" s="59"/>
      <c r="EH89" s="59"/>
      <c r="EI89" s="59"/>
      <c r="EJ89" s="59"/>
      <c r="EK89" s="59"/>
      <c r="EL89" s="59"/>
      <c r="EM89" s="59"/>
      <c r="EN89" s="59"/>
      <c r="EO89" s="59"/>
      <c r="EP89" s="59"/>
      <c r="EQ89" s="59"/>
      <c r="ER89" s="59"/>
      <c r="ES89" s="59"/>
      <c r="ET89" s="59"/>
      <c r="EU89" s="59"/>
      <c r="EV89" s="59"/>
      <c r="EW89" s="59"/>
      <c r="EX89" s="59"/>
      <c r="EY89" s="59"/>
      <c r="EZ89" s="59"/>
      <c r="FA89" s="59"/>
      <c r="FB89" s="59"/>
      <c r="FC89" s="59"/>
      <c r="FD89" s="59"/>
      <c r="FE89" s="59"/>
      <c r="FF89" s="59"/>
      <c r="FG89" s="59"/>
      <c r="FH89" s="59"/>
      <c r="FI89" s="59"/>
      <c r="FJ89" s="59"/>
      <c r="FK89" s="59"/>
      <c r="FL89" s="59"/>
      <c r="FM89" s="59"/>
      <c r="FN89" s="59"/>
      <c r="FO89" s="59"/>
      <c r="FP89" s="59"/>
      <c r="FQ89" s="59"/>
      <c r="FR89" s="59"/>
      <c r="FS89" s="59"/>
      <c r="FT89" s="59"/>
      <c r="FU89" s="59"/>
      <c r="FV89" s="59"/>
      <c r="FW89" s="59"/>
      <c r="FX89" s="59"/>
      <c r="FY89" s="59"/>
      <c r="FZ89" s="59"/>
      <c r="GA89" s="59"/>
      <c r="GB89" s="59"/>
      <c r="GC89" s="59"/>
      <c r="GD89" s="59"/>
      <c r="GE89" s="59"/>
      <c r="GF89" s="59"/>
      <c r="GG89" s="59"/>
      <c r="GH89" s="59"/>
      <c r="GI89" s="59"/>
      <c r="GJ89" s="59"/>
      <c r="GK89" s="59"/>
      <c r="GL89" s="59"/>
      <c r="GM89" s="59"/>
      <c r="GN89" s="59"/>
    </row>
    <row r="90" spans="1:196" x14ac:dyDescent="0.3">
      <c r="A90" s="59"/>
      <c r="B90" s="59"/>
      <c r="C90" s="59"/>
      <c r="D90" s="59"/>
      <c r="E90" s="59"/>
      <c r="F90" s="59"/>
      <c r="G90" s="59"/>
      <c r="H90" s="59"/>
      <c r="I90" s="59"/>
      <c r="J90" s="59"/>
      <c r="K90" s="59"/>
      <c r="L90" s="59"/>
      <c r="M90" s="59"/>
      <c r="N90" s="59"/>
      <c r="O90" s="59"/>
      <c r="P90" s="59"/>
      <c r="Q90" s="59"/>
      <c r="R90" s="59"/>
      <c r="S90" s="59"/>
      <c r="T90" s="59"/>
      <c r="U90" s="59"/>
      <c r="V90" s="59"/>
      <c r="W90" s="59"/>
      <c r="X90" s="59"/>
      <c r="Y90" s="59"/>
      <c r="Z90" s="59"/>
      <c r="AA90" s="59"/>
      <c r="AB90" s="59"/>
      <c r="AC90" s="59"/>
      <c r="AD90" s="59"/>
      <c r="AE90" s="59"/>
      <c r="AF90" s="59"/>
      <c r="AG90" s="59"/>
      <c r="AH90" s="59"/>
      <c r="AI90" s="59"/>
      <c r="AJ90" s="59"/>
      <c r="AK90" s="59"/>
      <c r="AL90" s="59"/>
      <c r="AM90" s="59"/>
      <c r="AN90" s="59"/>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c r="BU90" s="59"/>
      <c r="BV90" s="59"/>
      <c r="BW90" s="59"/>
      <c r="BX90" s="59"/>
      <c r="BY90" s="59"/>
      <c r="BZ90" s="59"/>
      <c r="CA90" s="59"/>
      <c r="CB90" s="59"/>
      <c r="CC90" s="59"/>
      <c r="CD90" s="59"/>
      <c r="CE90" s="59"/>
      <c r="CF90" s="59"/>
      <c r="CG90" s="59"/>
      <c r="CH90" s="59"/>
      <c r="CI90" s="59"/>
      <c r="CJ90" s="59"/>
      <c r="CK90" s="59"/>
      <c r="CL90" s="59"/>
      <c r="CM90" s="59"/>
      <c r="CN90" s="59"/>
      <c r="CO90" s="59"/>
      <c r="CP90" s="59"/>
      <c r="CQ90" s="59"/>
      <c r="CR90" s="59"/>
      <c r="CS90" s="59"/>
      <c r="CT90" s="59"/>
      <c r="CU90" s="59"/>
      <c r="CV90" s="59"/>
      <c r="CW90" s="59"/>
      <c r="CX90" s="59"/>
      <c r="CY90" s="59"/>
      <c r="CZ90" s="59"/>
      <c r="DA90" s="59"/>
      <c r="DB90" s="59"/>
      <c r="DC90" s="59"/>
      <c r="DD90" s="59"/>
      <c r="DE90" s="59"/>
      <c r="DF90" s="59"/>
      <c r="DG90" s="59"/>
      <c r="DH90" s="59"/>
      <c r="DI90" s="59"/>
      <c r="DJ90" s="59"/>
      <c r="DK90" s="59"/>
      <c r="DL90" s="59"/>
      <c r="DM90" s="59"/>
      <c r="DN90" s="59"/>
      <c r="DO90" s="59"/>
      <c r="DP90" s="59"/>
      <c r="DQ90" s="59"/>
      <c r="DR90" s="59"/>
      <c r="DS90" s="59"/>
      <c r="DT90" s="59"/>
      <c r="DU90" s="59"/>
      <c r="DV90" s="59"/>
      <c r="DW90" s="59"/>
      <c r="DX90" s="59"/>
      <c r="DY90" s="59"/>
      <c r="DZ90" s="59"/>
      <c r="EA90" s="59"/>
      <c r="EB90" s="59"/>
      <c r="EC90" s="59"/>
      <c r="ED90" s="59"/>
      <c r="EE90" s="59"/>
      <c r="EF90" s="59"/>
      <c r="EG90" s="59"/>
      <c r="EH90" s="59"/>
      <c r="EI90" s="59"/>
      <c r="EJ90" s="59"/>
      <c r="EK90" s="59"/>
      <c r="EL90" s="59"/>
      <c r="EM90" s="59"/>
      <c r="EN90" s="59"/>
      <c r="EO90" s="59"/>
      <c r="EP90" s="59"/>
      <c r="EQ90" s="59"/>
      <c r="ER90" s="59"/>
      <c r="ES90" s="59"/>
      <c r="ET90" s="59"/>
      <c r="EU90" s="59"/>
      <c r="EV90" s="59"/>
      <c r="EW90" s="59"/>
      <c r="EX90" s="59"/>
      <c r="EY90" s="59"/>
      <c r="EZ90" s="59"/>
      <c r="FA90" s="59"/>
      <c r="FB90" s="59"/>
      <c r="FC90" s="59"/>
      <c r="FD90" s="59"/>
      <c r="FE90" s="59"/>
      <c r="FF90" s="59"/>
      <c r="FG90" s="59"/>
      <c r="FH90" s="59"/>
      <c r="FI90" s="59"/>
      <c r="FJ90" s="59"/>
      <c r="FK90" s="59"/>
      <c r="FL90" s="59"/>
      <c r="FM90" s="59"/>
      <c r="FN90" s="59"/>
      <c r="FO90" s="59"/>
      <c r="FP90" s="59"/>
      <c r="FQ90" s="59"/>
      <c r="FR90" s="59"/>
      <c r="FS90" s="59"/>
      <c r="FT90" s="59"/>
      <c r="FU90" s="59"/>
      <c r="FV90" s="59"/>
      <c r="FW90" s="59"/>
      <c r="FX90" s="59"/>
      <c r="FY90" s="59"/>
      <c r="FZ90" s="59"/>
      <c r="GA90" s="59"/>
      <c r="GB90" s="59"/>
      <c r="GC90" s="59"/>
      <c r="GD90" s="59"/>
      <c r="GE90" s="59"/>
      <c r="GF90" s="59"/>
      <c r="GG90" s="59"/>
      <c r="GH90" s="59"/>
      <c r="GI90" s="59"/>
      <c r="GJ90" s="59"/>
      <c r="GK90" s="59"/>
      <c r="GL90" s="59"/>
      <c r="GM90" s="59"/>
      <c r="GN90" s="59"/>
    </row>
    <row r="91" spans="1:196" x14ac:dyDescent="0.3">
      <c r="A91" s="59"/>
      <c r="B91" s="59"/>
      <c r="C91" s="59"/>
      <c r="D91" s="59"/>
      <c r="E91" s="59"/>
      <c r="F91" s="59"/>
      <c r="G91" s="59"/>
      <c r="H91" s="59"/>
      <c r="I91" s="59"/>
      <c r="J91" s="59"/>
      <c r="K91" s="59"/>
      <c r="L91" s="59"/>
      <c r="M91" s="59"/>
      <c r="N91" s="59"/>
      <c r="O91" s="59"/>
      <c r="P91" s="59"/>
      <c r="Q91" s="59"/>
      <c r="R91" s="59"/>
      <c r="S91" s="59"/>
      <c r="T91" s="59"/>
      <c r="U91" s="59"/>
      <c r="V91" s="59"/>
      <c r="W91" s="59"/>
      <c r="X91" s="59"/>
      <c r="Y91" s="59"/>
      <c r="Z91" s="59"/>
      <c r="AA91" s="59"/>
      <c r="AB91" s="59"/>
      <c r="AC91" s="59"/>
      <c r="AD91" s="59"/>
      <c r="AE91" s="59"/>
      <c r="AF91" s="59"/>
      <c r="AG91" s="59"/>
      <c r="AH91" s="59"/>
      <c r="AI91" s="59"/>
      <c r="AJ91" s="59"/>
      <c r="AK91" s="59"/>
      <c r="AL91" s="59"/>
      <c r="AM91" s="59"/>
      <c r="AN91" s="59"/>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c r="BU91" s="59"/>
      <c r="BV91" s="59"/>
      <c r="BW91" s="59"/>
      <c r="BX91" s="59"/>
      <c r="BY91" s="59"/>
      <c r="BZ91" s="59"/>
      <c r="CA91" s="59"/>
      <c r="CB91" s="59"/>
      <c r="CC91" s="59"/>
      <c r="CD91" s="59"/>
      <c r="CE91" s="59"/>
      <c r="CF91" s="59"/>
      <c r="CG91" s="59"/>
      <c r="CH91" s="59"/>
      <c r="CI91" s="59"/>
      <c r="CJ91" s="59"/>
      <c r="CK91" s="59"/>
      <c r="CL91" s="59"/>
      <c r="CM91" s="59"/>
      <c r="CN91" s="59"/>
      <c r="CO91" s="59"/>
      <c r="CP91" s="59"/>
      <c r="CQ91" s="59"/>
      <c r="CR91" s="59"/>
      <c r="CS91" s="59"/>
      <c r="CT91" s="59"/>
      <c r="CU91" s="59"/>
      <c r="CV91" s="59"/>
      <c r="CW91" s="59"/>
      <c r="CX91" s="59"/>
      <c r="CY91" s="59"/>
      <c r="CZ91" s="59"/>
      <c r="DA91" s="59"/>
      <c r="DB91" s="59"/>
      <c r="DC91" s="59"/>
      <c r="DD91" s="59"/>
      <c r="DE91" s="59"/>
      <c r="DF91" s="59"/>
      <c r="DG91" s="59"/>
      <c r="DH91" s="59"/>
      <c r="DI91" s="59"/>
      <c r="DJ91" s="59"/>
      <c r="DK91" s="59"/>
      <c r="DL91" s="59"/>
      <c r="DM91" s="59"/>
      <c r="DN91" s="59"/>
      <c r="DO91" s="59"/>
      <c r="DP91" s="59"/>
      <c r="DQ91" s="59"/>
      <c r="DR91" s="59"/>
      <c r="DS91" s="59"/>
      <c r="DT91" s="59"/>
      <c r="DU91" s="59"/>
      <c r="DV91" s="59"/>
      <c r="DW91" s="59"/>
      <c r="DX91" s="59"/>
      <c r="DY91" s="59"/>
      <c r="DZ91" s="59"/>
      <c r="EA91" s="59"/>
      <c r="EB91" s="59"/>
      <c r="EC91" s="59"/>
      <c r="ED91" s="59"/>
      <c r="EE91" s="59"/>
      <c r="EF91" s="59"/>
      <c r="EG91" s="59"/>
      <c r="EH91" s="59"/>
      <c r="EI91" s="59"/>
      <c r="EJ91" s="59"/>
      <c r="EK91" s="59"/>
      <c r="EL91" s="59"/>
      <c r="EM91" s="59"/>
      <c r="EN91" s="59"/>
      <c r="EO91" s="59"/>
      <c r="EP91" s="59"/>
      <c r="EQ91" s="59"/>
      <c r="ER91" s="59"/>
      <c r="ES91" s="59"/>
      <c r="ET91" s="59"/>
      <c r="EU91" s="59"/>
      <c r="EV91" s="59"/>
      <c r="EW91" s="59"/>
      <c r="EX91" s="59"/>
      <c r="EY91" s="59"/>
      <c r="EZ91" s="59"/>
      <c r="FA91" s="59"/>
      <c r="FB91" s="59"/>
      <c r="FC91" s="59"/>
      <c r="FD91" s="59"/>
      <c r="FE91" s="59"/>
      <c r="FF91" s="59"/>
      <c r="FG91" s="59"/>
      <c r="FH91" s="59"/>
      <c r="FI91" s="59"/>
      <c r="FJ91" s="59"/>
      <c r="FK91" s="59"/>
      <c r="FL91" s="59"/>
      <c r="FM91" s="59"/>
      <c r="FN91" s="59"/>
      <c r="FO91" s="59"/>
      <c r="FP91" s="59"/>
      <c r="FQ91" s="59"/>
      <c r="FR91" s="59"/>
      <c r="FS91" s="59"/>
      <c r="FT91" s="59"/>
      <c r="FU91" s="59"/>
      <c r="FV91" s="59"/>
      <c r="FW91" s="59"/>
      <c r="FX91" s="59"/>
      <c r="FY91" s="59"/>
      <c r="FZ91" s="59"/>
      <c r="GA91" s="59"/>
      <c r="GB91" s="59"/>
      <c r="GC91" s="59"/>
      <c r="GD91" s="59"/>
      <c r="GE91" s="59"/>
      <c r="GF91" s="59"/>
      <c r="GG91" s="59"/>
      <c r="GH91" s="59"/>
      <c r="GI91" s="59"/>
      <c r="GJ91" s="59"/>
      <c r="GK91" s="59"/>
      <c r="GL91" s="59"/>
      <c r="GM91" s="59"/>
      <c r="GN91" s="59"/>
    </row>
    <row r="92" spans="1:196" x14ac:dyDescent="0.3">
      <c r="A92" s="59"/>
      <c r="B92" s="59"/>
      <c r="C92" s="59"/>
      <c r="D92" s="59"/>
      <c r="E92" s="59"/>
      <c r="F92" s="59"/>
      <c r="G92" s="59"/>
      <c r="H92" s="59"/>
      <c r="I92" s="59"/>
      <c r="J92" s="59"/>
      <c r="K92" s="59"/>
      <c r="L92" s="59"/>
      <c r="M92" s="59"/>
      <c r="N92" s="59"/>
      <c r="O92" s="59"/>
      <c r="P92" s="59"/>
      <c r="Q92" s="59"/>
      <c r="R92" s="59"/>
      <c r="S92" s="59"/>
      <c r="T92" s="59"/>
      <c r="U92" s="59"/>
      <c r="V92" s="59"/>
      <c r="W92" s="59"/>
      <c r="X92" s="59"/>
      <c r="Y92" s="59"/>
      <c r="Z92" s="59"/>
      <c r="AA92" s="59"/>
      <c r="AB92" s="59"/>
      <c r="AC92" s="59"/>
      <c r="AD92" s="59"/>
      <c r="AE92" s="59"/>
      <c r="AF92" s="59"/>
      <c r="AG92" s="59"/>
      <c r="AH92" s="59"/>
      <c r="AI92" s="59"/>
      <c r="AJ92" s="59"/>
      <c r="AK92" s="59"/>
      <c r="AL92" s="59"/>
      <c r="AM92" s="59"/>
      <c r="AN92" s="59"/>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c r="BU92" s="59"/>
      <c r="BV92" s="59"/>
      <c r="BW92" s="59"/>
      <c r="BX92" s="59"/>
      <c r="BY92" s="59"/>
      <c r="BZ92" s="59"/>
      <c r="CA92" s="59"/>
      <c r="CB92" s="59"/>
      <c r="CC92" s="59"/>
      <c r="CD92" s="59"/>
      <c r="CE92" s="59"/>
      <c r="CF92" s="59"/>
      <c r="CG92" s="59"/>
      <c r="CH92" s="59"/>
      <c r="CI92" s="59"/>
      <c r="CJ92" s="59"/>
      <c r="CK92" s="59"/>
      <c r="CL92" s="59"/>
      <c r="CM92" s="59"/>
      <c r="CN92" s="59"/>
      <c r="CO92" s="59"/>
      <c r="CP92" s="59"/>
      <c r="CQ92" s="59"/>
      <c r="CR92" s="59"/>
      <c r="CS92" s="59"/>
      <c r="CT92" s="59"/>
      <c r="CU92" s="59"/>
      <c r="CV92" s="59"/>
      <c r="CW92" s="59"/>
      <c r="CX92" s="59"/>
      <c r="CY92" s="59"/>
      <c r="CZ92" s="59"/>
      <c r="DA92" s="59"/>
      <c r="DB92" s="59"/>
      <c r="DC92" s="59"/>
      <c r="DD92" s="59"/>
      <c r="DE92" s="59"/>
      <c r="DF92" s="59"/>
      <c r="DG92" s="59"/>
      <c r="DH92" s="59"/>
      <c r="DI92" s="59"/>
      <c r="DJ92" s="59"/>
      <c r="DK92" s="59"/>
      <c r="DL92" s="59"/>
      <c r="DM92" s="59"/>
      <c r="DN92" s="59"/>
      <c r="DO92" s="59"/>
      <c r="DP92" s="59"/>
      <c r="DQ92" s="59"/>
      <c r="DR92" s="59"/>
      <c r="DS92" s="59"/>
      <c r="DT92" s="59"/>
      <c r="DU92" s="59"/>
      <c r="DV92" s="59"/>
      <c r="DW92" s="59"/>
      <c r="DX92" s="59"/>
      <c r="DY92" s="59"/>
      <c r="DZ92" s="59"/>
      <c r="EA92" s="59"/>
      <c r="EB92" s="59"/>
      <c r="EC92" s="59"/>
      <c r="ED92" s="59"/>
      <c r="EE92" s="59"/>
      <c r="EF92" s="59"/>
      <c r="EG92" s="59"/>
      <c r="EH92" s="59"/>
      <c r="EI92" s="59"/>
      <c r="EJ92" s="59"/>
      <c r="EK92" s="59"/>
      <c r="EL92" s="59"/>
      <c r="EM92" s="59"/>
      <c r="EN92" s="59"/>
      <c r="EO92" s="59"/>
      <c r="EP92" s="59"/>
      <c r="EQ92" s="59"/>
      <c r="ER92" s="59"/>
      <c r="ES92" s="59"/>
      <c r="ET92" s="59"/>
      <c r="EU92" s="59"/>
      <c r="EV92" s="59"/>
      <c r="EW92" s="59"/>
      <c r="EX92" s="59"/>
      <c r="EY92" s="59"/>
      <c r="EZ92" s="59"/>
      <c r="FA92" s="59"/>
      <c r="FB92" s="59"/>
      <c r="FC92" s="59"/>
      <c r="FD92" s="59"/>
      <c r="FE92" s="59"/>
      <c r="FF92" s="59"/>
      <c r="FG92" s="59"/>
      <c r="FH92" s="59"/>
      <c r="FI92" s="59"/>
      <c r="FJ92" s="59"/>
      <c r="FK92" s="59"/>
      <c r="FL92" s="59"/>
      <c r="FM92" s="59"/>
      <c r="FN92" s="63"/>
      <c r="FO92" s="59"/>
      <c r="FP92" s="59"/>
      <c r="FQ92" s="59"/>
      <c r="FR92" s="59"/>
      <c r="FS92" s="59"/>
      <c r="FT92" s="59"/>
      <c r="FU92" s="59"/>
      <c r="FV92" s="59"/>
      <c r="FW92" s="59"/>
      <c r="FX92" s="59"/>
      <c r="FY92" s="59"/>
      <c r="FZ92" s="59"/>
      <c r="GA92" s="59"/>
      <c r="GB92" s="59"/>
      <c r="GC92" s="59"/>
      <c r="GD92" s="59"/>
      <c r="GE92" s="59"/>
      <c r="GF92" s="59"/>
      <c r="GG92" s="59"/>
      <c r="GH92" s="59"/>
      <c r="GI92" s="59"/>
      <c r="GJ92" s="59"/>
      <c r="GK92" s="59"/>
      <c r="GL92" s="59"/>
      <c r="GM92" s="59"/>
      <c r="GN92" s="59"/>
    </row>
    <row r="93" spans="1:196" x14ac:dyDescent="0.3">
      <c r="A93" s="59"/>
      <c r="B93" s="59"/>
      <c r="C93" s="59"/>
      <c r="D93" s="59"/>
      <c r="E93" s="59"/>
      <c r="F93" s="59"/>
      <c r="G93" s="59"/>
      <c r="H93" s="59"/>
      <c r="I93" s="59"/>
      <c r="J93" s="59"/>
      <c r="K93" s="59"/>
      <c r="L93" s="59"/>
      <c r="M93" s="59"/>
      <c r="N93" s="59"/>
      <c r="O93" s="59"/>
      <c r="P93" s="59"/>
      <c r="Q93" s="59"/>
      <c r="R93" s="59"/>
      <c r="S93" s="59"/>
      <c r="T93" s="59"/>
      <c r="U93" s="59"/>
      <c r="V93" s="59"/>
      <c r="W93" s="59"/>
      <c r="X93" s="59"/>
      <c r="Y93" s="59"/>
      <c r="Z93" s="59"/>
      <c r="AA93" s="59"/>
      <c r="AB93" s="59"/>
      <c r="AC93" s="59"/>
      <c r="AD93" s="59"/>
      <c r="AE93" s="59"/>
      <c r="AF93" s="59"/>
      <c r="AG93" s="59"/>
      <c r="AH93" s="59"/>
      <c r="AI93" s="59"/>
      <c r="AJ93" s="59"/>
      <c r="AK93" s="59"/>
      <c r="AL93" s="59"/>
      <c r="AM93" s="59"/>
      <c r="AN93" s="59"/>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c r="BU93" s="59"/>
      <c r="BV93" s="59"/>
      <c r="BW93" s="59"/>
      <c r="BX93" s="59"/>
      <c r="BY93" s="59"/>
      <c r="BZ93" s="59"/>
      <c r="CA93" s="59"/>
      <c r="CB93" s="59"/>
      <c r="CC93" s="59"/>
      <c r="CD93" s="59"/>
      <c r="CE93" s="59"/>
      <c r="CF93" s="59"/>
      <c r="CG93" s="59"/>
      <c r="CH93" s="59"/>
      <c r="CI93" s="59"/>
      <c r="CJ93" s="59"/>
      <c r="CK93" s="59"/>
      <c r="CL93" s="59"/>
      <c r="CM93" s="59"/>
      <c r="CN93" s="59"/>
      <c r="CO93" s="59"/>
      <c r="CP93" s="59"/>
      <c r="CQ93" s="59"/>
      <c r="CR93" s="59"/>
      <c r="CS93" s="59"/>
      <c r="CT93" s="59"/>
      <c r="CU93" s="59"/>
      <c r="CV93" s="59"/>
      <c r="CW93" s="59"/>
      <c r="CX93" s="59"/>
      <c r="CY93" s="59"/>
      <c r="CZ93" s="59"/>
      <c r="DA93" s="59"/>
      <c r="DB93" s="59"/>
      <c r="DC93" s="59"/>
      <c r="DD93" s="59"/>
      <c r="DE93" s="59"/>
      <c r="DF93" s="59"/>
      <c r="DG93" s="59"/>
      <c r="DH93" s="59"/>
      <c r="DI93" s="59"/>
      <c r="DJ93" s="59"/>
      <c r="DK93" s="59"/>
      <c r="DL93" s="59"/>
      <c r="DM93" s="59"/>
      <c r="DN93" s="59"/>
      <c r="DO93" s="59"/>
      <c r="DP93" s="59"/>
      <c r="DQ93" s="59"/>
      <c r="DR93" s="59"/>
      <c r="DS93" s="59"/>
      <c r="DT93" s="59"/>
      <c r="DU93" s="59"/>
      <c r="DV93" s="59"/>
      <c r="DW93" s="59"/>
      <c r="DX93" s="59"/>
      <c r="DY93" s="59"/>
      <c r="DZ93" s="59"/>
      <c r="EA93" s="59"/>
      <c r="EB93" s="59"/>
      <c r="EC93" s="59"/>
      <c r="ED93" s="59"/>
      <c r="EE93" s="59"/>
      <c r="EF93" s="59"/>
      <c r="EG93" s="59"/>
      <c r="EH93" s="59"/>
      <c r="EI93" s="59"/>
      <c r="EJ93" s="59"/>
      <c r="EK93" s="59"/>
      <c r="EL93" s="59"/>
      <c r="EM93" s="59"/>
      <c r="EN93" s="59"/>
      <c r="EO93" s="59"/>
      <c r="EP93" s="59"/>
      <c r="EQ93" s="59"/>
      <c r="ER93" s="59"/>
      <c r="ES93" s="59"/>
      <c r="ET93" s="59"/>
      <c r="EU93" s="59"/>
      <c r="EV93" s="59"/>
      <c r="EW93" s="59"/>
      <c r="EX93" s="59"/>
      <c r="EY93" s="59"/>
      <c r="EZ93" s="59"/>
      <c r="FA93" s="59"/>
      <c r="FB93" s="59"/>
      <c r="FC93" s="59"/>
      <c r="FD93" s="59"/>
      <c r="FE93" s="59"/>
      <c r="FF93" s="59"/>
      <c r="FG93" s="59"/>
      <c r="FH93" s="59"/>
      <c r="FI93" s="59"/>
      <c r="FJ93" s="59"/>
      <c r="FK93" s="59"/>
      <c r="FL93" s="59"/>
      <c r="FM93" s="59"/>
      <c r="FN93" s="59"/>
      <c r="FO93" s="59"/>
      <c r="FP93" s="59"/>
      <c r="FQ93" s="59"/>
      <c r="FR93" s="59"/>
      <c r="FS93" s="59"/>
      <c r="FT93" s="59"/>
      <c r="FU93" s="59"/>
      <c r="FV93" s="59"/>
      <c r="FW93" s="59"/>
      <c r="FX93" s="59"/>
      <c r="FY93" s="59"/>
      <c r="FZ93" s="59"/>
      <c r="GA93" s="59"/>
      <c r="GB93" s="59"/>
      <c r="GC93" s="59"/>
      <c r="GD93" s="59"/>
      <c r="GE93" s="59"/>
      <c r="GF93" s="59"/>
      <c r="GG93" s="59"/>
      <c r="GH93" s="59"/>
      <c r="GI93" s="59"/>
      <c r="GJ93" s="59"/>
      <c r="GK93" s="59"/>
      <c r="GL93" s="59"/>
      <c r="GM93" s="59"/>
      <c r="GN93" s="59"/>
    </row>
    <row r="94" spans="1:196" x14ac:dyDescent="0.3">
      <c r="A94" s="59"/>
      <c r="B94" s="59"/>
      <c r="C94" s="59"/>
      <c r="D94" s="59"/>
      <c r="E94" s="59"/>
      <c r="F94" s="59"/>
      <c r="G94" s="59"/>
      <c r="H94" s="59"/>
      <c r="I94" s="59"/>
      <c r="J94" s="59"/>
      <c r="K94" s="59"/>
      <c r="L94" s="59"/>
      <c r="M94" s="59"/>
      <c r="N94" s="59"/>
      <c r="O94" s="59"/>
      <c r="P94" s="59"/>
      <c r="Q94" s="59"/>
      <c r="R94" s="59"/>
      <c r="S94" s="59"/>
      <c r="T94" s="59"/>
      <c r="U94" s="59"/>
      <c r="V94" s="59"/>
      <c r="W94" s="59"/>
      <c r="X94" s="59"/>
      <c r="Y94" s="59"/>
      <c r="Z94" s="59"/>
      <c r="AA94" s="59"/>
      <c r="AB94" s="59"/>
      <c r="AC94" s="59"/>
      <c r="AD94" s="59"/>
      <c r="AE94" s="59"/>
      <c r="AF94" s="59"/>
      <c r="AG94" s="59"/>
      <c r="AH94" s="59"/>
      <c r="AI94" s="59"/>
      <c r="AJ94" s="59"/>
      <c r="AK94" s="59"/>
      <c r="AL94" s="59"/>
      <c r="AM94" s="59"/>
      <c r="AN94" s="59"/>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c r="BU94" s="59"/>
      <c r="BV94" s="59"/>
      <c r="BW94" s="59"/>
      <c r="BX94" s="59"/>
      <c r="BY94" s="59"/>
      <c r="BZ94" s="59"/>
      <c r="CA94" s="59"/>
      <c r="CB94" s="59"/>
      <c r="CC94" s="59"/>
      <c r="CD94" s="59"/>
      <c r="CE94" s="59"/>
      <c r="CF94" s="59"/>
      <c r="CG94" s="59"/>
      <c r="CH94" s="59"/>
      <c r="CI94" s="59"/>
      <c r="CJ94" s="59"/>
      <c r="CK94" s="59"/>
      <c r="CL94" s="59"/>
      <c r="CM94" s="59"/>
      <c r="CN94" s="59"/>
      <c r="CO94" s="59"/>
      <c r="CP94" s="59"/>
      <c r="CQ94" s="59"/>
      <c r="CR94" s="59"/>
      <c r="CS94" s="59"/>
      <c r="CT94" s="59"/>
      <c r="CU94" s="59"/>
      <c r="CV94" s="59"/>
      <c r="CW94" s="59"/>
      <c r="CX94" s="59"/>
      <c r="CY94" s="59"/>
      <c r="CZ94" s="59"/>
      <c r="DA94" s="59"/>
      <c r="DB94" s="59"/>
      <c r="DC94" s="59"/>
      <c r="DD94" s="59"/>
      <c r="DE94" s="59"/>
      <c r="DF94" s="59"/>
      <c r="DG94" s="59"/>
      <c r="DH94" s="59"/>
      <c r="DI94" s="59"/>
      <c r="DJ94" s="59"/>
      <c r="DK94" s="59"/>
      <c r="DL94" s="59"/>
      <c r="DM94" s="59"/>
      <c r="DN94" s="59"/>
      <c r="DO94" s="59"/>
      <c r="DP94" s="59"/>
      <c r="DQ94" s="59"/>
      <c r="DR94" s="59"/>
      <c r="DS94" s="59"/>
      <c r="DT94" s="59"/>
      <c r="DU94" s="59"/>
      <c r="DV94" s="59"/>
      <c r="DW94" s="59"/>
      <c r="DX94" s="59"/>
      <c r="DY94" s="59"/>
      <c r="DZ94" s="59"/>
      <c r="EA94" s="59"/>
      <c r="EB94" s="59"/>
      <c r="EC94" s="59"/>
      <c r="ED94" s="59"/>
      <c r="EE94" s="59"/>
      <c r="EF94" s="59"/>
      <c r="EG94" s="59"/>
      <c r="EH94" s="59"/>
      <c r="EI94" s="59"/>
      <c r="EJ94" s="59"/>
      <c r="EK94" s="59"/>
      <c r="EL94" s="59"/>
      <c r="EM94" s="59"/>
      <c r="EN94" s="59"/>
      <c r="EO94" s="59"/>
      <c r="EP94" s="59"/>
      <c r="EQ94" s="59"/>
      <c r="ER94" s="59"/>
      <c r="ES94" s="59"/>
      <c r="ET94" s="59"/>
      <c r="EU94" s="59"/>
      <c r="EV94" s="59"/>
      <c r="EW94" s="59"/>
      <c r="EX94" s="59"/>
      <c r="EY94" s="59"/>
      <c r="EZ94" s="59"/>
      <c r="FA94" s="59"/>
      <c r="FB94" s="59"/>
      <c r="FC94" s="59"/>
      <c r="FD94" s="59"/>
      <c r="FE94" s="59"/>
      <c r="FF94" s="59"/>
      <c r="FG94" s="59"/>
      <c r="FH94" s="59"/>
      <c r="FI94" s="59"/>
      <c r="FJ94" s="59"/>
      <c r="FK94" s="59"/>
      <c r="FL94" s="59"/>
      <c r="FM94" s="59"/>
      <c r="FN94" s="59"/>
      <c r="FO94" s="59"/>
      <c r="FP94" s="59"/>
      <c r="FQ94" s="59"/>
      <c r="FR94" s="59"/>
      <c r="FS94" s="59"/>
      <c r="FT94" s="59"/>
      <c r="FU94" s="59"/>
      <c r="FV94" s="59"/>
      <c r="FW94" s="59"/>
      <c r="FX94" s="59"/>
      <c r="FY94" s="59"/>
      <c r="FZ94" s="59"/>
      <c r="GA94" s="59"/>
      <c r="GB94" s="59"/>
      <c r="GC94" s="59"/>
      <c r="GD94" s="59"/>
      <c r="GE94" s="59"/>
      <c r="GF94" s="59"/>
      <c r="GG94" s="59"/>
      <c r="GH94" s="59"/>
      <c r="GI94" s="59"/>
      <c r="GJ94" s="59"/>
      <c r="GK94" s="59"/>
      <c r="GL94" s="59"/>
      <c r="GM94" s="59"/>
      <c r="GN94" s="59"/>
    </row>
    <row r="95" spans="1:196" x14ac:dyDescent="0.3">
      <c r="A95" s="59"/>
      <c r="B95" s="59"/>
      <c r="C95" s="59"/>
      <c r="D95" s="59"/>
      <c r="E95" s="59"/>
      <c r="F95" s="59"/>
      <c r="G95" s="59"/>
      <c r="H95" s="59"/>
      <c r="I95" s="59"/>
      <c r="J95" s="59"/>
      <c r="K95" s="59"/>
      <c r="L95" s="59"/>
      <c r="M95" s="59"/>
      <c r="N95" s="59"/>
      <c r="O95" s="59"/>
      <c r="P95" s="59"/>
      <c r="Q95" s="59"/>
      <c r="R95" s="59"/>
      <c r="S95" s="59"/>
      <c r="T95" s="59"/>
      <c r="U95" s="59"/>
      <c r="V95" s="59"/>
      <c r="W95" s="59"/>
      <c r="X95" s="59"/>
      <c r="Y95" s="59"/>
      <c r="Z95" s="59"/>
      <c r="AA95" s="59"/>
      <c r="AB95" s="59"/>
      <c r="AC95" s="59"/>
      <c r="AD95" s="59"/>
      <c r="AE95" s="59"/>
      <c r="AF95" s="59"/>
      <c r="AG95" s="59"/>
      <c r="AH95" s="59"/>
      <c r="AI95" s="59"/>
      <c r="AJ95" s="59"/>
      <c r="AK95" s="59"/>
      <c r="AL95" s="59"/>
      <c r="AM95" s="59"/>
      <c r="AN95" s="59"/>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c r="BU95" s="59"/>
      <c r="BV95" s="59"/>
      <c r="BW95" s="59"/>
      <c r="BX95" s="59"/>
      <c r="BY95" s="59"/>
      <c r="BZ95" s="59"/>
      <c r="CA95" s="59"/>
      <c r="CB95" s="59"/>
      <c r="CC95" s="59"/>
      <c r="CD95" s="59"/>
      <c r="CE95" s="59"/>
      <c r="CF95" s="59"/>
      <c r="CG95" s="59"/>
      <c r="CH95" s="59"/>
      <c r="CI95" s="59"/>
      <c r="CJ95" s="59"/>
      <c r="CK95" s="59"/>
      <c r="CL95" s="59"/>
      <c r="CM95" s="59"/>
      <c r="CN95" s="59"/>
      <c r="CO95" s="59"/>
      <c r="CP95" s="59"/>
      <c r="CQ95" s="59"/>
      <c r="CR95" s="59"/>
      <c r="CS95" s="59"/>
      <c r="CT95" s="59"/>
      <c r="CU95" s="59"/>
      <c r="CV95" s="59"/>
      <c r="CW95" s="59"/>
      <c r="CX95" s="59"/>
      <c r="CY95" s="59"/>
      <c r="CZ95" s="59"/>
      <c r="DA95" s="59"/>
      <c r="DB95" s="59"/>
      <c r="DC95" s="59"/>
      <c r="DD95" s="59"/>
      <c r="DE95" s="59"/>
      <c r="DF95" s="59"/>
      <c r="DG95" s="59"/>
      <c r="DH95" s="59"/>
      <c r="DI95" s="59"/>
      <c r="DJ95" s="59"/>
      <c r="DK95" s="59"/>
      <c r="DL95" s="59"/>
      <c r="DM95" s="59"/>
      <c r="DN95" s="59"/>
      <c r="DO95" s="59"/>
      <c r="DP95" s="59"/>
      <c r="DQ95" s="59"/>
      <c r="DR95" s="59"/>
      <c r="DS95" s="59"/>
      <c r="DT95" s="59"/>
      <c r="DU95" s="59"/>
      <c r="DV95" s="59"/>
      <c r="DW95" s="59"/>
      <c r="DX95" s="59"/>
      <c r="DY95" s="59"/>
      <c r="DZ95" s="59"/>
      <c r="EA95" s="59"/>
      <c r="EB95" s="59"/>
      <c r="EC95" s="59"/>
      <c r="ED95" s="59"/>
      <c r="EE95" s="59"/>
      <c r="EF95" s="59"/>
      <c r="EG95" s="59"/>
      <c r="EH95" s="59"/>
      <c r="EI95" s="59"/>
      <c r="EJ95" s="59"/>
      <c r="EK95" s="59"/>
      <c r="EL95" s="59"/>
      <c r="EM95" s="59"/>
      <c r="EN95" s="59"/>
      <c r="EO95" s="59"/>
      <c r="EP95" s="59"/>
      <c r="EQ95" s="59"/>
      <c r="ER95" s="59"/>
      <c r="ES95" s="59"/>
      <c r="ET95" s="59"/>
      <c r="EU95" s="59"/>
      <c r="EV95" s="59"/>
      <c r="EW95" s="59"/>
      <c r="EX95" s="59"/>
      <c r="EY95" s="59"/>
      <c r="EZ95" s="59"/>
      <c r="FA95" s="59"/>
      <c r="FB95" s="59"/>
      <c r="FC95" s="59"/>
      <c r="FD95" s="59"/>
      <c r="FE95" s="59"/>
      <c r="FF95" s="59"/>
      <c r="FG95" s="59"/>
      <c r="FH95" s="59"/>
      <c r="FI95" s="59"/>
      <c r="FJ95" s="59"/>
      <c r="FK95" s="59"/>
      <c r="FL95" s="59"/>
      <c r="FM95" s="59"/>
      <c r="FN95" s="59"/>
      <c r="FO95" s="59"/>
      <c r="FP95" s="59"/>
      <c r="FQ95" s="59"/>
      <c r="FR95" s="59"/>
      <c r="FS95" s="59"/>
      <c r="FT95" s="59"/>
      <c r="FU95" s="59"/>
      <c r="FV95" s="59"/>
      <c r="FW95" s="59"/>
      <c r="FX95" s="59"/>
      <c r="FY95" s="59"/>
      <c r="FZ95" s="59"/>
      <c r="GA95" s="59"/>
      <c r="GB95" s="59"/>
      <c r="GC95" s="59"/>
      <c r="GD95" s="59"/>
      <c r="GE95" s="59"/>
      <c r="GF95" s="59"/>
      <c r="GG95" s="59"/>
      <c r="GH95" s="59"/>
      <c r="GI95" s="59"/>
      <c r="GJ95" s="59"/>
      <c r="GK95" s="59"/>
      <c r="GL95" s="59"/>
      <c r="GM95" s="59"/>
      <c r="GN95" s="59"/>
    </row>
    <row r="96" spans="1:196" x14ac:dyDescent="0.3">
      <c r="A96" s="59"/>
      <c r="B96" s="59"/>
      <c r="C96" s="59"/>
      <c r="D96" s="59"/>
      <c r="E96" s="59"/>
      <c r="F96" s="59"/>
      <c r="G96" s="59"/>
      <c r="H96" s="59"/>
      <c r="I96" s="59"/>
      <c r="J96" s="59"/>
      <c r="K96" s="59"/>
      <c r="L96" s="59"/>
      <c r="M96" s="59"/>
      <c r="N96" s="59"/>
      <c r="O96" s="59"/>
      <c r="P96" s="59"/>
      <c r="Q96" s="59"/>
      <c r="R96" s="59"/>
      <c r="S96" s="59"/>
      <c r="T96" s="59"/>
      <c r="U96" s="59"/>
      <c r="V96" s="59"/>
      <c r="W96" s="59"/>
      <c r="X96" s="59"/>
      <c r="Y96" s="59"/>
      <c r="Z96" s="59"/>
      <c r="AA96" s="59"/>
      <c r="AB96" s="59"/>
      <c r="AC96" s="59"/>
      <c r="AD96" s="59"/>
      <c r="AE96" s="59"/>
      <c r="AF96" s="59"/>
      <c r="AG96" s="59"/>
      <c r="AH96" s="59"/>
      <c r="AI96" s="59"/>
      <c r="AJ96" s="59"/>
      <c r="AK96" s="59"/>
      <c r="AL96" s="59"/>
      <c r="AM96" s="59"/>
      <c r="AN96" s="59"/>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c r="BU96" s="59"/>
      <c r="BV96" s="59"/>
      <c r="BW96" s="59"/>
      <c r="BX96" s="59"/>
      <c r="BY96" s="59"/>
      <c r="BZ96" s="59"/>
      <c r="CA96" s="59"/>
      <c r="CB96" s="59"/>
      <c r="CC96" s="59"/>
      <c r="CD96" s="59"/>
      <c r="CE96" s="59"/>
      <c r="CF96" s="59"/>
      <c r="CG96" s="59"/>
      <c r="CH96" s="59"/>
      <c r="CI96" s="59"/>
      <c r="CJ96" s="59"/>
      <c r="CK96" s="59"/>
      <c r="CL96" s="59"/>
      <c r="CM96" s="59"/>
      <c r="CN96" s="59"/>
      <c r="CO96" s="59"/>
      <c r="CP96" s="59"/>
      <c r="CQ96" s="59"/>
      <c r="CR96" s="59"/>
      <c r="CS96" s="59"/>
      <c r="CT96" s="59"/>
      <c r="CU96" s="59"/>
      <c r="CV96" s="59"/>
      <c r="CW96" s="59"/>
      <c r="CX96" s="59"/>
      <c r="CY96" s="59"/>
      <c r="CZ96" s="59"/>
      <c r="DA96" s="59"/>
      <c r="DB96" s="59"/>
      <c r="DC96" s="59"/>
      <c r="DD96" s="59"/>
      <c r="DE96" s="59"/>
      <c r="DF96" s="59"/>
      <c r="DG96" s="59"/>
      <c r="DH96" s="59"/>
      <c r="DI96" s="59"/>
      <c r="DJ96" s="59"/>
      <c r="DK96" s="59"/>
      <c r="DL96" s="59"/>
      <c r="DM96" s="59"/>
      <c r="DN96" s="59"/>
      <c r="DO96" s="59"/>
      <c r="DP96" s="59"/>
      <c r="DQ96" s="59"/>
      <c r="DR96" s="59"/>
      <c r="DS96" s="59"/>
      <c r="DT96" s="59"/>
      <c r="DU96" s="59"/>
      <c r="DV96" s="59"/>
      <c r="DW96" s="59"/>
      <c r="DX96" s="59"/>
      <c r="DY96" s="59"/>
      <c r="DZ96" s="59"/>
      <c r="EA96" s="59"/>
      <c r="EB96" s="59"/>
      <c r="EC96" s="59"/>
      <c r="ED96" s="59"/>
      <c r="EE96" s="59"/>
      <c r="EF96" s="59"/>
      <c r="EG96" s="59"/>
      <c r="EH96" s="59"/>
      <c r="EI96" s="59"/>
      <c r="EJ96" s="59"/>
      <c r="EK96" s="59"/>
      <c r="EL96" s="59"/>
      <c r="EM96" s="59"/>
      <c r="EN96" s="59"/>
      <c r="EO96" s="59"/>
      <c r="EP96" s="59"/>
      <c r="EQ96" s="59"/>
      <c r="ER96" s="59"/>
      <c r="ES96" s="59"/>
      <c r="ET96" s="59"/>
      <c r="EU96" s="59"/>
      <c r="EV96" s="59"/>
      <c r="EW96" s="59"/>
      <c r="EX96" s="59"/>
      <c r="EY96" s="59"/>
      <c r="EZ96" s="59"/>
      <c r="FA96" s="59"/>
      <c r="FB96" s="59"/>
      <c r="FC96" s="59"/>
      <c r="FD96" s="59"/>
      <c r="FE96" s="59"/>
      <c r="FF96" s="59"/>
      <c r="FG96" s="59"/>
      <c r="FH96" s="59"/>
      <c r="FI96" s="59"/>
      <c r="FJ96" s="59"/>
      <c r="FK96" s="59"/>
      <c r="FL96" s="59"/>
      <c r="FM96" s="59"/>
      <c r="FN96" s="59"/>
      <c r="FO96" s="59"/>
      <c r="FP96" s="59"/>
      <c r="FQ96" s="59"/>
      <c r="FR96" s="59"/>
      <c r="FS96" s="59"/>
      <c r="FT96" s="59"/>
      <c r="FU96" s="59"/>
      <c r="FV96" s="59"/>
      <c r="FW96" s="59"/>
      <c r="FX96" s="59"/>
      <c r="FY96" s="59"/>
      <c r="FZ96" s="59"/>
      <c r="GA96" s="59"/>
      <c r="GB96" s="59"/>
      <c r="GC96" s="59"/>
      <c r="GD96" s="59"/>
      <c r="GE96" s="59"/>
      <c r="GF96" s="59"/>
      <c r="GG96" s="59"/>
      <c r="GH96" s="59"/>
      <c r="GI96" s="59"/>
      <c r="GJ96" s="59"/>
      <c r="GK96" s="59"/>
      <c r="GL96" s="59"/>
      <c r="GM96" s="59"/>
      <c r="GN96" s="59"/>
    </row>
    <row r="97" spans="1:196" x14ac:dyDescent="0.3">
      <c r="A97" s="59"/>
      <c r="B97" s="59"/>
      <c r="C97" s="59"/>
      <c r="D97" s="59"/>
      <c r="E97" s="59"/>
      <c r="F97" s="59"/>
      <c r="G97" s="59"/>
      <c r="H97" s="59"/>
      <c r="I97" s="59"/>
      <c r="J97" s="59"/>
      <c r="K97" s="59"/>
      <c r="L97" s="59"/>
      <c r="M97" s="59"/>
      <c r="N97" s="59"/>
      <c r="O97" s="59"/>
      <c r="P97" s="59"/>
      <c r="Q97" s="59"/>
      <c r="R97" s="59"/>
      <c r="S97" s="59"/>
      <c r="T97" s="59"/>
      <c r="U97" s="59"/>
      <c r="V97" s="59"/>
      <c r="W97" s="59"/>
      <c r="X97" s="59"/>
      <c r="Y97" s="59"/>
      <c r="Z97" s="59"/>
      <c r="AA97" s="59"/>
      <c r="AB97" s="59"/>
      <c r="AC97" s="59"/>
      <c r="AD97" s="59"/>
      <c r="AE97" s="59"/>
      <c r="AF97" s="59"/>
      <c r="AG97" s="59"/>
      <c r="AH97" s="59"/>
      <c r="AI97" s="59"/>
      <c r="AJ97" s="59"/>
      <c r="AK97" s="59"/>
      <c r="AL97" s="59"/>
      <c r="AM97" s="59"/>
      <c r="AN97" s="59"/>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c r="BU97" s="59"/>
      <c r="BV97" s="59"/>
      <c r="BW97" s="59"/>
      <c r="BX97" s="59"/>
      <c r="BY97" s="59"/>
      <c r="BZ97" s="59"/>
      <c r="CA97" s="59"/>
      <c r="CB97" s="59"/>
      <c r="CC97" s="59"/>
      <c r="CD97" s="59"/>
      <c r="CE97" s="59"/>
      <c r="CF97" s="59"/>
      <c r="CG97" s="59"/>
      <c r="CH97" s="59"/>
      <c r="CI97" s="59"/>
      <c r="CJ97" s="59"/>
      <c r="CK97" s="59"/>
      <c r="CL97" s="59"/>
      <c r="CM97" s="59"/>
      <c r="CN97" s="59"/>
      <c r="CO97" s="59"/>
      <c r="CP97" s="59"/>
      <c r="CQ97" s="59"/>
      <c r="CR97" s="59"/>
      <c r="CS97" s="59"/>
      <c r="CT97" s="59"/>
      <c r="CU97" s="59"/>
      <c r="CV97" s="59"/>
      <c r="CW97" s="59"/>
      <c r="CX97" s="59"/>
      <c r="CY97" s="59"/>
      <c r="CZ97" s="59"/>
      <c r="DA97" s="59"/>
      <c r="DB97" s="59"/>
      <c r="DC97" s="59"/>
      <c r="DD97" s="59"/>
      <c r="DE97" s="59"/>
      <c r="DF97" s="59"/>
      <c r="DG97" s="59"/>
      <c r="DH97" s="59"/>
      <c r="DI97" s="59"/>
      <c r="DJ97" s="59"/>
      <c r="DK97" s="59"/>
      <c r="DL97" s="59"/>
      <c r="DM97" s="59"/>
      <c r="DN97" s="59"/>
      <c r="DO97" s="59"/>
      <c r="DP97" s="59"/>
      <c r="DQ97" s="59"/>
      <c r="DR97" s="59"/>
      <c r="DS97" s="59"/>
      <c r="DT97" s="59"/>
      <c r="DU97" s="59"/>
      <c r="DV97" s="59"/>
      <c r="DW97" s="59"/>
      <c r="DX97" s="59"/>
      <c r="DY97" s="59"/>
      <c r="DZ97" s="59"/>
      <c r="EA97" s="59"/>
      <c r="EB97" s="59"/>
      <c r="EC97" s="59"/>
      <c r="ED97" s="59"/>
      <c r="EE97" s="59"/>
      <c r="EF97" s="59"/>
      <c r="EG97" s="59"/>
      <c r="EH97" s="59"/>
      <c r="EI97" s="59"/>
      <c r="EJ97" s="59"/>
      <c r="EK97" s="59"/>
      <c r="EL97" s="59"/>
      <c r="EM97" s="59"/>
      <c r="EN97" s="59"/>
      <c r="EO97" s="59"/>
      <c r="EP97" s="59"/>
      <c r="EQ97" s="59"/>
      <c r="ER97" s="59"/>
      <c r="ES97" s="59"/>
      <c r="ET97" s="59"/>
      <c r="EU97" s="59"/>
      <c r="EV97" s="59"/>
      <c r="EW97" s="59"/>
      <c r="EX97" s="59"/>
      <c r="EY97" s="59"/>
      <c r="EZ97" s="59"/>
      <c r="FA97" s="59"/>
      <c r="FB97" s="59"/>
      <c r="FC97" s="59"/>
      <c r="FD97" s="59"/>
      <c r="FE97" s="59"/>
      <c r="FF97" s="59"/>
      <c r="FG97" s="59"/>
      <c r="FH97" s="59"/>
      <c r="FI97" s="59"/>
      <c r="FJ97" s="59"/>
      <c r="FK97" s="59"/>
      <c r="FL97" s="59"/>
      <c r="FM97" s="59"/>
      <c r="FN97" s="59"/>
      <c r="FO97" s="59"/>
      <c r="FP97" s="59"/>
      <c r="FQ97" s="59"/>
      <c r="FR97" s="59"/>
      <c r="FS97" s="59"/>
      <c r="FT97" s="59"/>
      <c r="FU97" s="59"/>
      <c r="FV97" s="59"/>
      <c r="FW97" s="59"/>
      <c r="FX97" s="59"/>
      <c r="FY97" s="59"/>
      <c r="FZ97" s="59"/>
      <c r="GA97" s="59"/>
      <c r="GB97" s="59"/>
      <c r="GC97" s="59"/>
      <c r="GD97" s="59"/>
      <c r="GE97" s="59"/>
      <c r="GF97" s="59"/>
      <c r="GG97" s="59"/>
      <c r="GH97" s="59"/>
      <c r="GI97" s="59"/>
      <c r="GJ97" s="59"/>
      <c r="GK97" s="59"/>
      <c r="GL97" s="59"/>
      <c r="GM97" s="59"/>
      <c r="GN97" s="59"/>
    </row>
    <row r="98" spans="1:196" x14ac:dyDescent="0.3">
      <c r="A98" s="59"/>
      <c r="B98" s="59"/>
      <c r="C98" s="59"/>
      <c r="D98" s="59"/>
      <c r="E98" s="59"/>
      <c r="F98" s="59"/>
      <c r="G98" s="59"/>
      <c r="H98" s="59"/>
      <c r="I98" s="59"/>
      <c r="J98" s="59"/>
      <c r="K98" s="59"/>
      <c r="L98" s="59"/>
      <c r="M98" s="59"/>
      <c r="N98" s="59"/>
      <c r="O98" s="59"/>
      <c r="P98" s="59"/>
      <c r="Q98" s="59"/>
      <c r="R98" s="59"/>
      <c r="S98" s="59"/>
      <c r="T98" s="59"/>
      <c r="U98" s="59"/>
      <c r="V98" s="59"/>
      <c r="W98" s="59"/>
      <c r="X98" s="59"/>
      <c r="Y98" s="59"/>
      <c r="Z98" s="59"/>
      <c r="AA98" s="59"/>
      <c r="AB98" s="59"/>
      <c r="AC98" s="59"/>
      <c r="AD98" s="59"/>
      <c r="AE98" s="59"/>
      <c r="AF98" s="59"/>
      <c r="AG98" s="59"/>
      <c r="AH98" s="59"/>
      <c r="AI98" s="59"/>
      <c r="AJ98" s="59"/>
      <c r="AK98" s="59"/>
      <c r="AL98" s="59"/>
      <c r="AM98" s="59"/>
      <c r="AN98" s="59"/>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c r="BU98" s="59"/>
      <c r="BV98" s="59"/>
      <c r="BW98" s="59"/>
      <c r="BX98" s="59"/>
      <c r="BY98" s="59"/>
      <c r="BZ98" s="59"/>
      <c r="CA98" s="59"/>
      <c r="CB98" s="59"/>
      <c r="CC98" s="59"/>
      <c r="CD98" s="59"/>
      <c r="CE98" s="59"/>
      <c r="CF98" s="59"/>
      <c r="CG98" s="59"/>
      <c r="CH98" s="59"/>
      <c r="CI98" s="59"/>
      <c r="CJ98" s="59"/>
      <c r="CK98" s="59"/>
      <c r="CL98" s="59"/>
      <c r="CM98" s="59"/>
      <c r="CN98" s="59"/>
      <c r="CO98" s="59"/>
      <c r="CP98" s="59"/>
      <c r="CQ98" s="59"/>
      <c r="CR98" s="59"/>
      <c r="CS98" s="59"/>
      <c r="CT98" s="59"/>
      <c r="CU98" s="59"/>
      <c r="CV98" s="59"/>
      <c r="CW98" s="59"/>
      <c r="CX98" s="59"/>
      <c r="CY98" s="59"/>
      <c r="CZ98" s="59"/>
      <c r="DA98" s="59"/>
      <c r="DB98" s="59"/>
      <c r="DC98" s="59"/>
      <c r="DD98" s="59"/>
      <c r="DE98" s="59"/>
      <c r="DF98" s="59"/>
      <c r="DG98" s="59"/>
      <c r="DH98" s="59"/>
      <c r="DI98" s="59"/>
      <c r="DJ98" s="59"/>
      <c r="DK98" s="59"/>
      <c r="DL98" s="59"/>
      <c r="DM98" s="59"/>
      <c r="DN98" s="59"/>
      <c r="DO98" s="59"/>
      <c r="DP98" s="59"/>
      <c r="DQ98" s="59"/>
      <c r="DR98" s="59"/>
      <c r="DS98" s="59"/>
      <c r="DT98" s="59"/>
      <c r="DU98" s="59"/>
      <c r="DV98" s="59"/>
      <c r="DW98" s="59"/>
      <c r="DX98" s="59"/>
      <c r="DY98" s="59"/>
      <c r="DZ98" s="59"/>
      <c r="EA98" s="59"/>
      <c r="EB98" s="59"/>
      <c r="EC98" s="59"/>
      <c r="ED98" s="59"/>
      <c r="EE98" s="59"/>
      <c r="EF98" s="59"/>
      <c r="EG98" s="59"/>
      <c r="EH98" s="59"/>
      <c r="EI98" s="59"/>
      <c r="EJ98" s="59"/>
      <c r="EK98" s="59"/>
      <c r="EL98" s="59"/>
      <c r="EM98" s="59"/>
      <c r="EN98" s="59"/>
      <c r="EO98" s="59"/>
      <c r="EP98" s="59"/>
      <c r="EQ98" s="59"/>
      <c r="ER98" s="59"/>
      <c r="ES98" s="59"/>
      <c r="ET98" s="59"/>
      <c r="EU98" s="59"/>
      <c r="EV98" s="59"/>
      <c r="EW98" s="59"/>
      <c r="EX98" s="59"/>
      <c r="EY98" s="59"/>
      <c r="EZ98" s="59"/>
      <c r="FA98" s="59"/>
      <c r="FB98" s="59"/>
      <c r="FC98" s="59"/>
      <c r="FD98" s="59"/>
      <c r="FE98" s="59"/>
      <c r="FF98" s="59"/>
      <c r="FG98" s="59"/>
      <c r="FH98" s="59"/>
      <c r="FI98" s="59"/>
      <c r="FJ98" s="59"/>
      <c r="FK98" s="59"/>
      <c r="FL98" s="59"/>
      <c r="FM98" s="59"/>
      <c r="FN98" s="59"/>
      <c r="FO98" s="59"/>
      <c r="FP98" s="59"/>
      <c r="FQ98" s="59"/>
      <c r="FR98" s="59"/>
      <c r="FS98" s="59"/>
      <c r="FT98" s="59"/>
      <c r="FU98" s="59"/>
      <c r="FV98" s="59"/>
      <c r="FW98" s="59"/>
      <c r="FX98" s="59"/>
      <c r="FY98" s="59"/>
      <c r="FZ98" s="59"/>
      <c r="GA98" s="59"/>
      <c r="GB98" s="59"/>
      <c r="GC98" s="59"/>
      <c r="GD98" s="59"/>
      <c r="GE98" s="59"/>
      <c r="GF98" s="59"/>
      <c r="GG98" s="59"/>
      <c r="GH98" s="59"/>
      <c r="GI98" s="59"/>
      <c r="GJ98" s="59"/>
      <c r="GK98" s="59"/>
      <c r="GL98" s="59"/>
      <c r="GM98" s="59"/>
      <c r="GN98" s="59"/>
    </row>
    <row r="99" spans="1:196" x14ac:dyDescent="0.3">
      <c r="A99" s="59"/>
      <c r="B99" s="59"/>
      <c r="C99" s="59"/>
      <c r="D99" s="59"/>
      <c r="E99" s="59"/>
      <c r="F99" s="59"/>
      <c r="G99" s="59"/>
      <c r="H99" s="59"/>
      <c r="I99" s="59"/>
      <c r="J99" s="59"/>
      <c r="K99" s="59"/>
      <c r="L99" s="59"/>
      <c r="M99" s="59"/>
      <c r="N99" s="59"/>
      <c r="O99" s="59"/>
      <c r="P99" s="59"/>
      <c r="Q99" s="59"/>
      <c r="R99" s="59"/>
      <c r="S99" s="59"/>
      <c r="T99" s="59"/>
      <c r="U99" s="59"/>
      <c r="V99" s="59"/>
      <c r="W99" s="59"/>
      <c r="X99" s="59"/>
      <c r="Y99" s="59"/>
      <c r="Z99" s="59"/>
      <c r="AA99" s="59"/>
      <c r="AB99" s="59"/>
      <c r="AC99" s="59"/>
      <c r="AD99" s="59"/>
      <c r="AE99" s="59"/>
      <c r="AF99" s="59"/>
      <c r="AG99" s="59"/>
      <c r="AH99" s="59"/>
      <c r="AI99" s="59"/>
      <c r="AJ99" s="59"/>
      <c r="AK99" s="59"/>
      <c r="AL99" s="59"/>
      <c r="AM99" s="59"/>
      <c r="AN99" s="59"/>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c r="BU99" s="59"/>
      <c r="BV99" s="59"/>
      <c r="BW99" s="59"/>
      <c r="BX99" s="59"/>
      <c r="BY99" s="59"/>
      <c r="BZ99" s="59"/>
      <c r="CA99" s="59"/>
      <c r="CB99" s="59"/>
      <c r="CC99" s="59"/>
      <c r="CD99" s="59"/>
      <c r="CE99" s="59"/>
      <c r="CF99" s="59"/>
      <c r="CG99" s="59"/>
      <c r="CH99" s="59"/>
      <c r="CI99" s="59"/>
      <c r="CJ99" s="59"/>
      <c r="CK99" s="59"/>
      <c r="CL99" s="59"/>
      <c r="CM99" s="59"/>
      <c r="CN99" s="59"/>
      <c r="CO99" s="59"/>
      <c r="CP99" s="59"/>
      <c r="CQ99" s="59"/>
      <c r="CR99" s="59"/>
      <c r="CS99" s="59"/>
      <c r="CT99" s="59"/>
      <c r="CU99" s="59"/>
      <c r="CV99" s="59"/>
      <c r="CW99" s="59"/>
      <c r="CX99" s="59"/>
      <c r="CY99" s="59"/>
      <c r="CZ99" s="59"/>
      <c r="DA99" s="59"/>
      <c r="DB99" s="59"/>
      <c r="DC99" s="59"/>
      <c r="DD99" s="59"/>
      <c r="DE99" s="59"/>
      <c r="DF99" s="59"/>
      <c r="DG99" s="59"/>
      <c r="DH99" s="59"/>
      <c r="DI99" s="59"/>
      <c r="DJ99" s="59"/>
      <c r="DK99" s="59"/>
      <c r="DL99" s="59"/>
      <c r="DM99" s="59"/>
      <c r="DN99" s="59"/>
      <c r="DO99" s="59"/>
      <c r="DP99" s="59"/>
      <c r="DQ99" s="59"/>
      <c r="DR99" s="59"/>
      <c r="DS99" s="59"/>
      <c r="DT99" s="59"/>
      <c r="DU99" s="59"/>
      <c r="DV99" s="59"/>
      <c r="DW99" s="59"/>
      <c r="DX99" s="59"/>
      <c r="DY99" s="59"/>
      <c r="DZ99" s="59"/>
      <c r="EA99" s="59"/>
      <c r="EB99" s="59"/>
      <c r="EC99" s="59"/>
      <c r="ED99" s="59"/>
      <c r="EE99" s="59"/>
      <c r="EF99" s="59"/>
      <c r="EG99" s="59"/>
      <c r="EH99" s="59"/>
      <c r="EI99" s="59"/>
      <c r="EJ99" s="59"/>
      <c r="EK99" s="59"/>
      <c r="EL99" s="59"/>
      <c r="EM99" s="59"/>
      <c r="EN99" s="59"/>
      <c r="EO99" s="59"/>
      <c r="EP99" s="59"/>
      <c r="EQ99" s="59"/>
      <c r="ER99" s="59"/>
      <c r="ES99" s="59"/>
      <c r="ET99" s="59"/>
      <c r="EU99" s="59"/>
      <c r="EV99" s="59"/>
      <c r="EW99" s="59"/>
      <c r="EX99" s="59"/>
      <c r="EY99" s="59"/>
      <c r="EZ99" s="59"/>
      <c r="FA99" s="59"/>
      <c r="FB99" s="59"/>
      <c r="FC99" s="59"/>
      <c r="FD99" s="59"/>
      <c r="FE99" s="59"/>
      <c r="FF99" s="59"/>
      <c r="FG99" s="59"/>
      <c r="FH99" s="59"/>
      <c r="FI99" s="59"/>
      <c r="FJ99" s="59"/>
      <c r="FK99" s="59"/>
      <c r="FL99" s="59"/>
      <c r="FM99" s="59"/>
      <c r="FN99" s="59"/>
      <c r="FO99" s="59"/>
      <c r="FP99" s="59"/>
      <c r="FQ99" s="59"/>
      <c r="FR99" s="59"/>
      <c r="FS99" s="59"/>
      <c r="FT99" s="59"/>
      <c r="FU99" s="59"/>
      <c r="FV99" s="59"/>
      <c r="FW99" s="59"/>
      <c r="FX99" s="59"/>
      <c r="FY99" s="59"/>
      <c r="FZ99" s="59"/>
      <c r="GA99" s="59"/>
      <c r="GB99" s="59"/>
      <c r="GC99" s="59"/>
      <c r="GD99" s="59"/>
      <c r="GE99" s="59"/>
      <c r="GF99" s="59"/>
      <c r="GG99" s="59"/>
      <c r="GH99" s="59"/>
      <c r="GI99" s="59"/>
      <c r="GJ99" s="59"/>
      <c r="GK99" s="59"/>
      <c r="GL99" s="59"/>
      <c r="GM99" s="59"/>
      <c r="GN99" s="59"/>
    </row>
    <row r="100" spans="1:196" x14ac:dyDescent="0.3">
      <c r="A100" s="59"/>
      <c r="B100" s="59"/>
      <c r="C100" s="59"/>
      <c r="D100" s="59"/>
      <c r="E100" s="59"/>
      <c r="F100" s="59"/>
      <c r="G100" s="59"/>
      <c r="H100" s="59"/>
      <c r="I100" s="59"/>
      <c r="J100" s="59"/>
      <c r="K100" s="59"/>
      <c r="L100" s="59"/>
      <c r="M100" s="59"/>
      <c r="N100" s="59"/>
      <c r="O100" s="59"/>
      <c r="P100" s="59"/>
      <c r="Q100" s="59"/>
      <c r="R100" s="59"/>
      <c r="S100" s="59"/>
      <c r="T100" s="59"/>
      <c r="U100" s="59"/>
      <c r="V100" s="59"/>
      <c r="W100" s="59"/>
      <c r="X100" s="59"/>
      <c r="Y100" s="59"/>
      <c r="Z100" s="59"/>
      <c r="AA100" s="59"/>
      <c r="AB100" s="59"/>
      <c r="AC100" s="59"/>
      <c r="AD100" s="59"/>
      <c r="AE100" s="59"/>
      <c r="AF100" s="59"/>
      <c r="AG100" s="59"/>
      <c r="AH100" s="59"/>
      <c r="AI100" s="59"/>
      <c r="AJ100" s="59"/>
      <c r="AK100" s="59"/>
      <c r="AL100" s="59"/>
      <c r="AM100" s="59"/>
      <c r="AN100" s="59"/>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c r="BU100" s="59"/>
      <c r="BV100" s="59"/>
      <c r="BW100" s="59"/>
      <c r="BX100" s="59"/>
      <c r="BY100" s="59"/>
      <c r="BZ100" s="59"/>
      <c r="CA100" s="59"/>
      <c r="CB100" s="59"/>
      <c r="CC100" s="59"/>
      <c r="CD100" s="59"/>
      <c r="CE100" s="59"/>
      <c r="CF100" s="59"/>
      <c r="CG100" s="59"/>
      <c r="CH100" s="59"/>
      <c r="CI100" s="59"/>
      <c r="CJ100" s="59"/>
      <c r="CK100" s="59"/>
      <c r="CL100" s="59"/>
      <c r="CM100" s="59"/>
      <c r="CN100" s="59"/>
      <c r="CO100" s="59"/>
      <c r="CP100" s="59"/>
      <c r="CQ100" s="59"/>
      <c r="CR100" s="59"/>
      <c r="CS100" s="59"/>
      <c r="CT100" s="59"/>
      <c r="CU100" s="59"/>
      <c r="CV100" s="59"/>
      <c r="CW100" s="59"/>
      <c r="CX100" s="59"/>
      <c r="CY100" s="59"/>
      <c r="CZ100" s="59"/>
      <c r="DA100" s="59"/>
      <c r="DB100" s="59"/>
      <c r="DC100" s="59"/>
      <c r="DD100" s="59"/>
      <c r="DE100" s="59"/>
      <c r="DF100" s="59"/>
      <c r="DG100" s="59"/>
      <c r="DH100" s="59"/>
      <c r="DI100" s="59"/>
      <c r="DJ100" s="59"/>
      <c r="DK100" s="59"/>
      <c r="DL100" s="59"/>
      <c r="DM100" s="59"/>
      <c r="DN100" s="59"/>
      <c r="DO100" s="59"/>
      <c r="DP100" s="59"/>
      <c r="DQ100" s="59"/>
      <c r="DR100" s="59"/>
      <c r="DS100" s="59"/>
      <c r="DT100" s="59"/>
      <c r="DU100" s="59"/>
      <c r="DV100" s="59"/>
      <c r="DW100" s="59"/>
      <c r="DX100" s="59"/>
      <c r="DY100" s="59"/>
      <c r="DZ100" s="59"/>
      <c r="EA100" s="59"/>
      <c r="EB100" s="59"/>
      <c r="EC100" s="59"/>
      <c r="ED100" s="59"/>
      <c r="EE100" s="59"/>
      <c r="EF100" s="59"/>
      <c r="EG100" s="59"/>
      <c r="EH100" s="59"/>
      <c r="EI100" s="59"/>
      <c r="EJ100" s="59"/>
      <c r="EK100" s="59"/>
      <c r="EL100" s="59"/>
      <c r="EM100" s="59"/>
      <c r="EN100" s="59"/>
      <c r="EO100" s="59"/>
      <c r="EP100" s="59"/>
      <c r="EQ100" s="59"/>
      <c r="ER100" s="59"/>
      <c r="ES100" s="59"/>
      <c r="ET100" s="59"/>
      <c r="EU100" s="59"/>
      <c r="EV100" s="59"/>
      <c r="EW100" s="59"/>
      <c r="EX100" s="59"/>
      <c r="EY100" s="59"/>
      <c r="EZ100" s="59"/>
      <c r="FA100" s="59"/>
      <c r="FB100" s="59"/>
      <c r="FC100" s="59"/>
      <c r="FD100" s="59"/>
      <c r="FE100" s="59"/>
      <c r="FF100" s="59"/>
      <c r="FG100" s="59"/>
      <c r="FH100" s="59"/>
      <c r="FI100" s="59"/>
      <c r="FJ100" s="59"/>
      <c r="FK100" s="59"/>
      <c r="FL100" s="59"/>
      <c r="FM100" s="59"/>
      <c r="FN100" s="59"/>
      <c r="FO100" s="59"/>
      <c r="FP100" s="59"/>
      <c r="FQ100" s="59"/>
      <c r="FR100" s="59"/>
      <c r="FS100" s="59"/>
      <c r="FT100" s="59"/>
      <c r="FU100" s="59"/>
      <c r="FV100" s="59"/>
      <c r="FW100" s="59"/>
      <c r="FX100" s="59"/>
      <c r="FY100" s="59"/>
      <c r="FZ100" s="59"/>
      <c r="GA100" s="59"/>
      <c r="GB100" s="59"/>
      <c r="GC100" s="59"/>
      <c r="GD100" s="59"/>
      <c r="GE100" s="59"/>
      <c r="GF100" s="59"/>
      <c r="GG100" s="59"/>
      <c r="GH100" s="59"/>
      <c r="GI100" s="59"/>
      <c r="GJ100" s="59"/>
      <c r="GK100" s="59"/>
      <c r="GL100" s="59"/>
      <c r="GM100" s="59"/>
      <c r="GN100" s="59"/>
    </row>
    <row r="101" spans="1:196" x14ac:dyDescent="0.3">
      <c r="A101" s="59"/>
      <c r="B101" s="59"/>
      <c r="C101" s="59"/>
      <c r="D101" s="59"/>
      <c r="E101" s="59"/>
      <c r="F101" s="59"/>
      <c r="G101" s="59"/>
      <c r="H101" s="59"/>
      <c r="I101" s="59"/>
      <c r="J101" s="59"/>
      <c r="K101" s="59"/>
      <c r="L101" s="59"/>
      <c r="M101" s="59"/>
      <c r="N101" s="59"/>
      <c r="O101" s="59"/>
      <c r="P101" s="59"/>
      <c r="Q101" s="59"/>
      <c r="R101" s="59"/>
      <c r="S101" s="59"/>
      <c r="T101" s="59"/>
      <c r="U101" s="59"/>
      <c r="V101" s="59"/>
      <c r="W101" s="59"/>
      <c r="X101" s="59"/>
      <c r="Y101" s="59"/>
      <c r="Z101" s="59"/>
      <c r="AA101" s="59"/>
      <c r="AB101" s="59"/>
      <c r="AC101" s="59"/>
      <c r="AD101" s="59"/>
      <c r="AE101" s="59"/>
      <c r="AF101" s="59"/>
      <c r="AG101" s="59"/>
      <c r="AH101" s="59"/>
      <c r="AI101" s="59"/>
      <c r="AJ101" s="59"/>
      <c r="AK101" s="59"/>
      <c r="AL101" s="59"/>
      <c r="AM101" s="59"/>
      <c r="AN101" s="59"/>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c r="BU101" s="59"/>
      <c r="BV101" s="59"/>
      <c r="BW101" s="59"/>
      <c r="BX101" s="59"/>
      <c r="BY101" s="59"/>
      <c r="BZ101" s="59"/>
      <c r="CA101" s="59"/>
      <c r="CB101" s="59"/>
      <c r="CC101" s="59"/>
      <c r="CD101" s="59"/>
      <c r="CE101" s="59"/>
      <c r="CF101" s="59"/>
      <c r="CG101" s="59"/>
      <c r="CH101" s="59"/>
      <c r="CI101" s="59"/>
      <c r="CJ101" s="59"/>
      <c r="CK101" s="59"/>
      <c r="CL101" s="59"/>
      <c r="CM101" s="59"/>
      <c r="CN101" s="59"/>
      <c r="CO101" s="59"/>
      <c r="CP101" s="59"/>
      <c r="CQ101" s="59"/>
      <c r="CR101" s="59"/>
      <c r="CS101" s="59"/>
      <c r="CT101" s="59"/>
      <c r="CU101" s="59"/>
      <c r="CV101" s="59"/>
      <c r="CW101" s="59"/>
      <c r="CX101" s="59"/>
      <c r="CY101" s="59"/>
      <c r="CZ101" s="59"/>
      <c r="DA101" s="59"/>
      <c r="DB101" s="59"/>
      <c r="DC101" s="59"/>
      <c r="DD101" s="59"/>
      <c r="DE101" s="59"/>
      <c r="DF101" s="59"/>
      <c r="DG101" s="59"/>
      <c r="DH101" s="59"/>
      <c r="DI101" s="59"/>
      <c r="DJ101" s="59"/>
      <c r="DK101" s="59"/>
      <c r="DL101" s="59"/>
      <c r="DM101" s="59"/>
      <c r="DN101" s="59"/>
      <c r="DO101" s="59"/>
      <c r="DP101" s="59"/>
      <c r="DQ101" s="59"/>
      <c r="DR101" s="59"/>
      <c r="DS101" s="59"/>
      <c r="DT101" s="59"/>
      <c r="DU101" s="59"/>
      <c r="DV101" s="59"/>
      <c r="DW101" s="59"/>
      <c r="DX101" s="59"/>
      <c r="DY101" s="59"/>
      <c r="DZ101" s="59"/>
      <c r="EA101" s="59"/>
      <c r="EB101" s="59"/>
      <c r="EC101" s="59"/>
      <c r="ED101" s="59"/>
      <c r="EE101" s="59"/>
      <c r="EF101" s="59"/>
      <c r="EG101" s="59"/>
      <c r="EH101" s="59"/>
      <c r="EI101" s="59"/>
      <c r="EJ101" s="59"/>
      <c r="EK101" s="59"/>
      <c r="EL101" s="59"/>
      <c r="EM101" s="59"/>
      <c r="EN101" s="59"/>
      <c r="EO101" s="59"/>
      <c r="EP101" s="59"/>
      <c r="EQ101" s="59"/>
      <c r="ER101" s="59"/>
      <c r="ES101" s="59"/>
      <c r="ET101" s="59"/>
      <c r="EU101" s="59"/>
      <c r="EV101" s="59"/>
      <c r="EW101" s="59"/>
      <c r="EX101" s="59"/>
      <c r="EY101" s="59"/>
      <c r="EZ101" s="59"/>
      <c r="FA101" s="59"/>
      <c r="FB101" s="59"/>
      <c r="FC101" s="59"/>
      <c r="FD101" s="59"/>
      <c r="FE101" s="59"/>
      <c r="FF101" s="59"/>
      <c r="FG101" s="59"/>
      <c r="FH101" s="59"/>
      <c r="FI101" s="59"/>
      <c r="FJ101" s="59"/>
      <c r="FK101" s="59"/>
      <c r="FL101" s="59"/>
      <c r="FM101" s="59"/>
      <c r="FN101" s="59"/>
      <c r="FO101" s="59"/>
      <c r="FP101" s="59"/>
      <c r="FQ101" s="59"/>
      <c r="FR101" s="59"/>
      <c r="FS101" s="59"/>
      <c r="FT101" s="59"/>
      <c r="FU101" s="59"/>
      <c r="FV101" s="59"/>
      <c r="FW101" s="59"/>
      <c r="FX101" s="59"/>
      <c r="FY101" s="59"/>
      <c r="FZ101" s="59"/>
      <c r="GA101" s="59"/>
      <c r="GB101" s="59"/>
      <c r="GC101" s="59"/>
      <c r="GD101" s="59"/>
      <c r="GE101" s="59"/>
      <c r="GF101" s="59"/>
      <c r="GG101" s="59"/>
      <c r="GH101" s="59"/>
      <c r="GI101" s="59"/>
      <c r="GJ101" s="59"/>
      <c r="GK101" s="59"/>
      <c r="GL101" s="59"/>
      <c r="GM101" s="59"/>
      <c r="GN101" s="59"/>
    </row>
    <row r="102" spans="1:196" x14ac:dyDescent="0.3">
      <c r="A102" s="59"/>
      <c r="B102" s="59"/>
      <c r="C102" s="59"/>
      <c r="D102" s="59"/>
      <c r="E102" s="59"/>
      <c r="F102" s="59"/>
      <c r="G102" s="59"/>
      <c r="H102" s="59"/>
      <c r="I102" s="59"/>
      <c r="J102" s="59"/>
      <c r="K102" s="59"/>
      <c r="L102" s="59"/>
      <c r="M102" s="59"/>
      <c r="N102" s="59"/>
      <c r="O102" s="59"/>
      <c r="P102" s="59"/>
      <c r="Q102" s="59"/>
      <c r="R102" s="59"/>
      <c r="S102" s="59"/>
      <c r="T102" s="59"/>
      <c r="U102" s="59"/>
      <c r="V102" s="59"/>
      <c r="W102" s="59"/>
      <c r="X102" s="59"/>
      <c r="Y102" s="59"/>
      <c r="Z102" s="59"/>
      <c r="AA102" s="59"/>
      <c r="AB102" s="59"/>
      <c r="AC102" s="59"/>
      <c r="AD102" s="59"/>
      <c r="AE102" s="59"/>
      <c r="AF102" s="59"/>
      <c r="AG102" s="59"/>
      <c r="AH102" s="59"/>
      <c r="AI102" s="59"/>
      <c r="AJ102" s="59"/>
      <c r="AK102" s="59"/>
      <c r="AL102" s="59"/>
      <c r="AM102" s="59"/>
      <c r="AN102" s="59"/>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c r="BU102" s="59"/>
      <c r="BV102" s="59"/>
      <c r="BW102" s="59"/>
      <c r="BX102" s="59"/>
      <c r="BY102" s="59"/>
      <c r="BZ102" s="59"/>
      <c r="CA102" s="59"/>
      <c r="CB102" s="59"/>
      <c r="CC102" s="59"/>
      <c r="CD102" s="59"/>
      <c r="CE102" s="59"/>
      <c r="CF102" s="59"/>
      <c r="CG102" s="59"/>
      <c r="CH102" s="59"/>
      <c r="CI102" s="59"/>
      <c r="CJ102" s="59"/>
      <c r="CK102" s="59"/>
      <c r="CL102" s="59"/>
      <c r="CM102" s="59"/>
      <c r="CN102" s="59"/>
      <c r="CO102" s="59"/>
      <c r="CP102" s="59"/>
      <c r="CQ102" s="59"/>
      <c r="CR102" s="59"/>
      <c r="CS102" s="59"/>
      <c r="CT102" s="59"/>
      <c r="CU102" s="59"/>
      <c r="CV102" s="59"/>
      <c r="CW102" s="59"/>
      <c r="CX102" s="59"/>
      <c r="CY102" s="59"/>
      <c r="CZ102" s="59"/>
      <c r="DA102" s="59"/>
      <c r="DB102" s="59"/>
      <c r="DC102" s="59"/>
      <c r="DD102" s="59"/>
      <c r="DE102" s="59"/>
      <c r="DF102" s="59"/>
      <c r="DG102" s="59"/>
      <c r="DH102" s="59"/>
      <c r="DI102" s="59"/>
      <c r="DJ102" s="59"/>
      <c r="DK102" s="59"/>
      <c r="DL102" s="59"/>
      <c r="DM102" s="59"/>
      <c r="DN102" s="59"/>
      <c r="DO102" s="59"/>
      <c r="DP102" s="59"/>
      <c r="DQ102" s="59"/>
      <c r="DR102" s="59"/>
      <c r="DS102" s="59"/>
      <c r="DT102" s="59"/>
      <c r="DU102" s="59"/>
      <c r="DV102" s="59"/>
      <c r="DW102" s="59"/>
      <c r="DX102" s="59"/>
      <c r="DY102" s="59"/>
      <c r="DZ102" s="59"/>
      <c r="EA102" s="59"/>
      <c r="EB102" s="59"/>
      <c r="EC102" s="59"/>
      <c r="ED102" s="59"/>
      <c r="EE102" s="59"/>
      <c r="EF102" s="59"/>
      <c r="EG102" s="59"/>
      <c r="EH102" s="59"/>
      <c r="EI102" s="59"/>
      <c r="EJ102" s="59"/>
      <c r="EK102" s="59"/>
      <c r="EL102" s="59"/>
      <c r="EM102" s="59"/>
      <c r="EN102" s="59"/>
      <c r="EO102" s="59"/>
      <c r="EP102" s="59"/>
      <c r="EQ102" s="59"/>
      <c r="ER102" s="59"/>
      <c r="ES102" s="59"/>
      <c r="ET102" s="59"/>
      <c r="EU102" s="59"/>
      <c r="EV102" s="59"/>
      <c r="EW102" s="59"/>
      <c r="EX102" s="59"/>
      <c r="EY102" s="59"/>
      <c r="EZ102" s="59"/>
      <c r="FA102" s="59"/>
      <c r="FB102" s="59"/>
      <c r="FC102" s="59"/>
      <c r="FD102" s="59"/>
      <c r="FE102" s="59"/>
      <c r="FF102" s="59"/>
      <c r="FG102" s="59"/>
      <c r="FH102" s="59"/>
      <c r="FI102" s="59"/>
      <c r="FJ102" s="59"/>
      <c r="FK102" s="59"/>
      <c r="FL102" s="59"/>
      <c r="FM102" s="59"/>
      <c r="FN102" s="59"/>
      <c r="FO102" s="59"/>
      <c r="FP102" s="59"/>
      <c r="FQ102" s="59"/>
      <c r="FR102" s="59"/>
      <c r="FS102" s="59"/>
      <c r="FT102" s="59"/>
      <c r="FU102" s="59"/>
      <c r="FV102" s="59"/>
      <c r="FW102" s="59"/>
      <c r="FX102" s="59"/>
      <c r="FY102" s="59"/>
      <c r="FZ102" s="59"/>
      <c r="GA102" s="59"/>
      <c r="GB102" s="59"/>
      <c r="GC102" s="59"/>
      <c r="GD102" s="59"/>
      <c r="GE102" s="59"/>
      <c r="GF102" s="59"/>
      <c r="GG102" s="59"/>
      <c r="GH102" s="59"/>
      <c r="GI102" s="59"/>
      <c r="GJ102" s="59"/>
      <c r="GK102" s="59"/>
      <c r="GL102" s="59"/>
      <c r="GM102" s="59"/>
      <c r="GN102" s="59"/>
    </row>
    <row r="103" spans="1:196" x14ac:dyDescent="0.3">
      <c r="A103" s="59"/>
      <c r="B103" s="59"/>
      <c r="C103" s="59"/>
      <c r="D103" s="59"/>
      <c r="E103" s="59"/>
      <c r="F103" s="59"/>
      <c r="G103" s="59"/>
      <c r="H103" s="59"/>
      <c r="I103" s="59"/>
      <c r="J103" s="59"/>
      <c r="K103" s="59"/>
      <c r="L103" s="59"/>
      <c r="M103" s="59"/>
      <c r="N103" s="59"/>
      <c r="O103" s="59"/>
      <c r="P103" s="59"/>
      <c r="Q103" s="59"/>
      <c r="R103" s="59"/>
      <c r="S103" s="59"/>
      <c r="T103" s="59"/>
      <c r="U103" s="59"/>
      <c r="V103" s="59"/>
      <c r="W103" s="59"/>
      <c r="X103" s="59"/>
      <c r="Y103" s="59"/>
      <c r="Z103" s="59"/>
      <c r="AA103" s="59"/>
      <c r="AB103" s="59"/>
      <c r="AC103" s="59"/>
      <c r="AD103" s="59"/>
      <c r="AE103" s="59"/>
      <c r="AF103" s="59"/>
      <c r="AG103" s="59"/>
      <c r="AH103" s="59"/>
      <c r="AI103" s="59"/>
      <c r="AJ103" s="59"/>
      <c r="AK103" s="59"/>
      <c r="AL103" s="59"/>
      <c r="AM103" s="59"/>
      <c r="AN103" s="59"/>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c r="BU103" s="59"/>
      <c r="BV103" s="59"/>
      <c r="BW103" s="59"/>
      <c r="BX103" s="59"/>
      <c r="BY103" s="59"/>
      <c r="BZ103" s="59"/>
      <c r="CA103" s="59"/>
      <c r="CB103" s="59"/>
      <c r="CC103" s="59"/>
      <c r="CD103" s="59"/>
      <c r="CE103" s="59"/>
      <c r="CF103" s="59"/>
      <c r="CG103" s="59"/>
      <c r="CH103" s="59"/>
      <c r="CI103" s="59"/>
      <c r="CJ103" s="59"/>
      <c r="CK103" s="59"/>
      <c r="CL103" s="59"/>
      <c r="CM103" s="59"/>
      <c r="CN103" s="59"/>
      <c r="CO103" s="59"/>
      <c r="CP103" s="59"/>
      <c r="CQ103" s="59"/>
      <c r="CR103" s="59"/>
      <c r="CS103" s="59"/>
      <c r="CT103" s="59"/>
      <c r="CU103" s="59"/>
      <c r="CV103" s="59"/>
      <c r="CW103" s="59"/>
      <c r="CX103" s="59"/>
      <c r="CY103" s="59"/>
      <c r="CZ103" s="59"/>
      <c r="DA103" s="59"/>
      <c r="DB103" s="59"/>
      <c r="DC103" s="59"/>
      <c r="DD103" s="59"/>
      <c r="DE103" s="59"/>
      <c r="DF103" s="59"/>
      <c r="DG103" s="59"/>
      <c r="DH103" s="59"/>
      <c r="DI103" s="59"/>
      <c r="DJ103" s="59"/>
      <c r="DK103" s="59"/>
      <c r="DL103" s="59"/>
      <c r="DM103" s="59"/>
      <c r="DN103" s="59"/>
      <c r="DO103" s="59"/>
      <c r="DP103" s="59"/>
      <c r="DQ103" s="59"/>
      <c r="DR103" s="59"/>
      <c r="DS103" s="59"/>
      <c r="DT103" s="59"/>
      <c r="DU103" s="59"/>
      <c r="DV103" s="59"/>
      <c r="DW103" s="59"/>
      <c r="DX103" s="59"/>
      <c r="DY103" s="59"/>
      <c r="DZ103" s="59"/>
      <c r="EA103" s="59"/>
      <c r="EB103" s="59"/>
      <c r="EC103" s="59"/>
      <c r="ED103" s="59"/>
      <c r="EE103" s="59"/>
      <c r="EF103" s="59"/>
      <c r="EG103" s="59"/>
      <c r="EH103" s="59"/>
      <c r="EI103" s="59"/>
      <c r="EJ103" s="59"/>
      <c r="EK103" s="59"/>
      <c r="EL103" s="59"/>
      <c r="EM103" s="59"/>
      <c r="EN103" s="59"/>
      <c r="EO103" s="59"/>
      <c r="EP103" s="59"/>
      <c r="EQ103" s="59"/>
      <c r="ER103" s="59"/>
      <c r="ES103" s="59"/>
      <c r="ET103" s="59"/>
      <c r="EU103" s="59"/>
      <c r="EV103" s="59"/>
      <c r="EW103" s="59"/>
      <c r="EX103" s="59"/>
      <c r="EY103" s="59"/>
      <c r="EZ103" s="59"/>
      <c r="FA103" s="59"/>
      <c r="FB103" s="59"/>
      <c r="FC103" s="59"/>
      <c r="FD103" s="59"/>
      <c r="FE103" s="59"/>
      <c r="FF103" s="59"/>
      <c r="FG103" s="59"/>
      <c r="FH103" s="59"/>
      <c r="FI103" s="59"/>
      <c r="FJ103" s="59"/>
      <c r="FK103" s="59"/>
      <c r="FL103" s="59"/>
      <c r="FM103" s="59"/>
      <c r="FN103" s="59"/>
      <c r="FO103" s="59"/>
      <c r="FP103" s="59"/>
      <c r="FQ103" s="59"/>
      <c r="FR103" s="59"/>
      <c r="FS103" s="59"/>
      <c r="FT103" s="59"/>
      <c r="FU103" s="59"/>
      <c r="FV103" s="59"/>
      <c r="FW103" s="59"/>
      <c r="FX103" s="59"/>
      <c r="FY103" s="59"/>
      <c r="FZ103" s="59"/>
      <c r="GA103" s="59"/>
      <c r="GB103" s="59"/>
      <c r="GC103" s="59"/>
      <c r="GD103" s="59"/>
      <c r="GE103" s="59"/>
      <c r="GF103" s="59"/>
      <c r="GG103" s="59"/>
      <c r="GH103" s="59"/>
      <c r="GI103" s="59"/>
      <c r="GJ103" s="59"/>
      <c r="GK103" s="59"/>
      <c r="GL103" s="59"/>
      <c r="GM103" s="59"/>
      <c r="GN103" s="59"/>
    </row>
    <row r="104" spans="1:196" x14ac:dyDescent="0.3">
      <c r="A104" s="59"/>
      <c r="B104" s="59"/>
      <c r="C104" s="59"/>
      <c r="D104" s="59"/>
      <c r="E104" s="59"/>
      <c r="F104" s="59"/>
      <c r="G104" s="59"/>
      <c r="H104" s="59"/>
      <c r="I104" s="59"/>
      <c r="J104" s="59"/>
      <c r="K104" s="59"/>
      <c r="L104" s="59"/>
      <c r="M104" s="59"/>
      <c r="N104" s="59"/>
      <c r="O104" s="59"/>
      <c r="P104" s="59"/>
      <c r="Q104" s="59"/>
      <c r="R104" s="59"/>
      <c r="S104" s="59"/>
      <c r="T104" s="59"/>
      <c r="U104" s="59"/>
      <c r="V104" s="59"/>
      <c r="W104" s="59"/>
      <c r="X104" s="59"/>
      <c r="Y104" s="59"/>
      <c r="Z104" s="59"/>
      <c r="AA104" s="59"/>
      <c r="AB104" s="59"/>
      <c r="AC104" s="59"/>
      <c r="AD104" s="59"/>
      <c r="AE104" s="59"/>
      <c r="AF104" s="59"/>
      <c r="AG104" s="59"/>
      <c r="AH104" s="59"/>
      <c r="AI104" s="59"/>
      <c r="AJ104" s="59"/>
      <c r="AK104" s="59"/>
      <c r="AL104" s="59"/>
      <c r="AM104" s="59"/>
      <c r="AN104" s="59"/>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c r="BU104" s="59"/>
      <c r="BV104" s="59"/>
      <c r="BW104" s="59"/>
      <c r="BX104" s="59"/>
      <c r="BY104" s="59"/>
      <c r="BZ104" s="59"/>
      <c r="CA104" s="59"/>
      <c r="CB104" s="59"/>
      <c r="CC104" s="59"/>
      <c r="CD104" s="59"/>
      <c r="CE104" s="59"/>
      <c r="CF104" s="59"/>
      <c r="CG104" s="59"/>
      <c r="CH104" s="59"/>
      <c r="CI104" s="59"/>
      <c r="CJ104" s="59"/>
      <c r="CK104" s="59"/>
      <c r="CL104" s="59"/>
      <c r="CM104" s="59"/>
      <c r="CN104" s="59"/>
      <c r="CO104" s="59"/>
      <c r="CP104" s="59"/>
      <c r="CQ104" s="59"/>
      <c r="CR104" s="59"/>
      <c r="CS104" s="59"/>
      <c r="CT104" s="59"/>
      <c r="CU104" s="59"/>
      <c r="CV104" s="59"/>
      <c r="CW104" s="59"/>
      <c r="CX104" s="59"/>
      <c r="CY104" s="59"/>
      <c r="CZ104" s="59"/>
      <c r="DA104" s="59"/>
      <c r="DB104" s="59"/>
      <c r="DC104" s="59"/>
      <c r="DD104" s="59"/>
      <c r="DE104" s="59"/>
      <c r="DF104" s="59"/>
      <c r="DG104" s="59"/>
      <c r="DH104" s="59"/>
      <c r="DI104" s="59"/>
      <c r="DJ104" s="59"/>
      <c r="DK104" s="59"/>
      <c r="DL104" s="59"/>
      <c r="DM104" s="59"/>
      <c r="DN104" s="59"/>
      <c r="DO104" s="59"/>
      <c r="DP104" s="59"/>
      <c r="DQ104" s="59"/>
      <c r="DR104" s="59"/>
      <c r="DS104" s="59"/>
      <c r="DT104" s="59"/>
      <c r="DU104" s="59"/>
      <c r="DV104" s="59"/>
      <c r="DW104" s="59"/>
      <c r="DX104" s="59"/>
      <c r="DY104" s="59"/>
      <c r="DZ104" s="59"/>
      <c r="EA104" s="59"/>
      <c r="EB104" s="59"/>
      <c r="EC104" s="59"/>
      <c r="ED104" s="59"/>
      <c r="EE104" s="59"/>
      <c r="EF104" s="59"/>
      <c r="EG104" s="59"/>
      <c r="EH104" s="59"/>
      <c r="EI104" s="59"/>
      <c r="EJ104" s="59"/>
      <c r="EK104" s="59"/>
      <c r="EL104" s="59"/>
      <c r="EM104" s="59"/>
      <c r="EN104" s="59"/>
      <c r="EO104" s="59"/>
      <c r="EP104" s="59"/>
      <c r="EQ104" s="59"/>
      <c r="ER104" s="59"/>
      <c r="ES104" s="59"/>
      <c r="ET104" s="59"/>
      <c r="EU104" s="59"/>
      <c r="EV104" s="59"/>
      <c r="EW104" s="59"/>
      <c r="EX104" s="59"/>
      <c r="EY104" s="59"/>
      <c r="EZ104" s="59"/>
      <c r="FA104" s="59"/>
      <c r="FB104" s="59"/>
      <c r="FC104" s="59"/>
      <c r="FD104" s="59"/>
      <c r="FE104" s="59"/>
      <c r="FF104" s="59"/>
      <c r="FG104" s="59"/>
      <c r="FH104" s="59"/>
      <c r="FI104" s="59"/>
      <c r="FJ104" s="59"/>
      <c r="FK104" s="59"/>
      <c r="FL104" s="59"/>
      <c r="FM104" s="59"/>
      <c r="FN104" s="59"/>
      <c r="FO104" s="59"/>
      <c r="FP104" s="59"/>
      <c r="FQ104" s="59"/>
      <c r="FR104" s="59"/>
      <c r="FS104" s="59"/>
      <c r="FT104" s="59"/>
      <c r="FU104" s="59"/>
      <c r="FV104" s="59"/>
      <c r="FW104" s="59"/>
      <c r="FX104" s="59"/>
      <c r="FY104" s="59"/>
      <c r="FZ104" s="59"/>
      <c r="GA104" s="59"/>
      <c r="GB104" s="59"/>
      <c r="GC104" s="59"/>
      <c r="GD104" s="59"/>
      <c r="GE104" s="59"/>
      <c r="GF104" s="59"/>
      <c r="GG104" s="59"/>
      <c r="GH104" s="59"/>
      <c r="GI104" s="59"/>
      <c r="GJ104" s="59"/>
      <c r="GK104" s="59"/>
      <c r="GL104" s="59"/>
      <c r="GM104" s="59"/>
      <c r="GN104" s="59"/>
    </row>
    <row r="105" spans="1:196" x14ac:dyDescent="0.3">
      <c r="A105" s="59"/>
      <c r="B105" s="59"/>
      <c r="C105" s="59"/>
      <c r="D105" s="59"/>
      <c r="E105" s="59"/>
      <c r="F105" s="59"/>
      <c r="G105" s="59"/>
      <c r="H105" s="59"/>
      <c r="I105" s="59"/>
      <c r="J105" s="59"/>
      <c r="K105" s="59"/>
      <c r="L105" s="59"/>
      <c r="M105" s="59"/>
      <c r="N105" s="59"/>
      <c r="O105" s="59"/>
      <c r="P105" s="59"/>
      <c r="Q105" s="59"/>
      <c r="R105" s="59"/>
      <c r="S105" s="59"/>
      <c r="T105" s="59"/>
      <c r="U105" s="59"/>
      <c r="V105" s="59"/>
      <c r="W105" s="59"/>
      <c r="X105" s="59"/>
      <c r="Y105" s="59"/>
      <c r="Z105" s="59"/>
      <c r="AA105" s="59"/>
      <c r="AB105" s="59"/>
      <c r="AC105" s="59"/>
      <c r="AD105" s="59"/>
      <c r="AE105" s="59"/>
      <c r="AF105" s="59"/>
      <c r="AG105" s="59"/>
      <c r="AH105" s="59"/>
      <c r="AI105" s="59"/>
      <c r="AJ105" s="59"/>
      <c r="AK105" s="59"/>
      <c r="AL105" s="59"/>
      <c r="AM105" s="59"/>
      <c r="AN105" s="59"/>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c r="BU105" s="59"/>
      <c r="BV105" s="59"/>
      <c r="BW105" s="59"/>
      <c r="BX105" s="59"/>
      <c r="BY105" s="59"/>
      <c r="BZ105" s="59"/>
      <c r="CA105" s="59"/>
      <c r="CB105" s="59"/>
      <c r="CC105" s="59"/>
      <c r="CD105" s="59"/>
      <c r="CE105" s="59"/>
      <c r="CF105" s="59"/>
      <c r="CG105" s="59"/>
      <c r="CH105" s="59"/>
      <c r="CI105" s="59"/>
      <c r="CJ105" s="59"/>
      <c r="CK105" s="59"/>
      <c r="CL105" s="59"/>
      <c r="CM105" s="59"/>
      <c r="CN105" s="59"/>
      <c r="CO105" s="59"/>
      <c r="CP105" s="59"/>
      <c r="CQ105" s="59"/>
      <c r="CR105" s="59"/>
      <c r="CS105" s="59"/>
      <c r="CT105" s="59"/>
      <c r="CU105" s="59"/>
      <c r="CV105" s="59"/>
      <c r="CW105" s="59"/>
      <c r="CX105" s="59"/>
      <c r="CY105" s="59"/>
      <c r="CZ105" s="59"/>
      <c r="DA105" s="59"/>
      <c r="DB105" s="59"/>
      <c r="DC105" s="59"/>
      <c r="DD105" s="59"/>
      <c r="DE105" s="59"/>
      <c r="DF105" s="59"/>
      <c r="DG105" s="59"/>
      <c r="DH105" s="59"/>
      <c r="DI105" s="59"/>
      <c r="DJ105" s="59"/>
      <c r="DK105" s="59"/>
      <c r="DL105" s="59"/>
      <c r="DM105" s="59"/>
      <c r="DN105" s="59"/>
      <c r="DO105" s="59"/>
      <c r="DP105" s="59"/>
      <c r="DQ105" s="59"/>
      <c r="DR105" s="59"/>
      <c r="DS105" s="59"/>
      <c r="DT105" s="59"/>
      <c r="DU105" s="59"/>
      <c r="DV105" s="59"/>
      <c r="DW105" s="59"/>
      <c r="DX105" s="59"/>
      <c r="DY105" s="59"/>
      <c r="DZ105" s="59"/>
      <c r="EA105" s="59"/>
      <c r="EB105" s="59"/>
      <c r="EC105" s="59"/>
      <c r="ED105" s="59"/>
      <c r="EE105" s="59"/>
      <c r="EF105" s="59"/>
      <c r="EG105" s="59"/>
      <c r="EH105" s="59"/>
      <c r="EI105" s="59"/>
      <c r="EJ105" s="59"/>
      <c r="EK105" s="59"/>
      <c r="EL105" s="59"/>
      <c r="EM105" s="59"/>
      <c r="EN105" s="59"/>
      <c r="EO105" s="59"/>
      <c r="EP105" s="59"/>
      <c r="EQ105" s="59"/>
      <c r="ER105" s="59"/>
      <c r="ES105" s="59"/>
      <c r="ET105" s="59"/>
      <c r="EU105" s="59"/>
      <c r="EV105" s="59"/>
      <c r="EW105" s="59"/>
      <c r="EX105" s="59"/>
      <c r="EY105" s="59"/>
      <c r="EZ105" s="59"/>
      <c r="FA105" s="59"/>
      <c r="FB105" s="59"/>
      <c r="FC105" s="59"/>
      <c r="FD105" s="59"/>
      <c r="FE105" s="59"/>
      <c r="FF105" s="59"/>
      <c r="FG105" s="59"/>
      <c r="FH105" s="59"/>
      <c r="FI105" s="59"/>
      <c r="FJ105" s="59"/>
      <c r="FK105" s="59"/>
      <c r="FL105" s="59"/>
      <c r="FM105" s="59"/>
      <c r="FN105" s="59"/>
      <c r="FO105" s="59"/>
      <c r="FP105" s="59"/>
      <c r="FQ105" s="59"/>
      <c r="FR105" s="59"/>
      <c r="FS105" s="59"/>
      <c r="FT105" s="59"/>
      <c r="FU105" s="59"/>
      <c r="FV105" s="59"/>
      <c r="FW105" s="59"/>
      <c r="FX105" s="59"/>
      <c r="FY105" s="59"/>
      <c r="FZ105" s="59"/>
      <c r="GA105" s="59"/>
      <c r="GB105" s="59"/>
      <c r="GC105" s="59"/>
      <c r="GD105" s="59"/>
      <c r="GE105" s="59"/>
      <c r="GF105" s="59"/>
      <c r="GG105" s="59"/>
      <c r="GH105" s="59"/>
      <c r="GI105" s="59"/>
      <c r="GJ105" s="59"/>
      <c r="GK105" s="59"/>
      <c r="GL105" s="59"/>
      <c r="GM105" s="59"/>
      <c r="GN105" s="59"/>
    </row>
    <row r="106" spans="1:196" x14ac:dyDescent="0.3">
      <c r="A106" s="59"/>
      <c r="B106" s="59"/>
      <c r="C106" s="59"/>
      <c r="D106" s="59"/>
      <c r="E106" s="59"/>
      <c r="F106" s="59"/>
      <c r="G106" s="59"/>
      <c r="H106" s="59"/>
      <c r="I106" s="59"/>
      <c r="J106" s="59"/>
      <c r="K106" s="59"/>
      <c r="L106" s="59"/>
      <c r="M106" s="59"/>
      <c r="N106" s="59"/>
      <c r="O106" s="59"/>
      <c r="P106" s="59"/>
      <c r="Q106" s="59"/>
      <c r="R106" s="59"/>
      <c r="S106" s="59"/>
      <c r="T106" s="59"/>
      <c r="U106" s="59"/>
      <c r="V106" s="59"/>
      <c r="W106" s="59"/>
      <c r="X106" s="59"/>
      <c r="Y106" s="59"/>
      <c r="Z106" s="59"/>
      <c r="AA106" s="59"/>
      <c r="AB106" s="59"/>
      <c r="AC106" s="59"/>
      <c r="AD106" s="59"/>
      <c r="AE106" s="59"/>
      <c r="AF106" s="59"/>
      <c r="AG106" s="59"/>
      <c r="AH106" s="59"/>
      <c r="AI106" s="59"/>
      <c r="AJ106" s="59"/>
      <c r="AK106" s="59"/>
      <c r="AL106" s="59"/>
      <c r="AM106" s="59"/>
      <c r="AN106" s="59"/>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c r="BU106" s="59"/>
      <c r="BV106" s="59"/>
      <c r="BW106" s="59"/>
      <c r="BX106" s="59"/>
      <c r="BY106" s="59"/>
      <c r="BZ106" s="59"/>
      <c r="CA106" s="59"/>
      <c r="CB106" s="59"/>
      <c r="CC106" s="59"/>
      <c r="CD106" s="59"/>
      <c r="CE106" s="59"/>
      <c r="CF106" s="59"/>
      <c r="CG106" s="59"/>
      <c r="CH106" s="59"/>
      <c r="CI106" s="59"/>
      <c r="CJ106" s="59"/>
      <c r="CK106" s="59"/>
      <c r="CL106" s="59"/>
      <c r="CM106" s="59"/>
      <c r="CN106" s="59"/>
      <c r="CO106" s="59"/>
      <c r="CP106" s="59"/>
      <c r="CQ106" s="59"/>
      <c r="CR106" s="59"/>
      <c r="CS106" s="59"/>
      <c r="CT106" s="59"/>
      <c r="CU106" s="59"/>
      <c r="CV106" s="59"/>
      <c r="CW106" s="59"/>
      <c r="CX106" s="59"/>
      <c r="CY106" s="59"/>
      <c r="CZ106" s="59"/>
      <c r="DA106" s="59"/>
      <c r="DB106" s="59"/>
      <c r="DC106" s="59"/>
      <c r="DD106" s="59"/>
      <c r="DE106" s="59"/>
      <c r="DF106" s="59"/>
      <c r="DG106" s="59"/>
      <c r="DH106" s="59"/>
      <c r="DI106" s="59"/>
      <c r="DJ106" s="59"/>
      <c r="DK106" s="59"/>
      <c r="DL106" s="59"/>
      <c r="DM106" s="59"/>
      <c r="DN106" s="59"/>
      <c r="DO106" s="59"/>
      <c r="DP106" s="59"/>
      <c r="DQ106" s="59"/>
      <c r="DR106" s="59"/>
      <c r="DS106" s="59"/>
      <c r="DT106" s="59"/>
      <c r="DU106" s="59"/>
      <c r="DV106" s="59"/>
      <c r="DW106" s="59"/>
      <c r="DX106" s="59"/>
      <c r="DY106" s="59"/>
      <c r="DZ106" s="59"/>
      <c r="EA106" s="59"/>
      <c r="EB106" s="59"/>
      <c r="EC106" s="59"/>
      <c r="ED106" s="59"/>
      <c r="EE106" s="59"/>
      <c r="EF106" s="59"/>
      <c r="EG106" s="59"/>
      <c r="EH106" s="59"/>
      <c r="EI106" s="59"/>
      <c r="EJ106" s="59"/>
      <c r="EK106" s="59"/>
      <c r="EL106" s="59"/>
      <c r="EM106" s="59"/>
      <c r="EN106" s="59"/>
      <c r="EO106" s="59"/>
      <c r="EP106" s="59"/>
      <c r="EQ106" s="59"/>
      <c r="ER106" s="59"/>
      <c r="ES106" s="59"/>
      <c r="ET106" s="59"/>
      <c r="EU106" s="59"/>
      <c r="EV106" s="59"/>
      <c r="EW106" s="59"/>
      <c r="EX106" s="59"/>
      <c r="EY106" s="59"/>
      <c r="EZ106" s="59"/>
      <c r="FA106" s="59"/>
      <c r="FB106" s="59"/>
      <c r="FC106" s="59"/>
      <c r="FD106" s="59"/>
      <c r="FE106" s="59"/>
      <c r="FF106" s="59"/>
      <c r="FG106" s="59"/>
      <c r="FH106" s="59"/>
      <c r="FI106" s="59"/>
      <c r="FJ106" s="59"/>
      <c r="FK106" s="59"/>
      <c r="FL106" s="59"/>
      <c r="FM106" s="59"/>
      <c r="FN106" s="59"/>
      <c r="FO106" s="59"/>
      <c r="FP106" s="59"/>
      <c r="FQ106" s="59"/>
      <c r="FR106" s="59"/>
      <c r="FS106" s="59"/>
      <c r="FT106" s="59"/>
      <c r="FU106" s="59"/>
      <c r="FV106" s="59"/>
      <c r="FW106" s="59"/>
      <c r="FX106" s="59"/>
      <c r="FY106" s="59"/>
      <c r="FZ106" s="59"/>
      <c r="GA106" s="59"/>
      <c r="GB106" s="59"/>
      <c r="GC106" s="59"/>
      <c r="GD106" s="59"/>
      <c r="GE106" s="59"/>
      <c r="GF106" s="59"/>
      <c r="GG106" s="59"/>
      <c r="GH106" s="59"/>
      <c r="GI106" s="59"/>
      <c r="GJ106" s="59"/>
      <c r="GK106" s="59"/>
      <c r="GL106" s="59"/>
      <c r="GM106" s="59"/>
      <c r="GN106" s="59"/>
    </row>
    <row r="107" spans="1:196" x14ac:dyDescent="0.3">
      <c r="A107" s="59"/>
      <c r="B107" s="59"/>
      <c r="C107" s="59"/>
      <c r="D107" s="59"/>
      <c r="E107" s="59"/>
      <c r="F107" s="59"/>
      <c r="G107" s="59"/>
      <c r="H107" s="59"/>
      <c r="I107" s="59"/>
      <c r="J107" s="59"/>
      <c r="K107" s="59"/>
      <c r="L107" s="59"/>
      <c r="M107" s="59"/>
      <c r="N107" s="59"/>
      <c r="O107" s="59"/>
      <c r="P107" s="59"/>
      <c r="Q107" s="59"/>
      <c r="R107" s="59"/>
      <c r="S107" s="59"/>
      <c r="T107" s="59"/>
      <c r="U107" s="59"/>
      <c r="V107" s="59"/>
      <c r="W107" s="59"/>
      <c r="X107" s="59"/>
      <c r="Y107" s="59"/>
      <c r="Z107" s="59"/>
      <c r="AA107" s="59"/>
      <c r="AB107" s="59"/>
      <c r="AC107" s="59"/>
      <c r="AD107" s="59"/>
      <c r="AE107" s="59"/>
      <c r="AF107" s="59"/>
      <c r="AG107" s="59"/>
      <c r="AH107" s="59"/>
      <c r="AI107" s="59"/>
      <c r="AJ107" s="59"/>
      <c r="AK107" s="59"/>
      <c r="AL107" s="59"/>
      <c r="AM107" s="59"/>
      <c r="AN107" s="59"/>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c r="BU107" s="59"/>
      <c r="BV107" s="59"/>
      <c r="BW107" s="59"/>
      <c r="BX107" s="59"/>
      <c r="BY107" s="59"/>
      <c r="BZ107" s="59"/>
      <c r="CA107" s="59"/>
      <c r="CB107" s="59"/>
      <c r="CC107" s="59"/>
      <c r="CD107" s="59"/>
      <c r="CE107" s="59"/>
      <c r="CF107" s="59"/>
      <c r="CG107" s="59"/>
      <c r="CH107" s="59"/>
      <c r="CI107" s="59"/>
      <c r="CJ107" s="59"/>
      <c r="CK107" s="59"/>
      <c r="CL107" s="59"/>
      <c r="CM107" s="59"/>
      <c r="CN107" s="59"/>
      <c r="CO107" s="59"/>
      <c r="CP107" s="59"/>
      <c r="CQ107" s="59"/>
      <c r="CR107" s="59"/>
      <c r="CS107" s="59"/>
      <c r="CT107" s="59"/>
      <c r="CU107" s="59"/>
      <c r="CV107" s="59"/>
      <c r="CW107" s="59"/>
      <c r="CX107" s="59"/>
      <c r="CY107" s="59"/>
      <c r="CZ107" s="59"/>
      <c r="DA107" s="59"/>
      <c r="DB107" s="59"/>
      <c r="DC107" s="59"/>
      <c r="DD107" s="59"/>
      <c r="DE107" s="59"/>
      <c r="DF107" s="59"/>
      <c r="DG107" s="59"/>
      <c r="DH107" s="59"/>
      <c r="DI107" s="59"/>
      <c r="DJ107" s="59"/>
      <c r="DK107" s="59"/>
      <c r="DL107" s="59"/>
      <c r="DM107" s="59"/>
      <c r="DN107" s="59"/>
      <c r="DO107" s="59"/>
      <c r="DP107" s="59"/>
      <c r="DQ107" s="59"/>
      <c r="DR107" s="59"/>
      <c r="DS107" s="59"/>
      <c r="DT107" s="59"/>
      <c r="DU107" s="59"/>
      <c r="DV107" s="59"/>
      <c r="DW107" s="59"/>
      <c r="DX107" s="59"/>
      <c r="DY107" s="59"/>
      <c r="DZ107" s="59"/>
      <c r="EA107" s="59"/>
      <c r="EB107" s="59"/>
      <c r="EC107" s="59"/>
      <c r="ED107" s="59"/>
      <c r="EE107" s="59"/>
      <c r="EF107" s="59"/>
      <c r="EG107" s="59"/>
      <c r="EH107" s="59"/>
      <c r="EI107" s="59"/>
      <c r="EJ107" s="59"/>
      <c r="EK107" s="59"/>
      <c r="EL107" s="59"/>
      <c r="EM107" s="59"/>
      <c r="EN107" s="59"/>
      <c r="EO107" s="59"/>
      <c r="EP107" s="59"/>
      <c r="EQ107" s="59"/>
      <c r="ER107" s="59"/>
      <c r="ES107" s="59"/>
      <c r="ET107" s="59"/>
      <c r="EU107" s="59"/>
      <c r="EV107" s="59"/>
      <c r="EW107" s="59"/>
      <c r="EX107" s="59"/>
      <c r="EY107" s="59"/>
      <c r="EZ107" s="59"/>
      <c r="FA107" s="59"/>
      <c r="FB107" s="59"/>
      <c r="FC107" s="59"/>
      <c r="FD107" s="59"/>
      <c r="FE107" s="59"/>
      <c r="FF107" s="59"/>
      <c r="FG107" s="59"/>
      <c r="FH107" s="59"/>
      <c r="FI107" s="59"/>
      <c r="FJ107" s="59"/>
      <c r="FK107" s="59"/>
      <c r="FL107" s="59"/>
      <c r="FM107" s="59"/>
      <c r="FN107" s="59"/>
      <c r="FO107" s="59"/>
      <c r="FP107" s="59"/>
      <c r="FQ107" s="59"/>
      <c r="FR107" s="59"/>
      <c r="FS107" s="59"/>
      <c r="FT107" s="59"/>
      <c r="FU107" s="59"/>
      <c r="FV107" s="59"/>
      <c r="FW107" s="59"/>
      <c r="FX107" s="59"/>
      <c r="FY107" s="59"/>
      <c r="FZ107" s="59"/>
      <c r="GA107" s="59"/>
      <c r="GB107" s="59"/>
      <c r="GC107" s="59"/>
      <c r="GD107" s="59"/>
      <c r="GE107" s="59"/>
      <c r="GF107" s="59"/>
      <c r="GG107" s="59"/>
      <c r="GH107" s="59"/>
      <c r="GI107" s="59"/>
      <c r="GJ107" s="59"/>
      <c r="GK107" s="59"/>
      <c r="GL107" s="59"/>
      <c r="GM107" s="59"/>
      <c r="GN107" s="59"/>
    </row>
    <row r="108" spans="1:196" x14ac:dyDescent="0.3">
      <c r="A108" s="59"/>
      <c r="B108" s="59"/>
      <c r="C108" s="59"/>
      <c r="D108" s="59"/>
      <c r="E108" s="59"/>
      <c r="F108" s="59"/>
      <c r="G108" s="59"/>
      <c r="H108" s="59"/>
      <c r="I108" s="59"/>
      <c r="J108" s="59"/>
      <c r="K108" s="59"/>
      <c r="L108" s="59"/>
      <c r="M108" s="59"/>
      <c r="N108" s="59"/>
      <c r="O108" s="59"/>
      <c r="P108" s="59"/>
      <c r="Q108" s="59"/>
      <c r="R108" s="59"/>
      <c r="S108" s="59"/>
      <c r="T108" s="59"/>
      <c r="U108" s="59"/>
      <c r="V108" s="59"/>
      <c r="W108" s="59"/>
      <c r="X108" s="59"/>
      <c r="Y108" s="59"/>
      <c r="Z108" s="59"/>
      <c r="AA108" s="59"/>
      <c r="AB108" s="59"/>
      <c r="AC108" s="59"/>
      <c r="AD108" s="59"/>
      <c r="AE108" s="59"/>
      <c r="AF108" s="59"/>
      <c r="AG108" s="59"/>
      <c r="AH108" s="59"/>
      <c r="AI108" s="59"/>
      <c r="AJ108" s="59"/>
      <c r="AK108" s="59"/>
      <c r="AL108" s="59"/>
      <c r="AM108" s="59"/>
      <c r="AN108" s="59"/>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c r="BU108" s="59"/>
      <c r="BV108" s="59"/>
      <c r="BW108" s="59"/>
      <c r="BX108" s="59"/>
      <c r="BY108" s="59"/>
      <c r="BZ108" s="59"/>
      <c r="CA108" s="59"/>
      <c r="CB108" s="59"/>
      <c r="CC108" s="59"/>
      <c r="CD108" s="59"/>
      <c r="CE108" s="59"/>
      <c r="CF108" s="59"/>
      <c r="CG108" s="59"/>
      <c r="CH108" s="59"/>
      <c r="CI108" s="59"/>
      <c r="CJ108" s="59"/>
      <c r="CK108" s="59"/>
      <c r="CL108" s="59"/>
      <c r="CM108" s="59"/>
      <c r="CN108" s="59"/>
      <c r="CO108" s="59"/>
      <c r="CP108" s="59"/>
      <c r="CQ108" s="59"/>
      <c r="CR108" s="59"/>
      <c r="CS108" s="59"/>
      <c r="CT108" s="59"/>
      <c r="CU108" s="59"/>
      <c r="CV108" s="59"/>
      <c r="CW108" s="59"/>
      <c r="CX108" s="59"/>
      <c r="CY108" s="59"/>
      <c r="CZ108" s="59"/>
      <c r="DA108" s="59"/>
      <c r="DB108" s="59"/>
      <c r="DC108" s="59"/>
      <c r="DD108" s="59"/>
      <c r="DE108" s="59"/>
      <c r="DF108" s="59"/>
      <c r="DG108" s="59"/>
      <c r="DH108" s="59"/>
      <c r="DI108" s="59"/>
      <c r="DJ108" s="59"/>
      <c r="DK108" s="59"/>
      <c r="DL108" s="59"/>
      <c r="DM108" s="59"/>
      <c r="DN108" s="59"/>
      <c r="DO108" s="59"/>
      <c r="DP108" s="59"/>
      <c r="DQ108" s="59"/>
      <c r="DR108" s="59"/>
      <c r="DS108" s="59"/>
      <c r="DT108" s="59"/>
      <c r="DU108" s="59"/>
      <c r="DV108" s="59"/>
      <c r="DW108" s="59"/>
      <c r="DX108" s="59"/>
      <c r="DY108" s="59"/>
      <c r="DZ108" s="59"/>
      <c r="EA108" s="59"/>
      <c r="EB108" s="59"/>
      <c r="EC108" s="59"/>
      <c r="ED108" s="59"/>
      <c r="EE108" s="59"/>
      <c r="EF108" s="59"/>
      <c r="EG108" s="59"/>
      <c r="EH108" s="59"/>
      <c r="EI108" s="59"/>
      <c r="EJ108" s="59"/>
      <c r="EK108" s="59"/>
      <c r="EL108" s="59"/>
      <c r="EM108" s="59"/>
      <c r="EN108" s="59"/>
      <c r="EO108" s="59"/>
      <c r="EP108" s="59"/>
      <c r="EQ108" s="59"/>
      <c r="ER108" s="59"/>
      <c r="ES108" s="59"/>
      <c r="ET108" s="59"/>
      <c r="EU108" s="59"/>
      <c r="EV108" s="59"/>
      <c r="EW108" s="59"/>
      <c r="EX108" s="59"/>
      <c r="EY108" s="59"/>
      <c r="EZ108" s="59"/>
      <c r="FA108" s="59"/>
      <c r="FB108" s="59"/>
      <c r="FC108" s="59"/>
      <c r="FD108" s="59"/>
      <c r="FE108" s="59"/>
      <c r="FF108" s="59"/>
      <c r="FG108" s="59"/>
      <c r="FH108" s="59"/>
      <c r="FI108" s="59"/>
      <c r="FJ108" s="59"/>
      <c r="FK108" s="59"/>
      <c r="FL108" s="59"/>
      <c r="FM108" s="59"/>
      <c r="FN108" s="59"/>
      <c r="FO108" s="59"/>
      <c r="FP108" s="59"/>
      <c r="FQ108" s="59"/>
      <c r="FR108" s="59"/>
      <c r="FS108" s="59"/>
      <c r="FT108" s="59"/>
      <c r="FU108" s="59"/>
      <c r="FV108" s="59"/>
      <c r="FW108" s="59"/>
      <c r="FX108" s="59"/>
      <c r="FY108" s="59"/>
      <c r="FZ108" s="59"/>
      <c r="GA108" s="59"/>
      <c r="GB108" s="59"/>
      <c r="GC108" s="59"/>
      <c r="GD108" s="59"/>
      <c r="GE108" s="59"/>
      <c r="GF108" s="59"/>
      <c r="GG108" s="59"/>
      <c r="GH108" s="59"/>
      <c r="GI108" s="59"/>
      <c r="GJ108" s="59"/>
      <c r="GK108" s="59"/>
      <c r="GL108" s="59"/>
      <c r="GM108" s="59"/>
      <c r="GN108" s="59"/>
    </row>
    <row r="109" spans="1:196" x14ac:dyDescent="0.3">
      <c r="A109" s="59"/>
      <c r="B109" s="59"/>
      <c r="C109" s="59"/>
      <c r="D109" s="59"/>
      <c r="E109" s="59"/>
      <c r="F109" s="59"/>
      <c r="G109" s="59"/>
      <c r="H109" s="59"/>
      <c r="I109" s="59"/>
      <c r="J109" s="59"/>
      <c r="K109" s="59"/>
      <c r="L109" s="59"/>
      <c r="M109" s="59"/>
      <c r="N109" s="59"/>
      <c r="O109" s="59"/>
      <c r="P109" s="59"/>
      <c r="Q109" s="59"/>
      <c r="R109" s="59"/>
      <c r="S109" s="59"/>
      <c r="T109" s="59"/>
      <c r="U109" s="59"/>
      <c r="V109" s="59"/>
      <c r="W109" s="59"/>
      <c r="X109" s="59"/>
      <c r="Y109" s="59"/>
      <c r="Z109" s="59"/>
      <c r="AA109" s="59"/>
      <c r="AB109" s="59"/>
      <c r="AC109" s="59"/>
      <c r="AD109" s="59"/>
      <c r="AE109" s="59"/>
      <c r="AF109" s="59"/>
      <c r="AG109" s="59"/>
      <c r="AH109" s="59"/>
      <c r="AI109" s="59"/>
      <c r="AJ109" s="59"/>
      <c r="AK109" s="59"/>
      <c r="AL109" s="59"/>
      <c r="AM109" s="59"/>
      <c r="AN109" s="59"/>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c r="BU109" s="59"/>
      <c r="BV109" s="59"/>
      <c r="BW109" s="59"/>
      <c r="BX109" s="59"/>
      <c r="BY109" s="59"/>
      <c r="BZ109" s="59"/>
      <c r="CA109" s="59"/>
      <c r="CB109" s="59"/>
      <c r="CC109" s="59"/>
      <c r="CD109" s="59"/>
      <c r="CE109" s="59"/>
      <c r="CF109" s="59"/>
      <c r="CG109" s="59"/>
      <c r="CH109" s="59"/>
      <c r="CI109" s="59"/>
      <c r="CJ109" s="59"/>
      <c r="CK109" s="59"/>
      <c r="CL109" s="59"/>
      <c r="CM109" s="59"/>
      <c r="CN109" s="59"/>
      <c r="CO109" s="59"/>
      <c r="CP109" s="59"/>
      <c r="CQ109" s="59"/>
      <c r="CR109" s="59"/>
      <c r="CS109" s="59"/>
      <c r="CT109" s="59"/>
      <c r="CU109" s="59"/>
      <c r="CV109" s="59"/>
      <c r="CW109" s="59"/>
      <c r="CX109" s="59"/>
      <c r="CY109" s="59"/>
      <c r="CZ109" s="59"/>
      <c r="DA109" s="59"/>
      <c r="DB109" s="59"/>
      <c r="DC109" s="59"/>
      <c r="DD109" s="59"/>
      <c r="DE109" s="59"/>
      <c r="DF109" s="59"/>
      <c r="DG109" s="59"/>
      <c r="DH109" s="59"/>
      <c r="DI109" s="59"/>
      <c r="DJ109" s="59"/>
      <c r="DK109" s="59"/>
      <c r="DL109" s="59"/>
      <c r="DM109" s="59"/>
      <c r="DN109" s="59"/>
      <c r="DO109" s="59"/>
      <c r="DP109" s="59"/>
      <c r="DQ109" s="59"/>
      <c r="DR109" s="59"/>
      <c r="DS109" s="59"/>
      <c r="DT109" s="59"/>
      <c r="DU109" s="59"/>
      <c r="DV109" s="59"/>
      <c r="DW109" s="59"/>
      <c r="DX109" s="59"/>
      <c r="DY109" s="59"/>
      <c r="DZ109" s="59"/>
      <c r="EA109" s="59"/>
      <c r="EB109" s="59"/>
      <c r="EC109" s="59"/>
      <c r="ED109" s="59"/>
      <c r="EE109" s="59"/>
      <c r="EF109" s="59"/>
      <c r="EG109" s="59"/>
      <c r="EH109" s="59"/>
      <c r="EI109" s="59"/>
      <c r="EJ109" s="59"/>
      <c r="EK109" s="59"/>
      <c r="EL109" s="59"/>
      <c r="EM109" s="59"/>
      <c r="EN109" s="59"/>
      <c r="EO109" s="59"/>
      <c r="EP109" s="59"/>
      <c r="EQ109" s="59"/>
      <c r="ER109" s="59"/>
      <c r="ES109" s="59"/>
      <c r="ET109" s="59"/>
      <c r="EU109" s="59"/>
      <c r="EV109" s="59"/>
      <c r="EW109" s="59"/>
      <c r="EX109" s="59"/>
      <c r="EY109" s="59"/>
      <c r="EZ109" s="59"/>
      <c r="FA109" s="59"/>
      <c r="FB109" s="59"/>
      <c r="FC109" s="59"/>
      <c r="FD109" s="59"/>
      <c r="FE109" s="59"/>
      <c r="FF109" s="59"/>
      <c r="FG109" s="59"/>
      <c r="FH109" s="59"/>
      <c r="FI109" s="59"/>
      <c r="FJ109" s="59"/>
      <c r="FK109" s="59"/>
      <c r="FL109" s="59"/>
      <c r="FM109" s="59"/>
      <c r="FN109" s="59"/>
      <c r="FO109" s="59"/>
      <c r="FP109" s="59"/>
      <c r="FQ109" s="59"/>
      <c r="FR109" s="59"/>
      <c r="FS109" s="59"/>
      <c r="FT109" s="59"/>
      <c r="FU109" s="59"/>
      <c r="FV109" s="59"/>
      <c r="FW109" s="59"/>
      <c r="FX109" s="59"/>
      <c r="FY109" s="59"/>
      <c r="FZ109" s="59"/>
      <c r="GA109" s="59"/>
      <c r="GB109" s="59"/>
      <c r="GC109" s="59"/>
      <c r="GD109" s="59"/>
      <c r="GE109" s="59"/>
      <c r="GF109" s="59"/>
      <c r="GG109" s="59"/>
      <c r="GH109" s="59"/>
      <c r="GI109" s="59"/>
      <c r="GJ109" s="59"/>
      <c r="GK109" s="59"/>
      <c r="GL109" s="59"/>
      <c r="GM109" s="59"/>
      <c r="GN109" s="59"/>
    </row>
    <row r="110" spans="1:196" x14ac:dyDescent="0.3">
      <c r="A110" s="59"/>
      <c r="B110" s="59"/>
      <c r="C110" s="59"/>
      <c r="D110" s="59"/>
      <c r="E110" s="59"/>
      <c r="F110" s="59"/>
      <c r="G110" s="59"/>
      <c r="H110" s="59"/>
      <c r="I110" s="59"/>
      <c r="J110" s="59"/>
      <c r="K110" s="59"/>
      <c r="L110" s="59"/>
      <c r="M110" s="59"/>
      <c r="N110" s="59"/>
      <c r="O110" s="59"/>
      <c r="P110" s="59"/>
      <c r="Q110" s="59"/>
      <c r="R110" s="59"/>
      <c r="S110" s="59"/>
      <c r="T110" s="59"/>
      <c r="U110" s="59"/>
      <c r="V110" s="59"/>
      <c r="W110" s="59"/>
      <c r="X110" s="59"/>
      <c r="Y110" s="59"/>
      <c r="Z110" s="59"/>
      <c r="AA110" s="59"/>
      <c r="AB110" s="59"/>
      <c r="AC110" s="59"/>
      <c r="AD110" s="59"/>
      <c r="AE110" s="59"/>
      <c r="AF110" s="59"/>
      <c r="AG110" s="59"/>
      <c r="AH110" s="59"/>
      <c r="AI110" s="59"/>
      <c r="AJ110" s="59"/>
      <c r="AK110" s="59"/>
      <c r="AL110" s="59"/>
      <c r="AM110" s="59"/>
      <c r="AN110" s="59"/>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c r="BU110" s="59"/>
      <c r="BV110" s="59"/>
      <c r="BW110" s="59"/>
      <c r="BX110" s="59"/>
      <c r="BY110" s="59"/>
      <c r="BZ110" s="59"/>
      <c r="CA110" s="59"/>
      <c r="CB110" s="59"/>
      <c r="CC110" s="59"/>
      <c r="CD110" s="59"/>
      <c r="CE110" s="59"/>
      <c r="CF110" s="59"/>
      <c r="CG110" s="59"/>
      <c r="CH110" s="59"/>
      <c r="CI110" s="59"/>
      <c r="CJ110" s="59"/>
      <c r="CK110" s="59"/>
      <c r="CL110" s="59"/>
      <c r="CM110" s="59"/>
      <c r="CN110" s="59"/>
      <c r="CO110" s="59"/>
      <c r="CP110" s="59"/>
      <c r="CQ110" s="59"/>
      <c r="CR110" s="59"/>
      <c r="CS110" s="59"/>
      <c r="CT110" s="59"/>
      <c r="CU110" s="59"/>
      <c r="CV110" s="59"/>
      <c r="CW110" s="59"/>
      <c r="CX110" s="59"/>
      <c r="CY110" s="59"/>
      <c r="CZ110" s="59"/>
      <c r="DA110" s="59"/>
      <c r="DB110" s="59"/>
      <c r="DC110" s="59"/>
      <c r="DD110" s="59"/>
      <c r="DE110" s="59"/>
      <c r="DF110" s="59"/>
      <c r="DG110" s="59"/>
      <c r="DH110" s="59"/>
      <c r="DI110" s="59"/>
      <c r="DJ110" s="59"/>
      <c r="DK110" s="59"/>
      <c r="DL110" s="59"/>
      <c r="DM110" s="59"/>
      <c r="DN110" s="59"/>
      <c r="DO110" s="59"/>
      <c r="DP110" s="59"/>
      <c r="DQ110" s="59"/>
      <c r="DR110" s="59"/>
      <c r="DS110" s="59"/>
      <c r="DT110" s="59"/>
      <c r="DU110" s="59"/>
      <c r="DV110" s="59"/>
      <c r="DW110" s="59"/>
      <c r="DX110" s="59"/>
      <c r="DY110" s="59"/>
      <c r="DZ110" s="59"/>
      <c r="EA110" s="59"/>
      <c r="EB110" s="59"/>
      <c r="EC110" s="59"/>
      <c r="ED110" s="59"/>
      <c r="EE110" s="59"/>
      <c r="EF110" s="59"/>
      <c r="EG110" s="59"/>
      <c r="EH110" s="59"/>
      <c r="EI110" s="59"/>
      <c r="EJ110" s="59"/>
      <c r="EK110" s="59"/>
      <c r="EL110" s="59"/>
      <c r="EM110" s="59"/>
      <c r="EN110" s="59"/>
      <c r="EO110" s="59"/>
      <c r="EP110" s="59"/>
      <c r="EQ110" s="59"/>
      <c r="ER110" s="59"/>
      <c r="ES110" s="59"/>
      <c r="ET110" s="59"/>
      <c r="EU110" s="59"/>
      <c r="EV110" s="59"/>
      <c r="EW110" s="59"/>
      <c r="EX110" s="59"/>
      <c r="EY110" s="59"/>
      <c r="EZ110" s="59"/>
      <c r="FA110" s="59"/>
      <c r="FB110" s="59"/>
      <c r="FC110" s="59"/>
      <c r="FD110" s="59"/>
      <c r="FE110" s="59"/>
      <c r="FF110" s="59"/>
      <c r="FG110" s="59"/>
      <c r="FH110" s="59"/>
      <c r="FI110" s="59"/>
      <c r="FJ110" s="59"/>
      <c r="FK110" s="59"/>
      <c r="FL110" s="59"/>
      <c r="FM110" s="59"/>
      <c r="FN110" s="59"/>
      <c r="FO110" s="59"/>
      <c r="FP110" s="59"/>
      <c r="FQ110" s="59"/>
      <c r="FR110" s="59"/>
      <c r="FS110" s="59"/>
      <c r="FT110" s="59"/>
      <c r="FU110" s="59"/>
      <c r="FV110" s="59"/>
      <c r="FW110" s="59"/>
      <c r="FX110" s="59"/>
      <c r="FY110" s="59"/>
      <c r="FZ110" s="59"/>
      <c r="GA110" s="59"/>
      <c r="GB110" s="59"/>
      <c r="GC110" s="59"/>
      <c r="GD110" s="59"/>
      <c r="GE110" s="59"/>
      <c r="GF110" s="59"/>
      <c r="GG110" s="59"/>
      <c r="GH110" s="59"/>
      <c r="GI110" s="59"/>
      <c r="GJ110" s="59"/>
      <c r="GK110" s="59"/>
      <c r="GL110" s="59"/>
      <c r="GM110" s="59"/>
      <c r="GN110" s="59"/>
    </row>
    <row r="111" spans="1:196" x14ac:dyDescent="0.3">
      <c r="A111" s="59"/>
      <c r="B111" s="59"/>
      <c r="C111" s="59"/>
      <c r="D111" s="59"/>
      <c r="E111" s="59"/>
      <c r="F111" s="59"/>
      <c r="G111" s="59"/>
      <c r="H111" s="59"/>
      <c r="I111" s="59"/>
      <c r="J111" s="59"/>
      <c r="K111" s="59"/>
      <c r="L111" s="59"/>
      <c r="M111" s="59"/>
      <c r="N111" s="59"/>
      <c r="O111" s="59"/>
      <c r="P111" s="59"/>
      <c r="Q111" s="59"/>
      <c r="R111" s="59"/>
      <c r="S111" s="59"/>
      <c r="T111" s="59"/>
      <c r="U111" s="59"/>
      <c r="V111" s="59"/>
      <c r="W111" s="59"/>
      <c r="X111" s="59"/>
      <c r="Y111" s="59"/>
      <c r="Z111" s="59"/>
      <c r="AA111" s="59"/>
      <c r="AB111" s="59"/>
      <c r="AC111" s="59"/>
      <c r="AD111" s="59"/>
      <c r="AE111" s="59"/>
      <c r="AF111" s="59"/>
      <c r="AG111" s="59"/>
      <c r="AH111" s="59"/>
      <c r="AI111" s="59"/>
      <c r="AJ111" s="59"/>
      <c r="AK111" s="59"/>
      <c r="AL111" s="59"/>
      <c r="AM111" s="59"/>
      <c r="AN111" s="59"/>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c r="BU111" s="59"/>
      <c r="BV111" s="59"/>
      <c r="BW111" s="59"/>
      <c r="BX111" s="59"/>
      <c r="BY111" s="59"/>
      <c r="BZ111" s="59"/>
      <c r="CA111" s="59"/>
      <c r="CB111" s="59"/>
      <c r="CC111" s="59"/>
      <c r="CD111" s="59"/>
      <c r="CE111" s="59"/>
      <c r="CF111" s="59"/>
      <c r="CG111" s="59"/>
      <c r="CH111" s="59"/>
      <c r="CI111" s="59"/>
      <c r="CJ111" s="59"/>
      <c r="CK111" s="59"/>
      <c r="CL111" s="59"/>
      <c r="CM111" s="59"/>
      <c r="CN111" s="59"/>
      <c r="CO111" s="59"/>
      <c r="CP111" s="59"/>
      <c r="CQ111" s="59"/>
      <c r="CR111" s="59"/>
      <c r="CS111" s="59"/>
      <c r="CT111" s="59"/>
      <c r="CU111" s="59"/>
      <c r="CV111" s="59"/>
      <c r="CW111" s="59"/>
      <c r="CX111" s="59"/>
      <c r="CY111" s="59"/>
      <c r="CZ111" s="59"/>
      <c r="DA111" s="59"/>
      <c r="DB111" s="59"/>
      <c r="DC111" s="59"/>
      <c r="DD111" s="59"/>
      <c r="DE111" s="59"/>
      <c r="DF111" s="59"/>
      <c r="DG111" s="59"/>
      <c r="DH111" s="59"/>
      <c r="DI111" s="59"/>
      <c r="DJ111" s="59"/>
      <c r="DK111" s="59"/>
      <c r="DL111" s="59"/>
      <c r="DM111" s="59"/>
      <c r="DN111" s="59"/>
      <c r="DO111" s="59"/>
      <c r="DP111" s="59"/>
      <c r="DQ111" s="59"/>
      <c r="DR111" s="59"/>
      <c r="DS111" s="59"/>
      <c r="DT111" s="59"/>
      <c r="DU111" s="59"/>
      <c r="DV111" s="59"/>
      <c r="DW111" s="59"/>
      <c r="DX111" s="59"/>
      <c r="DY111" s="59"/>
      <c r="DZ111" s="59"/>
      <c r="EA111" s="59"/>
      <c r="EB111" s="59"/>
      <c r="EC111" s="59"/>
      <c r="ED111" s="59"/>
      <c r="EE111" s="59"/>
      <c r="EF111" s="59"/>
      <c r="EG111" s="59"/>
      <c r="EH111" s="59"/>
      <c r="EI111" s="59"/>
      <c r="EJ111" s="59"/>
      <c r="EK111" s="59"/>
      <c r="EL111" s="59"/>
      <c r="EM111" s="59"/>
      <c r="EN111" s="59"/>
      <c r="EO111" s="59"/>
      <c r="EP111" s="59"/>
      <c r="EQ111" s="59"/>
      <c r="ER111" s="59"/>
      <c r="ES111" s="59"/>
      <c r="ET111" s="59"/>
      <c r="EU111" s="59"/>
      <c r="EV111" s="59"/>
      <c r="EW111" s="59"/>
      <c r="EX111" s="59"/>
      <c r="EY111" s="59"/>
      <c r="EZ111" s="59"/>
      <c r="FA111" s="59"/>
      <c r="FB111" s="59"/>
      <c r="FC111" s="59"/>
      <c r="FD111" s="59"/>
      <c r="FE111" s="59"/>
      <c r="FF111" s="59"/>
      <c r="FG111" s="59"/>
      <c r="FH111" s="59"/>
      <c r="FI111" s="59"/>
      <c r="FJ111" s="59"/>
      <c r="FK111" s="59"/>
      <c r="FL111" s="59"/>
      <c r="FM111" s="59"/>
      <c r="FN111" s="59"/>
      <c r="FO111" s="59"/>
      <c r="FP111" s="59"/>
      <c r="FQ111" s="59"/>
      <c r="FR111" s="59"/>
      <c r="FS111" s="59"/>
      <c r="FT111" s="59"/>
      <c r="FU111" s="59"/>
      <c r="FV111" s="59"/>
      <c r="FW111" s="59"/>
      <c r="FX111" s="59"/>
      <c r="FY111" s="59"/>
      <c r="FZ111" s="59"/>
      <c r="GA111" s="59"/>
      <c r="GB111" s="59"/>
      <c r="GC111" s="59"/>
      <c r="GD111" s="59"/>
      <c r="GE111" s="59"/>
      <c r="GF111" s="59"/>
      <c r="GG111" s="59"/>
      <c r="GH111" s="59"/>
      <c r="GI111" s="59"/>
      <c r="GJ111" s="59"/>
      <c r="GK111" s="59"/>
      <c r="GL111" s="59"/>
      <c r="GM111" s="59"/>
      <c r="GN111" s="59"/>
    </row>
    <row r="112" spans="1:196" x14ac:dyDescent="0.3">
      <c r="A112" s="59"/>
      <c r="B112" s="59"/>
      <c r="C112" s="59"/>
      <c r="D112" s="59"/>
      <c r="E112" s="59"/>
      <c r="F112" s="59"/>
      <c r="G112" s="59"/>
      <c r="H112" s="59"/>
      <c r="I112" s="59"/>
      <c r="J112" s="59"/>
      <c r="K112" s="59"/>
      <c r="L112" s="59"/>
      <c r="M112" s="59"/>
      <c r="N112" s="59"/>
      <c r="O112" s="59"/>
      <c r="P112" s="59"/>
      <c r="Q112" s="59"/>
      <c r="R112" s="59"/>
      <c r="S112" s="59"/>
      <c r="T112" s="59"/>
      <c r="U112" s="59"/>
      <c r="V112" s="59"/>
      <c r="W112" s="59"/>
      <c r="X112" s="59"/>
      <c r="Y112" s="59"/>
      <c r="Z112" s="59"/>
      <c r="AA112" s="59"/>
      <c r="AB112" s="59"/>
      <c r="AC112" s="59"/>
      <c r="AD112" s="59"/>
      <c r="AE112" s="59"/>
      <c r="AF112" s="59"/>
      <c r="AG112" s="59"/>
      <c r="AH112" s="59"/>
      <c r="AI112" s="59"/>
      <c r="AJ112" s="59"/>
      <c r="AK112" s="59"/>
      <c r="AL112" s="59"/>
      <c r="AM112" s="59"/>
      <c r="AN112" s="59"/>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c r="BU112" s="59"/>
      <c r="BV112" s="59"/>
      <c r="BW112" s="59"/>
      <c r="BX112" s="59"/>
      <c r="BY112" s="59"/>
      <c r="BZ112" s="59"/>
      <c r="CA112" s="59"/>
      <c r="CB112" s="59"/>
      <c r="CC112" s="59"/>
      <c r="CD112" s="59"/>
      <c r="CE112" s="59"/>
      <c r="CF112" s="59"/>
      <c r="CG112" s="59"/>
      <c r="CH112" s="59"/>
      <c r="CI112" s="59"/>
      <c r="CJ112" s="59"/>
      <c r="CK112" s="59"/>
      <c r="CL112" s="59"/>
      <c r="CM112" s="59"/>
      <c r="CN112" s="59"/>
      <c r="CO112" s="59"/>
      <c r="CP112" s="59"/>
      <c r="CQ112" s="59"/>
      <c r="CR112" s="59"/>
      <c r="CS112" s="59"/>
      <c r="CT112" s="59"/>
      <c r="CU112" s="59"/>
      <c r="CV112" s="59"/>
      <c r="CW112" s="59"/>
      <c r="CX112" s="59"/>
      <c r="CY112" s="59"/>
      <c r="CZ112" s="59"/>
      <c r="DA112" s="59"/>
      <c r="DB112" s="59"/>
      <c r="DC112" s="59"/>
      <c r="DD112" s="59"/>
      <c r="DE112" s="59"/>
      <c r="DF112" s="59"/>
      <c r="DG112" s="59"/>
      <c r="DH112" s="59"/>
      <c r="DI112" s="59"/>
      <c r="DJ112" s="59"/>
      <c r="DK112" s="59"/>
      <c r="DL112" s="59"/>
      <c r="DM112" s="59"/>
      <c r="DN112" s="59"/>
      <c r="DO112" s="59"/>
      <c r="DP112" s="59"/>
      <c r="DQ112" s="59"/>
      <c r="DR112" s="59"/>
      <c r="DS112" s="59"/>
      <c r="DT112" s="59"/>
      <c r="DU112" s="59"/>
      <c r="DV112" s="59"/>
      <c r="DW112" s="59"/>
      <c r="DX112" s="59"/>
      <c r="DY112" s="59"/>
      <c r="DZ112" s="59"/>
      <c r="EA112" s="59"/>
      <c r="EB112" s="59"/>
      <c r="EC112" s="59"/>
      <c r="ED112" s="59"/>
      <c r="EE112" s="59"/>
      <c r="EF112" s="59"/>
      <c r="EG112" s="59"/>
      <c r="EH112" s="59"/>
      <c r="EI112" s="59"/>
      <c r="EJ112" s="59"/>
      <c r="EK112" s="59"/>
      <c r="EL112" s="59"/>
      <c r="EM112" s="59"/>
      <c r="EN112" s="59"/>
      <c r="EO112" s="59"/>
      <c r="EP112" s="59"/>
      <c r="EQ112" s="59"/>
      <c r="ER112" s="59"/>
      <c r="ES112" s="59"/>
      <c r="ET112" s="59"/>
      <c r="EU112" s="59"/>
      <c r="EV112" s="59"/>
      <c r="EW112" s="59"/>
      <c r="EX112" s="59"/>
      <c r="EY112" s="59"/>
      <c r="EZ112" s="59"/>
      <c r="FA112" s="59"/>
      <c r="FB112" s="59"/>
      <c r="FC112" s="59"/>
      <c r="FD112" s="59"/>
      <c r="FE112" s="59"/>
      <c r="FF112" s="59"/>
      <c r="FG112" s="59"/>
      <c r="FH112" s="59"/>
      <c r="FI112" s="59"/>
      <c r="FJ112" s="59"/>
      <c r="FK112" s="59"/>
      <c r="FL112" s="59"/>
      <c r="FM112" s="59"/>
      <c r="FN112" s="59"/>
      <c r="FO112" s="59"/>
      <c r="FP112" s="59"/>
      <c r="FQ112" s="59"/>
      <c r="FR112" s="59"/>
      <c r="FS112" s="59"/>
      <c r="FT112" s="59"/>
      <c r="FU112" s="59"/>
      <c r="FV112" s="59"/>
      <c r="FW112" s="59"/>
      <c r="FX112" s="59"/>
      <c r="FY112" s="59"/>
      <c r="FZ112" s="59"/>
      <c r="GA112" s="59"/>
      <c r="GB112" s="59"/>
      <c r="GC112" s="59"/>
      <c r="GD112" s="59"/>
      <c r="GE112" s="59"/>
      <c r="GF112" s="59"/>
      <c r="GG112" s="59"/>
      <c r="GH112" s="59"/>
      <c r="GI112" s="59"/>
      <c r="GJ112" s="59"/>
      <c r="GK112" s="59"/>
      <c r="GL112" s="59"/>
      <c r="GM112" s="59"/>
      <c r="GN112" s="59"/>
    </row>
    <row r="113" spans="1:196" x14ac:dyDescent="0.3">
      <c r="A113" s="59"/>
      <c r="B113" s="59"/>
      <c r="C113" s="59"/>
      <c r="D113" s="59"/>
      <c r="E113" s="59"/>
      <c r="F113" s="59"/>
      <c r="G113" s="59"/>
      <c r="H113" s="59"/>
      <c r="I113" s="59"/>
      <c r="J113" s="59"/>
      <c r="K113" s="59"/>
      <c r="L113" s="59"/>
      <c r="M113" s="59"/>
      <c r="N113" s="59"/>
      <c r="O113" s="59"/>
      <c r="P113" s="59"/>
      <c r="Q113" s="59"/>
      <c r="R113" s="59"/>
      <c r="S113" s="59"/>
      <c r="T113" s="59"/>
      <c r="U113" s="59"/>
      <c r="V113" s="59"/>
      <c r="W113" s="59"/>
      <c r="X113" s="59"/>
      <c r="Y113" s="59"/>
      <c r="Z113" s="59"/>
      <c r="AA113" s="59"/>
      <c r="AB113" s="59"/>
      <c r="AC113" s="59"/>
      <c r="AD113" s="59"/>
      <c r="AE113" s="59"/>
      <c r="AF113" s="59"/>
      <c r="AG113" s="59"/>
      <c r="AH113" s="59"/>
      <c r="AI113" s="59"/>
      <c r="AJ113" s="59"/>
      <c r="AK113" s="59"/>
      <c r="AL113" s="59"/>
      <c r="AM113" s="59"/>
      <c r="AN113" s="59"/>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c r="BU113" s="59"/>
      <c r="BV113" s="59"/>
      <c r="BW113" s="59"/>
      <c r="BX113" s="59"/>
      <c r="BY113" s="59"/>
      <c r="BZ113" s="59"/>
      <c r="CA113" s="59"/>
      <c r="CB113" s="59"/>
      <c r="CC113" s="59"/>
      <c r="CD113" s="59"/>
      <c r="CE113" s="59"/>
      <c r="CF113" s="59"/>
      <c r="CG113" s="59"/>
      <c r="CH113" s="59"/>
      <c r="CI113" s="59"/>
      <c r="CJ113" s="59"/>
      <c r="CK113" s="59"/>
      <c r="CL113" s="59"/>
      <c r="CM113" s="59"/>
      <c r="CN113" s="59"/>
      <c r="CO113" s="59"/>
      <c r="CP113" s="59"/>
      <c r="CQ113" s="59"/>
      <c r="CR113" s="59"/>
      <c r="CS113" s="59"/>
      <c r="CT113" s="59"/>
      <c r="CU113" s="59"/>
      <c r="CV113" s="59"/>
      <c r="CW113" s="59"/>
      <c r="CX113" s="59"/>
      <c r="CY113" s="59"/>
      <c r="CZ113" s="59"/>
      <c r="DA113" s="59"/>
      <c r="DB113" s="59"/>
      <c r="DC113" s="59"/>
      <c r="DD113" s="59"/>
      <c r="DE113" s="59"/>
      <c r="DF113" s="59"/>
      <c r="DG113" s="59"/>
      <c r="DH113" s="59"/>
      <c r="DI113" s="59"/>
      <c r="DJ113" s="59"/>
      <c r="DK113" s="59"/>
      <c r="DL113" s="59"/>
      <c r="DM113" s="59"/>
      <c r="DN113" s="59"/>
      <c r="DO113" s="59"/>
      <c r="DP113" s="59"/>
      <c r="DQ113" s="59"/>
      <c r="DR113" s="59"/>
      <c r="DS113" s="59"/>
      <c r="DT113" s="59"/>
      <c r="DU113" s="59"/>
      <c r="DV113" s="59"/>
      <c r="DW113" s="59"/>
      <c r="DX113" s="59"/>
      <c r="DY113" s="59"/>
      <c r="DZ113" s="59"/>
      <c r="EA113" s="59"/>
      <c r="EB113" s="59"/>
      <c r="EC113" s="59"/>
      <c r="ED113" s="59"/>
      <c r="EE113" s="59"/>
      <c r="EF113" s="59"/>
      <c r="EG113" s="59"/>
      <c r="EH113" s="59"/>
      <c r="EI113" s="59"/>
      <c r="EJ113" s="59"/>
      <c r="EK113" s="59"/>
      <c r="EL113" s="59"/>
      <c r="EM113" s="59"/>
      <c r="EN113" s="59"/>
      <c r="EO113" s="59"/>
      <c r="EP113" s="59"/>
      <c r="EQ113" s="59"/>
      <c r="ER113" s="59"/>
      <c r="ES113" s="59"/>
      <c r="ET113" s="59"/>
      <c r="EU113" s="59"/>
      <c r="EV113" s="59"/>
      <c r="EW113" s="59"/>
      <c r="EX113" s="59"/>
      <c r="EY113" s="59"/>
      <c r="EZ113" s="59"/>
      <c r="FA113" s="59"/>
      <c r="FB113" s="59"/>
      <c r="FC113" s="59"/>
      <c r="FD113" s="59"/>
      <c r="FE113" s="59"/>
      <c r="FF113" s="59"/>
      <c r="FG113" s="59"/>
      <c r="FH113" s="59"/>
      <c r="FI113" s="59"/>
      <c r="FJ113" s="59"/>
      <c r="FK113" s="59"/>
      <c r="FL113" s="59"/>
      <c r="FM113" s="59"/>
      <c r="FN113" s="59"/>
      <c r="FO113" s="59"/>
      <c r="FP113" s="59"/>
      <c r="FQ113" s="59"/>
      <c r="FR113" s="59"/>
      <c r="FS113" s="59"/>
      <c r="FT113" s="59"/>
      <c r="FU113" s="59"/>
      <c r="FV113" s="59"/>
      <c r="FW113" s="59"/>
      <c r="FX113" s="59"/>
      <c r="FY113" s="59"/>
      <c r="FZ113" s="59"/>
      <c r="GA113" s="59"/>
      <c r="GB113" s="59"/>
      <c r="GC113" s="59"/>
      <c r="GD113" s="59"/>
      <c r="GE113" s="59"/>
      <c r="GF113" s="59"/>
      <c r="GG113" s="59"/>
      <c r="GH113" s="59"/>
      <c r="GI113" s="59"/>
      <c r="GJ113" s="59"/>
      <c r="GK113" s="59"/>
      <c r="GL113" s="59"/>
      <c r="GM113" s="59"/>
      <c r="GN113" s="59"/>
    </row>
    <row r="114" spans="1:196" x14ac:dyDescent="0.3">
      <c r="A114" s="59"/>
      <c r="B114" s="59"/>
      <c r="C114" s="59"/>
      <c r="D114" s="59"/>
      <c r="E114" s="59"/>
      <c r="F114" s="59"/>
      <c r="G114" s="59"/>
      <c r="H114" s="59"/>
      <c r="I114" s="59"/>
      <c r="J114" s="59"/>
      <c r="K114" s="59"/>
      <c r="L114" s="59"/>
      <c r="M114" s="59"/>
      <c r="N114" s="59"/>
      <c r="O114" s="59"/>
      <c r="P114" s="59"/>
      <c r="Q114" s="59"/>
      <c r="R114" s="59"/>
      <c r="S114" s="59"/>
      <c r="T114" s="59"/>
      <c r="U114" s="59"/>
      <c r="V114" s="59"/>
      <c r="W114" s="59"/>
      <c r="X114" s="59"/>
      <c r="Y114" s="59"/>
      <c r="Z114" s="59"/>
      <c r="AA114" s="59"/>
      <c r="AB114" s="59"/>
      <c r="AC114" s="59"/>
      <c r="AD114" s="59"/>
      <c r="AE114" s="59"/>
      <c r="AF114" s="59"/>
      <c r="AG114" s="59"/>
      <c r="AH114" s="59"/>
      <c r="AI114" s="59"/>
      <c r="AJ114" s="59"/>
      <c r="AK114" s="59"/>
      <c r="AL114" s="59"/>
      <c r="AM114" s="59"/>
      <c r="AN114" s="59"/>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c r="BU114" s="59"/>
      <c r="BV114" s="59"/>
      <c r="BW114" s="59"/>
      <c r="BX114" s="59"/>
      <c r="BY114" s="59"/>
      <c r="BZ114" s="59"/>
      <c r="CA114" s="59"/>
      <c r="CB114" s="59"/>
      <c r="CC114" s="59"/>
      <c r="CD114" s="59"/>
      <c r="CE114" s="59"/>
      <c r="CF114" s="59"/>
      <c r="CG114" s="59"/>
      <c r="CH114" s="59"/>
      <c r="CI114" s="59"/>
      <c r="CJ114" s="59"/>
      <c r="CK114" s="59"/>
      <c r="CL114" s="59"/>
      <c r="CM114" s="59"/>
      <c r="CN114" s="59"/>
      <c r="CO114" s="59"/>
      <c r="CP114" s="59"/>
      <c r="CQ114" s="59"/>
      <c r="CR114" s="59"/>
      <c r="CS114" s="59"/>
      <c r="CT114" s="59"/>
      <c r="CU114" s="59"/>
      <c r="CV114" s="59"/>
      <c r="CW114" s="59"/>
      <c r="CX114" s="59"/>
      <c r="CY114" s="59"/>
      <c r="CZ114" s="59"/>
      <c r="DA114" s="59"/>
      <c r="DB114" s="59"/>
      <c r="DC114" s="59"/>
      <c r="DD114" s="59"/>
      <c r="DE114" s="59"/>
      <c r="DF114" s="59"/>
      <c r="DG114" s="59"/>
      <c r="DH114" s="59"/>
      <c r="DI114" s="59"/>
      <c r="DJ114" s="59"/>
      <c r="DK114" s="59"/>
      <c r="DL114" s="59"/>
      <c r="DM114" s="59"/>
      <c r="DN114" s="59"/>
      <c r="DO114" s="59"/>
      <c r="DP114" s="59"/>
      <c r="DQ114" s="59"/>
      <c r="DR114" s="59"/>
      <c r="DS114" s="59"/>
      <c r="DT114" s="59"/>
      <c r="DU114" s="59"/>
      <c r="DV114" s="59"/>
      <c r="DW114" s="59"/>
      <c r="DX114" s="59"/>
      <c r="DY114" s="59"/>
      <c r="DZ114" s="59"/>
      <c r="EA114" s="59"/>
      <c r="EB114" s="59"/>
      <c r="EC114" s="59"/>
      <c r="ED114" s="59"/>
      <c r="EE114" s="59"/>
      <c r="EF114" s="59"/>
      <c r="EG114" s="59"/>
      <c r="EH114" s="59"/>
      <c r="EI114" s="59"/>
      <c r="EJ114" s="59"/>
      <c r="EK114" s="59"/>
      <c r="EL114" s="59"/>
      <c r="EM114" s="59"/>
      <c r="EN114" s="59"/>
      <c r="EO114" s="59"/>
      <c r="EP114" s="59"/>
      <c r="EQ114" s="59"/>
      <c r="ER114" s="59"/>
      <c r="ES114" s="59"/>
      <c r="ET114" s="59"/>
      <c r="EU114" s="59"/>
      <c r="EV114" s="59"/>
      <c r="EW114" s="59"/>
      <c r="EX114" s="59"/>
      <c r="EY114" s="59"/>
      <c r="EZ114" s="59"/>
      <c r="FA114" s="59"/>
      <c r="FB114" s="59"/>
      <c r="FC114" s="59"/>
      <c r="FD114" s="59"/>
      <c r="FE114" s="59"/>
      <c r="FF114" s="59"/>
      <c r="FG114" s="59"/>
      <c r="FH114" s="59"/>
      <c r="FI114" s="59"/>
      <c r="FJ114" s="59"/>
      <c r="FK114" s="59"/>
      <c r="FL114" s="59"/>
      <c r="FM114" s="59"/>
      <c r="FN114" s="59"/>
      <c r="FO114" s="59"/>
      <c r="FP114" s="59"/>
      <c r="FQ114" s="59"/>
      <c r="FR114" s="59"/>
      <c r="FS114" s="59"/>
      <c r="FT114" s="59"/>
      <c r="FU114" s="59"/>
      <c r="FV114" s="59"/>
      <c r="FW114" s="59"/>
      <c r="FX114" s="59"/>
      <c r="FY114" s="59"/>
      <c r="FZ114" s="59"/>
      <c r="GA114" s="59"/>
      <c r="GB114" s="59"/>
      <c r="GC114" s="59"/>
      <c r="GD114" s="59"/>
      <c r="GE114" s="59"/>
      <c r="GF114" s="59"/>
      <c r="GG114" s="59"/>
      <c r="GH114" s="59"/>
      <c r="GI114" s="59"/>
      <c r="GJ114" s="59"/>
      <c r="GK114" s="59"/>
      <c r="GL114" s="59"/>
      <c r="GM114" s="59"/>
      <c r="GN114" s="59"/>
    </row>
    <row r="115" spans="1:196" x14ac:dyDescent="0.3">
      <c r="A115" s="59"/>
      <c r="B115" s="59"/>
      <c r="C115" s="59"/>
      <c r="D115" s="59"/>
      <c r="E115" s="59"/>
      <c r="F115" s="59"/>
      <c r="G115" s="59"/>
      <c r="H115" s="59"/>
      <c r="I115" s="59"/>
      <c r="J115" s="59"/>
      <c r="K115" s="59"/>
      <c r="L115" s="59"/>
      <c r="M115" s="59"/>
      <c r="N115" s="59"/>
      <c r="O115" s="59"/>
      <c r="P115" s="59"/>
      <c r="Q115" s="59"/>
      <c r="R115" s="59"/>
      <c r="S115" s="59"/>
      <c r="T115" s="59"/>
      <c r="U115" s="59"/>
      <c r="V115" s="59"/>
      <c r="W115" s="59"/>
      <c r="X115" s="59"/>
      <c r="Y115" s="59"/>
      <c r="Z115" s="59"/>
      <c r="AA115" s="59"/>
      <c r="AB115" s="59"/>
      <c r="AC115" s="59"/>
      <c r="AD115" s="59"/>
      <c r="AE115" s="59"/>
      <c r="AF115" s="59"/>
      <c r="AG115" s="59"/>
      <c r="AH115" s="59"/>
      <c r="AI115" s="59"/>
      <c r="AJ115" s="59"/>
      <c r="AK115" s="59"/>
      <c r="AL115" s="59"/>
      <c r="AM115" s="59"/>
      <c r="AN115" s="59"/>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c r="BU115" s="59"/>
      <c r="BV115" s="59"/>
      <c r="BW115" s="59"/>
      <c r="BX115" s="59"/>
      <c r="BY115" s="59"/>
      <c r="BZ115" s="59"/>
      <c r="CA115" s="59"/>
      <c r="CB115" s="59"/>
      <c r="CC115" s="59"/>
      <c r="CD115" s="59"/>
      <c r="CE115" s="59"/>
      <c r="CF115" s="59"/>
      <c r="CG115" s="59"/>
      <c r="CH115" s="59"/>
      <c r="CI115" s="59"/>
      <c r="CJ115" s="59"/>
      <c r="CK115" s="59"/>
      <c r="CL115" s="59"/>
      <c r="CM115" s="59"/>
      <c r="CN115" s="59"/>
      <c r="CO115" s="59"/>
      <c r="CP115" s="59"/>
      <c r="CQ115" s="59"/>
      <c r="CR115" s="59"/>
      <c r="CS115" s="59"/>
      <c r="CT115" s="59"/>
      <c r="CU115" s="59"/>
      <c r="CV115" s="59"/>
      <c r="CW115" s="59"/>
      <c r="CX115" s="59"/>
      <c r="CY115" s="59"/>
      <c r="CZ115" s="59"/>
      <c r="DA115" s="59"/>
      <c r="DB115" s="59"/>
      <c r="DC115" s="59"/>
      <c r="DD115" s="59"/>
      <c r="DE115" s="59"/>
      <c r="DF115" s="59"/>
      <c r="DG115" s="59"/>
      <c r="DH115" s="59"/>
      <c r="DI115" s="59"/>
      <c r="DJ115" s="59"/>
      <c r="DK115" s="59"/>
      <c r="DL115" s="59"/>
      <c r="DM115" s="59"/>
      <c r="DN115" s="59"/>
      <c r="DO115" s="59"/>
      <c r="DP115" s="59"/>
      <c r="DQ115" s="59"/>
      <c r="DR115" s="59"/>
      <c r="DS115" s="59"/>
      <c r="DT115" s="59"/>
      <c r="DU115" s="59"/>
      <c r="DV115" s="59"/>
      <c r="DW115" s="59"/>
      <c r="DX115" s="59"/>
      <c r="DY115" s="59"/>
      <c r="DZ115" s="59"/>
      <c r="EA115" s="59"/>
      <c r="EB115" s="59"/>
      <c r="EC115" s="59"/>
      <c r="ED115" s="59"/>
      <c r="EE115" s="59"/>
      <c r="EF115" s="59"/>
      <c r="EG115" s="59"/>
      <c r="EH115" s="59"/>
      <c r="EI115" s="59"/>
      <c r="EJ115" s="59"/>
      <c r="EK115" s="59"/>
      <c r="EL115" s="59"/>
      <c r="EM115" s="59"/>
      <c r="EN115" s="59"/>
      <c r="EO115" s="59"/>
      <c r="EP115" s="59"/>
      <c r="EQ115" s="59"/>
      <c r="ER115" s="59"/>
      <c r="ES115" s="59"/>
      <c r="ET115" s="59"/>
      <c r="EU115" s="59"/>
      <c r="EV115" s="59"/>
      <c r="EW115" s="59"/>
      <c r="EX115" s="59"/>
      <c r="EY115" s="59"/>
      <c r="EZ115" s="59"/>
      <c r="FA115" s="59"/>
      <c r="FB115" s="59"/>
      <c r="FC115" s="59"/>
      <c r="FD115" s="59"/>
      <c r="FE115" s="59"/>
      <c r="FF115" s="59"/>
      <c r="FG115" s="59"/>
      <c r="FH115" s="59"/>
      <c r="FI115" s="59"/>
      <c r="FJ115" s="59"/>
      <c r="FK115" s="59"/>
      <c r="FL115" s="59"/>
      <c r="FM115" s="59"/>
      <c r="FN115" s="59"/>
      <c r="FO115" s="59"/>
      <c r="FP115" s="59"/>
      <c r="FQ115" s="59"/>
      <c r="FR115" s="59"/>
      <c r="FS115" s="59"/>
      <c r="FT115" s="59"/>
      <c r="FU115" s="59"/>
      <c r="FV115" s="59"/>
      <c r="FW115" s="59"/>
      <c r="FX115" s="59"/>
      <c r="FY115" s="59"/>
      <c r="FZ115" s="59"/>
      <c r="GA115" s="59"/>
      <c r="GB115" s="59"/>
      <c r="GC115" s="59"/>
      <c r="GD115" s="59"/>
      <c r="GE115" s="59"/>
      <c r="GF115" s="59"/>
      <c r="GG115" s="59"/>
      <c r="GH115" s="59"/>
      <c r="GI115" s="59"/>
      <c r="GJ115" s="59"/>
      <c r="GK115" s="59"/>
      <c r="GL115" s="59"/>
      <c r="GM115" s="59"/>
      <c r="GN115" s="59"/>
    </row>
    <row r="116" spans="1:196" x14ac:dyDescent="0.3">
      <c r="A116" s="59"/>
      <c r="B116" s="59"/>
      <c r="C116" s="59"/>
      <c r="D116" s="59"/>
      <c r="E116" s="59"/>
      <c r="F116" s="59"/>
      <c r="G116" s="59"/>
      <c r="H116" s="59"/>
      <c r="I116" s="59"/>
      <c r="J116" s="59"/>
      <c r="K116" s="59"/>
      <c r="L116" s="59"/>
      <c r="M116" s="59"/>
      <c r="N116" s="59"/>
      <c r="O116" s="59"/>
      <c r="P116" s="59"/>
      <c r="Q116" s="59"/>
      <c r="R116" s="59"/>
      <c r="S116" s="59"/>
      <c r="T116" s="59"/>
      <c r="U116" s="59"/>
      <c r="V116" s="59"/>
      <c r="W116" s="59"/>
      <c r="X116" s="59"/>
      <c r="Y116" s="59"/>
      <c r="Z116" s="59"/>
      <c r="AA116" s="59"/>
      <c r="AB116" s="59"/>
      <c r="AC116" s="59"/>
      <c r="AD116" s="59"/>
      <c r="AE116" s="59"/>
      <c r="AF116" s="59"/>
      <c r="AG116" s="59"/>
      <c r="AH116" s="59"/>
      <c r="AI116" s="59"/>
      <c r="AJ116" s="59"/>
      <c r="AK116" s="59"/>
      <c r="AL116" s="59"/>
      <c r="AM116" s="59"/>
      <c r="AN116" s="59"/>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c r="BU116" s="59"/>
      <c r="BV116" s="59"/>
      <c r="BW116" s="59"/>
      <c r="BX116" s="59"/>
      <c r="BY116" s="59"/>
      <c r="BZ116" s="59"/>
      <c r="CA116" s="59"/>
      <c r="CB116" s="59"/>
      <c r="CC116" s="59"/>
      <c r="CD116" s="59"/>
      <c r="CE116" s="59"/>
      <c r="CF116" s="59"/>
      <c r="CG116" s="59"/>
      <c r="CH116" s="59"/>
      <c r="CI116" s="59"/>
      <c r="CJ116" s="59"/>
      <c r="CK116" s="59"/>
      <c r="CL116" s="59"/>
      <c r="CM116" s="59"/>
      <c r="CN116" s="59"/>
      <c r="CO116" s="59"/>
      <c r="CP116" s="59"/>
      <c r="CQ116" s="59"/>
      <c r="CR116" s="59"/>
      <c r="CS116" s="59"/>
      <c r="CT116" s="59"/>
      <c r="CU116" s="59"/>
      <c r="CV116" s="59"/>
      <c r="CW116" s="59"/>
      <c r="CX116" s="59"/>
      <c r="CY116" s="59"/>
      <c r="CZ116" s="59"/>
      <c r="DA116" s="59"/>
      <c r="DB116" s="59"/>
      <c r="DC116" s="59"/>
      <c r="DD116" s="59"/>
      <c r="DE116" s="59"/>
      <c r="DF116" s="59"/>
      <c r="DG116" s="59"/>
      <c r="DH116" s="59"/>
      <c r="DI116" s="59"/>
      <c r="DJ116" s="59"/>
      <c r="DK116" s="59"/>
      <c r="DL116" s="59"/>
      <c r="DM116" s="59"/>
      <c r="DN116" s="59"/>
      <c r="DO116" s="59"/>
      <c r="DP116" s="59"/>
      <c r="DQ116" s="59"/>
      <c r="DR116" s="59"/>
      <c r="DS116" s="59"/>
      <c r="DT116" s="59"/>
      <c r="DU116" s="59"/>
      <c r="DV116" s="59"/>
      <c r="DW116" s="59"/>
      <c r="DX116" s="59"/>
      <c r="DY116" s="59"/>
      <c r="DZ116" s="59"/>
      <c r="EA116" s="59"/>
      <c r="EB116" s="59"/>
      <c r="EC116" s="59"/>
      <c r="ED116" s="59"/>
      <c r="EE116" s="59"/>
      <c r="EF116" s="59"/>
      <c r="EG116" s="59"/>
      <c r="EH116" s="59"/>
      <c r="EI116" s="59"/>
      <c r="EJ116" s="59"/>
      <c r="EK116" s="59"/>
      <c r="EL116" s="59"/>
      <c r="EM116" s="59"/>
      <c r="EN116" s="59"/>
      <c r="EO116" s="59"/>
      <c r="EP116" s="59"/>
      <c r="EQ116" s="59"/>
      <c r="ER116" s="59"/>
      <c r="ES116" s="59"/>
      <c r="ET116" s="59"/>
      <c r="EU116" s="59"/>
      <c r="EV116" s="59"/>
      <c r="EW116" s="59"/>
      <c r="EX116" s="59"/>
      <c r="EY116" s="59"/>
      <c r="EZ116" s="59"/>
      <c r="FA116" s="59"/>
      <c r="FB116" s="59"/>
      <c r="FC116" s="59"/>
      <c r="FD116" s="59"/>
      <c r="FE116" s="59"/>
      <c r="FF116" s="59"/>
      <c r="FG116" s="59"/>
      <c r="FH116" s="59"/>
      <c r="FI116" s="59"/>
      <c r="FJ116" s="59"/>
      <c r="FK116" s="59"/>
      <c r="FL116" s="59"/>
      <c r="FM116" s="59"/>
      <c r="FN116" s="59"/>
      <c r="FO116" s="59"/>
      <c r="FP116" s="59"/>
      <c r="FQ116" s="59"/>
      <c r="FR116" s="59"/>
      <c r="FS116" s="59"/>
      <c r="FT116" s="59"/>
      <c r="FU116" s="59"/>
      <c r="FV116" s="59"/>
      <c r="FW116" s="59"/>
      <c r="FX116" s="59"/>
      <c r="FY116" s="59"/>
      <c r="FZ116" s="59"/>
      <c r="GA116" s="59"/>
      <c r="GB116" s="59"/>
      <c r="GC116" s="59"/>
      <c r="GD116" s="59"/>
      <c r="GE116" s="59"/>
      <c r="GF116" s="59"/>
      <c r="GG116" s="59"/>
      <c r="GH116" s="59"/>
      <c r="GI116" s="59"/>
      <c r="GJ116" s="59"/>
      <c r="GK116" s="59"/>
      <c r="GL116" s="59"/>
      <c r="GM116" s="59"/>
      <c r="GN116" s="59"/>
    </row>
    <row r="117" spans="1:196" x14ac:dyDescent="0.3">
      <c r="A117" s="59"/>
      <c r="B117" s="59"/>
      <c r="C117" s="59"/>
      <c r="D117" s="59"/>
      <c r="E117" s="59"/>
      <c r="F117" s="59"/>
      <c r="G117" s="59"/>
      <c r="H117" s="59"/>
      <c r="I117" s="59"/>
      <c r="J117" s="59"/>
      <c r="K117" s="59"/>
      <c r="L117" s="59"/>
      <c r="M117" s="59"/>
      <c r="N117" s="59"/>
      <c r="O117" s="59"/>
      <c r="P117" s="59"/>
      <c r="Q117" s="59"/>
      <c r="R117" s="59"/>
      <c r="S117" s="59"/>
      <c r="T117" s="59"/>
      <c r="U117" s="59"/>
      <c r="V117" s="59"/>
      <c r="W117" s="59"/>
      <c r="X117" s="59"/>
      <c r="Y117" s="59"/>
      <c r="Z117" s="59"/>
      <c r="AA117" s="59"/>
      <c r="AB117" s="59"/>
      <c r="AC117" s="59"/>
      <c r="AD117" s="59"/>
      <c r="AE117" s="59"/>
      <c r="AF117" s="59"/>
      <c r="AG117" s="59"/>
      <c r="AH117" s="59"/>
      <c r="AI117" s="59"/>
      <c r="AJ117" s="59"/>
      <c r="AK117" s="59"/>
      <c r="AL117" s="59"/>
      <c r="AM117" s="59"/>
      <c r="AN117" s="59"/>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c r="BU117" s="59"/>
      <c r="BV117" s="59"/>
      <c r="BW117" s="59"/>
      <c r="BX117" s="59"/>
      <c r="BY117" s="59"/>
      <c r="BZ117" s="59"/>
      <c r="CA117" s="59"/>
      <c r="CB117" s="59"/>
      <c r="CC117" s="59"/>
      <c r="CD117" s="59"/>
      <c r="CE117" s="59"/>
      <c r="CF117" s="59"/>
      <c r="CG117" s="59"/>
      <c r="CH117" s="59"/>
      <c r="CI117" s="59"/>
      <c r="CJ117" s="59"/>
      <c r="CK117" s="59"/>
      <c r="CL117" s="59"/>
      <c r="CM117" s="59"/>
      <c r="CN117" s="59"/>
      <c r="CO117" s="59"/>
      <c r="CP117" s="59"/>
      <c r="CQ117" s="59"/>
      <c r="CR117" s="59"/>
      <c r="CS117" s="59"/>
      <c r="CT117" s="59"/>
      <c r="CU117" s="59"/>
      <c r="CV117" s="59"/>
      <c r="CW117" s="59"/>
      <c r="CX117" s="59"/>
      <c r="CY117" s="59"/>
      <c r="CZ117" s="59"/>
      <c r="DA117" s="59"/>
      <c r="DB117" s="59"/>
      <c r="DC117" s="59"/>
      <c r="DD117" s="59"/>
      <c r="DE117" s="59"/>
      <c r="DF117" s="59"/>
      <c r="DG117" s="59"/>
      <c r="DH117" s="59"/>
      <c r="DI117" s="59"/>
      <c r="DJ117" s="59"/>
      <c r="DK117" s="59"/>
      <c r="DL117" s="59"/>
      <c r="DM117" s="59"/>
      <c r="DN117" s="59"/>
      <c r="DO117" s="59"/>
      <c r="DP117" s="59"/>
      <c r="DQ117" s="59"/>
      <c r="DR117" s="59"/>
      <c r="DS117" s="59"/>
      <c r="DT117" s="59"/>
      <c r="DU117" s="59"/>
      <c r="DV117" s="59"/>
      <c r="DW117" s="59"/>
      <c r="DX117" s="59"/>
      <c r="DY117" s="59"/>
      <c r="DZ117" s="59"/>
      <c r="EA117" s="59"/>
      <c r="EB117" s="59"/>
      <c r="EC117" s="59"/>
      <c r="ED117" s="59"/>
      <c r="EE117" s="59"/>
      <c r="EF117" s="59"/>
      <c r="EG117" s="59"/>
      <c r="EH117" s="59"/>
      <c r="EI117" s="59"/>
      <c r="EJ117" s="59"/>
      <c r="EK117" s="59"/>
      <c r="EL117" s="59"/>
      <c r="EM117" s="59"/>
      <c r="EN117" s="59"/>
      <c r="EO117" s="59"/>
      <c r="EP117" s="59"/>
      <c r="EQ117" s="59"/>
      <c r="ER117" s="59"/>
      <c r="ES117" s="59"/>
      <c r="ET117" s="59"/>
      <c r="EU117" s="59"/>
      <c r="EV117" s="59"/>
      <c r="EW117" s="59"/>
      <c r="EX117" s="59"/>
      <c r="EY117" s="59"/>
      <c r="EZ117" s="59"/>
      <c r="FA117" s="59"/>
      <c r="FB117" s="59"/>
      <c r="FC117" s="59"/>
      <c r="FD117" s="59"/>
      <c r="FE117" s="59"/>
      <c r="FF117" s="59"/>
      <c r="FG117" s="59"/>
      <c r="FH117" s="59"/>
      <c r="FI117" s="59"/>
      <c r="FJ117" s="59"/>
      <c r="FK117" s="59"/>
      <c r="FL117" s="59"/>
      <c r="FM117" s="59"/>
      <c r="FN117" s="59"/>
      <c r="FO117" s="59"/>
      <c r="FP117" s="59"/>
      <c r="FQ117" s="59"/>
      <c r="FR117" s="59"/>
      <c r="FS117" s="59"/>
      <c r="FT117" s="59"/>
      <c r="FU117" s="59"/>
      <c r="FV117" s="59"/>
      <c r="FW117" s="59"/>
      <c r="FX117" s="59"/>
      <c r="FY117" s="59"/>
      <c r="FZ117" s="59"/>
      <c r="GA117" s="59"/>
      <c r="GB117" s="59"/>
      <c r="GC117" s="59"/>
      <c r="GD117" s="59"/>
      <c r="GE117" s="59"/>
      <c r="GF117" s="59"/>
      <c r="GG117" s="59"/>
      <c r="GH117" s="59"/>
      <c r="GI117" s="59"/>
      <c r="GJ117" s="59"/>
      <c r="GK117" s="59"/>
      <c r="GL117" s="59"/>
      <c r="GM117" s="59"/>
      <c r="GN117" s="59"/>
    </row>
    <row r="118" spans="1:196" x14ac:dyDescent="0.3">
      <c r="A118" s="59"/>
      <c r="B118" s="59"/>
      <c r="C118" s="59"/>
      <c r="D118" s="59"/>
      <c r="E118" s="59"/>
      <c r="F118" s="59"/>
      <c r="G118" s="59"/>
      <c r="H118" s="59"/>
      <c r="I118" s="59"/>
      <c r="J118" s="59"/>
      <c r="K118" s="59"/>
      <c r="L118" s="59"/>
      <c r="M118" s="59"/>
      <c r="N118" s="59"/>
      <c r="O118" s="59"/>
      <c r="P118" s="59"/>
      <c r="Q118" s="59"/>
      <c r="R118" s="59"/>
      <c r="S118" s="59"/>
      <c r="T118" s="59"/>
      <c r="U118" s="59"/>
      <c r="V118" s="59"/>
      <c r="W118" s="59"/>
      <c r="X118" s="59"/>
      <c r="Y118" s="59"/>
      <c r="Z118" s="59"/>
      <c r="AA118" s="59"/>
      <c r="AB118" s="59"/>
      <c r="AC118" s="59"/>
      <c r="AD118" s="59"/>
      <c r="AE118" s="59"/>
      <c r="AF118" s="59"/>
      <c r="AG118" s="59"/>
      <c r="AH118" s="59"/>
      <c r="AI118" s="59"/>
      <c r="AJ118" s="59"/>
      <c r="AK118" s="59"/>
      <c r="AL118" s="59"/>
      <c r="AM118" s="59"/>
      <c r="AN118" s="59"/>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c r="BU118" s="59"/>
      <c r="BV118" s="59"/>
      <c r="BW118" s="59"/>
      <c r="BX118" s="59"/>
      <c r="BY118" s="59"/>
      <c r="BZ118" s="59"/>
      <c r="CA118" s="59"/>
      <c r="CB118" s="59"/>
      <c r="CC118" s="59"/>
      <c r="CD118" s="59"/>
      <c r="CE118" s="59"/>
      <c r="CF118" s="59"/>
      <c r="CG118" s="59"/>
      <c r="CH118" s="59"/>
      <c r="CI118" s="59"/>
      <c r="CJ118" s="59"/>
      <c r="CK118" s="59"/>
      <c r="CL118" s="59"/>
      <c r="CM118" s="59"/>
      <c r="CN118" s="59"/>
      <c r="CO118" s="59"/>
      <c r="CP118" s="59"/>
      <c r="CQ118" s="59"/>
      <c r="CR118" s="59"/>
      <c r="CS118" s="59"/>
      <c r="CT118" s="59"/>
      <c r="CU118" s="59"/>
      <c r="CV118" s="59"/>
      <c r="CW118" s="59"/>
      <c r="CX118" s="59"/>
      <c r="CY118" s="59"/>
      <c r="CZ118" s="59"/>
      <c r="DA118" s="59"/>
      <c r="DB118" s="59"/>
      <c r="DC118" s="59"/>
      <c r="DD118" s="59"/>
      <c r="DE118" s="59"/>
      <c r="DF118" s="59"/>
      <c r="DG118" s="59"/>
      <c r="DH118" s="59"/>
      <c r="DI118" s="59"/>
      <c r="DJ118" s="59"/>
      <c r="DK118" s="59"/>
      <c r="DL118" s="59"/>
      <c r="DM118" s="59"/>
      <c r="DN118" s="59"/>
      <c r="DO118" s="59"/>
      <c r="DP118" s="59"/>
      <c r="DQ118" s="59"/>
      <c r="DR118" s="59"/>
      <c r="DS118" s="59"/>
      <c r="DT118" s="59"/>
      <c r="DU118" s="59"/>
      <c r="DV118" s="59"/>
      <c r="DW118" s="59"/>
      <c r="DX118" s="59"/>
      <c r="DY118" s="59"/>
      <c r="DZ118" s="59"/>
      <c r="EA118" s="59"/>
      <c r="EB118" s="59"/>
      <c r="EC118" s="59"/>
      <c r="ED118" s="59"/>
      <c r="EE118" s="59"/>
      <c r="EF118" s="59"/>
      <c r="EG118" s="59"/>
      <c r="EH118" s="59"/>
      <c r="EI118" s="59"/>
      <c r="EJ118" s="59"/>
      <c r="EK118" s="59"/>
      <c r="EL118" s="59"/>
      <c r="EM118" s="59"/>
      <c r="EN118" s="59"/>
      <c r="EO118" s="59"/>
      <c r="EP118" s="59"/>
      <c r="EQ118" s="59"/>
      <c r="ER118" s="59"/>
      <c r="ES118" s="59"/>
      <c r="ET118" s="59"/>
      <c r="EU118" s="59"/>
      <c r="EV118" s="59"/>
      <c r="EW118" s="59"/>
      <c r="EX118" s="59"/>
      <c r="EY118" s="59"/>
      <c r="EZ118" s="59"/>
      <c r="FA118" s="59"/>
      <c r="FB118" s="59"/>
      <c r="FC118" s="59"/>
      <c r="FD118" s="59"/>
      <c r="FE118" s="59"/>
      <c r="FF118" s="59"/>
      <c r="FG118" s="59"/>
      <c r="FH118" s="59"/>
      <c r="FI118" s="59"/>
      <c r="FJ118" s="59"/>
      <c r="FK118" s="59"/>
      <c r="FL118" s="59"/>
      <c r="FM118" s="59"/>
      <c r="FN118" s="59"/>
      <c r="FO118" s="59"/>
      <c r="FP118" s="59"/>
      <c r="FQ118" s="59"/>
      <c r="FR118" s="59"/>
      <c r="FS118" s="59"/>
      <c r="FT118" s="59"/>
      <c r="FU118" s="59"/>
      <c r="FV118" s="59"/>
      <c r="FW118" s="59"/>
      <c r="FX118" s="59"/>
      <c r="FY118" s="59"/>
      <c r="FZ118" s="59"/>
      <c r="GA118" s="59"/>
      <c r="GB118" s="59"/>
      <c r="GC118" s="59"/>
      <c r="GD118" s="59"/>
      <c r="GE118" s="59"/>
      <c r="GF118" s="59"/>
      <c r="GG118" s="59"/>
      <c r="GH118" s="59"/>
      <c r="GI118" s="59"/>
      <c r="GJ118" s="59"/>
      <c r="GK118" s="59"/>
      <c r="GL118" s="59"/>
      <c r="GM118" s="59"/>
      <c r="GN118" s="59"/>
    </row>
    <row r="119" spans="1:196" x14ac:dyDescent="0.3">
      <c r="A119" s="59"/>
      <c r="B119" s="59"/>
      <c r="C119" s="59"/>
      <c r="D119" s="59"/>
      <c r="E119" s="59"/>
      <c r="F119" s="59"/>
      <c r="G119" s="59"/>
      <c r="H119" s="59"/>
      <c r="I119" s="59"/>
      <c r="J119" s="59"/>
      <c r="K119" s="59"/>
      <c r="L119" s="59"/>
      <c r="M119" s="59"/>
      <c r="N119" s="59"/>
      <c r="O119" s="59"/>
      <c r="P119" s="59"/>
      <c r="Q119" s="59"/>
      <c r="R119" s="59"/>
      <c r="S119" s="59"/>
      <c r="T119" s="59"/>
      <c r="U119" s="59"/>
      <c r="V119" s="59"/>
      <c r="W119" s="59"/>
      <c r="X119" s="59"/>
      <c r="Y119" s="59"/>
      <c r="Z119" s="59"/>
      <c r="AA119" s="59"/>
      <c r="AB119" s="59"/>
      <c r="AC119" s="59"/>
      <c r="AD119" s="59"/>
      <c r="AE119" s="59"/>
      <c r="AF119" s="59"/>
      <c r="AG119" s="59"/>
      <c r="AH119" s="59"/>
      <c r="AI119" s="59"/>
      <c r="AJ119" s="59"/>
      <c r="AK119" s="59"/>
      <c r="AL119" s="59"/>
      <c r="AM119" s="59"/>
      <c r="AN119" s="59"/>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c r="BU119" s="59"/>
      <c r="BV119" s="59"/>
      <c r="BW119" s="59"/>
      <c r="BX119" s="59"/>
      <c r="BY119" s="59"/>
      <c r="BZ119" s="59"/>
      <c r="CA119" s="59"/>
      <c r="CB119" s="59"/>
      <c r="CC119" s="59"/>
      <c r="CD119" s="59"/>
      <c r="CE119" s="59"/>
      <c r="CF119" s="59"/>
      <c r="CG119" s="59"/>
      <c r="CH119" s="59"/>
      <c r="CI119" s="59"/>
      <c r="CJ119" s="59"/>
      <c r="CK119" s="59"/>
      <c r="CL119" s="59"/>
      <c r="CM119" s="59"/>
      <c r="CN119" s="59"/>
      <c r="CO119" s="59"/>
      <c r="CP119" s="59"/>
      <c r="CQ119" s="59"/>
      <c r="CR119" s="59"/>
      <c r="CS119" s="59"/>
      <c r="CT119" s="59"/>
      <c r="CU119" s="59"/>
      <c r="CV119" s="59"/>
      <c r="CW119" s="59"/>
      <c r="CX119" s="59"/>
      <c r="CY119" s="59"/>
      <c r="CZ119" s="59"/>
      <c r="DA119" s="59"/>
      <c r="DB119" s="59"/>
      <c r="DC119" s="59"/>
      <c r="DD119" s="59"/>
      <c r="DE119" s="59"/>
      <c r="DF119" s="59"/>
      <c r="DG119" s="59"/>
      <c r="DH119" s="59"/>
      <c r="DI119" s="59"/>
      <c r="DJ119" s="59"/>
      <c r="DK119" s="59"/>
      <c r="DL119" s="59"/>
      <c r="DM119" s="59"/>
      <c r="DN119" s="59"/>
      <c r="DO119" s="59"/>
      <c r="DP119" s="59"/>
      <c r="DQ119" s="59"/>
      <c r="DR119" s="59"/>
      <c r="DS119" s="59"/>
      <c r="DT119" s="59"/>
      <c r="DU119" s="59"/>
      <c r="DV119" s="59"/>
      <c r="DW119" s="59"/>
      <c r="DX119" s="59"/>
      <c r="DY119" s="59"/>
      <c r="DZ119" s="59"/>
      <c r="EA119" s="59"/>
      <c r="EB119" s="59"/>
      <c r="EC119" s="59"/>
      <c r="ED119" s="59"/>
      <c r="EE119" s="59"/>
      <c r="EF119" s="59"/>
      <c r="EG119" s="59"/>
      <c r="EH119" s="59"/>
      <c r="EI119" s="59"/>
      <c r="EJ119" s="59"/>
      <c r="EK119" s="59"/>
      <c r="EL119" s="59"/>
      <c r="EM119" s="59"/>
      <c r="EN119" s="59"/>
      <c r="EO119" s="59"/>
      <c r="EP119" s="59"/>
      <c r="EQ119" s="59"/>
      <c r="ER119" s="59"/>
      <c r="ES119" s="59"/>
      <c r="ET119" s="59"/>
      <c r="EU119" s="59"/>
      <c r="EV119" s="59"/>
      <c r="EW119" s="59"/>
      <c r="EX119" s="59"/>
      <c r="EY119" s="59"/>
      <c r="EZ119" s="59"/>
      <c r="FA119" s="59"/>
      <c r="FB119" s="59"/>
      <c r="FC119" s="59"/>
      <c r="FD119" s="59"/>
      <c r="FE119" s="59"/>
      <c r="FF119" s="59"/>
      <c r="FG119" s="59"/>
      <c r="FH119" s="59"/>
      <c r="FI119" s="59"/>
      <c r="FJ119" s="59"/>
      <c r="FK119" s="59"/>
      <c r="FL119" s="59"/>
      <c r="FM119" s="59"/>
      <c r="FN119" s="59"/>
      <c r="FO119" s="59"/>
      <c r="FP119" s="59"/>
      <c r="FQ119" s="59"/>
      <c r="FR119" s="59"/>
      <c r="FS119" s="59"/>
      <c r="FT119" s="59"/>
      <c r="FU119" s="59"/>
      <c r="FV119" s="59"/>
      <c r="FW119" s="59"/>
      <c r="FX119" s="59"/>
      <c r="FY119" s="59"/>
      <c r="FZ119" s="59"/>
      <c r="GA119" s="59"/>
      <c r="GB119" s="59"/>
      <c r="GC119" s="59"/>
      <c r="GD119" s="59"/>
      <c r="GE119" s="59"/>
      <c r="GF119" s="59"/>
      <c r="GG119" s="59"/>
      <c r="GH119" s="59"/>
      <c r="GI119" s="59"/>
      <c r="GJ119" s="59"/>
      <c r="GK119" s="59"/>
      <c r="GL119" s="59"/>
      <c r="GM119" s="59"/>
      <c r="GN119" s="59"/>
    </row>
    <row r="120" spans="1:196" x14ac:dyDescent="0.3">
      <c r="A120" s="59"/>
      <c r="B120" s="59"/>
      <c r="C120" s="59"/>
      <c r="D120" s="59"/>
      <c r="E120" s="59"/>
      <c r="F120" s="59"/>
      <c r="G120" s="59"/>
      <c r="H120" s="59"/>
      <c r="I120" s="59"/>
      <c r="J120" s="59"/>
      <c r="K120" s="59"/>
      <c r="L120" s="59"/>
      <c r="M120" s="59"/>
      <c r="N120" s="59"/>
      <c r="O120" s="59"/>
      <c r="P120" s="59"/>
      <c r="Q120" s="59"/>
      <c r="R120" s="59"/>
      <c r="S120" s="59"/>
      <c r="T120" s="59"/>
      <c r="U120" s="59"/>
      <c r="V120" s="59"/>
      <c r="W120" s="59"/>
      <c r="X120" s="59"/>
      <c r="Y120" s="59"/>
      <c r="Z120" s="59"/>
      <c r="AA120" s="59"/>
      <c r="AB120" s="59"/>
      <c r="AC120" s="59"/>
      <c r="AD120" s="59"/>
      <c r="AE120" s="59"/>
      <c r="AF120" s="59"/>
      <c r="AG120" s="59"/>
      <c r="AH120" s="59"/>
      <c r="AI120" s="59"/>
      <c r="AJ120" s="59"/>
      <c r="AK120" s="59"/>
      <c r="AL120" s="59"/>
      <c r="AM120" s="59"/>
      <c r="AN120" s="59"/>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c r="BU120" s="59"/>
      <c r="BV120" s="59"/>
      <c r="BW120" s="59"/>
      <c r="BX120" s="59"/>
      <c r="BY120" s="59"/>
      <c r="BZ120" s="59"/>
      <c r="CA120" s="59"/>
      <c r="CB120" s="59"/>
      <c r="CC120" s="59"/>
      <c r="CD120" s="59"/>
      <c r="CE120" s="59"/>
      <c r="CF120" s="59"/>
      <c r="CG120" s="59"/>
      <c r="CH120" s="59"/>
      <c r="CI120" s="59"/>
      <c r="CJ120" s="59"/>
      <c r="CK120" s="59"/>
      <c r="CL120" s="59"/>
      <c r="CM120" s="59"/>
      <c r="CN120" s="59"/>
      <c r="CO120" s="59"/>
      <c r="CP120" s="59"/>
      <c r="CQ120" s="59"/>
      <c r="CR120" s="59"/>
      <c r="CS120" s="59"/>
      <c r="CT120" s="59"/>
      <c r="CU120" s="59"/>
      <c r="CV120" s="59"/>
      <c r="CW120" s="59"/>
      <c r="CX120" s="59"/>
      <c r="CY120" s="59"/>
      <c r="CZ120" s="59"/>
      <c r="DA120" s="59"/>
      <c r="DB120" s="59"/>
      <c r="DC120" s="59"/>
      <c r="DD120" s="59"/>
      <c r="DE120" s="59"/>
      <c r="DF120" s="59"/>
      <c r="DG120" s="59"/>
      <c r="DH120" s="59"/>
      <c r="DI120" s="59"/>
      <c r="DJ120" s="59"/>
      <c r="DK120" s="59"/>
      <c r="DL120" s="59"/>
      <c r="DM120" s="59"/>
      <c r="DN120" s="59"/>
      <c r="DO120" s="59"/>
      <c r="DP120" s="59"/>
      <c r="DQ120" s="59"/>
      <c r="DR120" s="59"/>
      <c r="DS120" s="59"/>
      <c r="DT120" s="59"/>
      <c r="DU120" s="59"/>
      <c r="DV120" s="59"/>
      <c r="DW120" s="59"/>
      <c r="DX120" s="59"/>
      <c r="DY120" s="59"/>
      <c r="DZ120" s="59"/>
      <c r="EA120" s="59"/>
      <c r="EB120" s="59"/>
      <c r="EC120" s="59"/>
      <c r="ED120" s="59"/>
      <c r="EE120" s="59"/>
      <c r="EF120" s="59"/>
      <c r="EG120" s="59"/>
      <c r="EH120" s="59"/>
      <c r="EI120" s="59"/>
      <c r="EJ120" s="59"/>
      <c r="EK120" s="59"/>
      <c r="EL120" s="59"/>
      <c r="EM120" s="59"/>
      <c r="EN120" s="59"/>
      <c r="EO120" s="59"/>
      <c r="EP120" s="59"/>
      <c r="EQ120" s="59"/>
      <c r="ER120" s="59"/>
      <c r="ES120" s="59"/>
      <c r="ET120" s="59"/>
      <c r="EU120" s="59"/>
      <c r="EV120" s="59"/>
      <c r="EW120" s="59"/>
      <c r="EX120" s="59"/>
      <c r="EY120" s="59"/>
      <c r="EZ120" s="59"/>
      <c r="FA120" s="59"/>
      <c r="FB120" s="59"/>
      <c r="FC120" s="59"/>
      <c r="FD120" s="59"/>
      <c r="FE120" s="59"/>
      <c r="FF120" s="59"/>
      <c r="FG120" s="59"/>
      <c r="FH120" s="59"/>
      <c r="FI120" s="59"/>
      <c r="FJ120" s="59"/>
      <c r="FK120" s="59"/>
      <c r="FL120" s="59"/>
      <c r="FM120" s="59"/>
      <c r="FN120" s="59"/>
      <c r="FO120" s="59"/>
      <c r="FP120" s="59"/>
      <c r="FQ120" s="59"/>
      <c r="FR120" s="59"/>
      <c r="FS120" s="59"/>
      <c r="FT120" s="59"/>
      <c r="FU120" s="59"/>
      <c r="FV120" s="59"/>
      <c r="FW120" s="59"/>
      <c r="FX120" s="59"/>
      <c r="FY120" s="59"/>
      <c r="FZ120" s="59"/>
      <c r="GA120" s="59"/>
      <c r="GB120" s="59"/>
      <c r="GC120" s="59"/>
      <c r="GD120" s="59"/>
      <c r="GE120" s="59"/>
      <c r="GF120" s="59"/>
      <c r="GG120" s="59"/>
      <c r="GH120" s="59"/>
      <c r="GI120" s="59"/>
      <c r="GJ120" s="59"/>
      <c r="GK120" s="59"/>
      <c r="GL120" s="59"/>
      <c r="GM120" s="59"/>
      <c r="GN120" s="59"/>
    </row>
    <row r="121" spans="1:196" x14ac:dyDescent="0.3">
      <c r="A121" s="59"/>
      <c r="B121" s="59"/>
      <c r="C121" s="59"/>
      <c r="D121" s="59"/>
      <c r="E121" s="59"/>
      <c r="F121" s="59"/>
      <c r="G121" s="59"/>
      <c r="H121" s="59"/>
      <c r="I121" s="59"/>
      <c r="J121" s="59"/>
      <c r="K121" s="59"/>
      <c r="L121" s="59"/>
      <c r="M121" s="59"/>
      <c r="N121" s="59"/>
      <c r="O121" s="59"/>
      <c r="P121" s="59"/>
      <c r="Q121" s="59"/>
      <c r="R121" s="59"/>
      <c r="S121" s="59"/>
      <c r="T121" s="59"/>
      <c r="U121" s="59"/>
      <c r="V121" s="59"/>
      <c r="W121" s="59"/>
      <c r="X121" s="59"/>
      <c r="Y121" s="59"/>
      <c r="Z121" s="59"/>
      <c r="AA121" s="59"/>
      <c r="AB121" s="59"/>
      <c r="AC121" s="59"/>
      <c r="AD121" s="59"/>
      <c r="AE121" s="59"/>
      <c r="AF121" s="59"/>
      <c r="AG121" s="59"/>
      <c r="AH121" s="59"/>
      <c r="AI121" s="59"/>
      <c r="AJ121" s="59"/>
      <c r="AK121" s="59"/>
      <c r="AL121" s="59"/>
      <c r="AM121" s="59"/>
      <c r="AN121" s="59"/>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c r="BU121" s="59"/>
      <c r="BV121" s="59"/>
      <c r="BW121" s="59"/>
      <c r="BX121" s="59"/>
      <c r="BY121" s="59"/>
      <c r="BZ121" s="59"/>
      <c r="CA121" s="59"/>
      <c r="CB121" s="59"/>
      <c r="CC121" s="59"/>
      <c r="CD121" s="59"/>
      <c r="CE121" s="59"/>
      <c r="CF121" s="59"/>
      <c r="CG121" s="59"/>
      <c r="CH121" s="59"/>
      <c r="CI121" s="59"/>
      <c r="CJ121" s="59"/>
      <c r="CK121" s="59"/>
      <c r="CL121" s="59"/>
      <c r="CM121" s="59"/>
      <c r="CN121" s="59"/>
      <c r="CO121" s="59"/>
      <c r="CP121" s="59"/>
      <c r="CQ121" s="59"/>
      <c r="CR121" s="59"/>
      <c r="CS121" s="59"/>
      <c r="CT121" s="59"/>
      <c r="CU121" s="59"/>
      <c r="CV121" s="59"/>
      <c r="CW121" s="59"/>
      <c r="CX121" s="59"/>
      <c r="CY121" s="59"/>
      <c r="CZ121" s="59"/>
      <c r="DA121" s="59"/>
      <c r="DB121" s="59"/>
      <c r="DC121" s="59"/>
      <c r="DD121" s="59"/>
      <c r="DE121" s="59"/>
      <c r="DF121" s="59"/>
      <c r="DG121" s="59"/>
      <c r="DH121" s="59"/>
      <c r="DI121" s="59"/>
      <c r="DJ121" s="59"/>
      <c r="DK121" s="59"/>
      <c r="DL121" s="59"/>
      <c r="DM121" s="59"/>
      <c r="DN121" s="59"/>
      <c r="DO121" s="59"/>
      <c r="DP121" s="59"/>
      <c r="DQ121" s="59"/>
      <c r="DR121" s="59"/>
      <c r="DS121" s="59"/>
      <c r="DT121" s="59"/>
      <c r="DU121" s="59"/>
      <c r="DV121" s="59"/>
      <c r="DW121" s="59"/>
      <c r="DX121" s="59"/>
      <c r="DY121" s="59"/>
      <c r="DZ121" s="59"/>
      <c r="EA121" s="59"/>
      <c r="EB121" s="59"/>
      <c r="EC121" s="59"/>
      <c r="ED121" s="59"/>
      <c r="EE121" s="59"/>
      <c r="EF121" s="59"/>
      <c r="EG121" s="59"/>
      <c r="EH121" s="59"/>
      <c r="EI121" s="59"/>
      <c r="EJ121" s="59"/>
      <c r="EK121" s="59"/>
      <c r="EL121" s="59"/>
      <c r="EM121" s="59"/>
      <c r="EN121" s="59"/>
      <c r="EO121" s="59"/>
      <c r="EP121" s="59"/>
      <c r="EQ121" s="59"/>
      <c r="ER121" s="59"/>
      <c r="ES121" s="59"/>
      <c r="ET121" s="59"/>
      <c r="EU121" s="59"/>
      <c r="EV121" s="59"/>
      <c r="EW121" s="59"/>
      <c r="EX121" s="59"/>
      <c r="EY121" s="59"/>
      <c r="EZ121" s="59"/>
      <c r="FA121" s="59"/>
      <c r="FB121" s="59"/>
      <c r="FC121" s="59"/>
      <c r="FD121" s="59"/>
      <c r="FE121" s="59"/>
      <c r="FF121" s="59"/>
      <c r="FG121" s="59"/>
      <c r="FH121" s="59"/>
      <c r="FI121" s="59"/>
      <c r="FJ121" s="59"/>
      <c r="FK121" s="59"/>
      <c r="FL121" s="59"/>
      <c r="FM121" s="59"/>
      <c r="FN121" s="59"/>
      <c r="FO121" s="59"/>
      <c r="FP121" s="59"/>
      <c r="FQ121" s="59"/>
      <c r="FR121" s="59"/>
      <c r="FS121" s="59"/>
      <c r="FT121" s="59"/>
      <c r="FU121" s="59"/>
      <c r="FV121" s="59"/>
      <c r="FW121" s="59"/>
      <c r="FX121" s="59"/>
      <c r="FY121" s="59"/>
      <c r="FZ121" s="59"/>
      <c r="GA121" s="59"/>
      <c r="GB121" s="59"/>
      <c r="GC121" s="59"/>
      <c r="GD121" s="59"/>
      <c r="GE121" s="59"/>
      <c r="GF121" s="59"/>
      <c r="GG121" s="59"/>
      <c r="GH121" s="59"/>
      <c r="GI121" s="59"/>
      <c r="GJ121" s="59"/>
      <c r="GK121" s="59"/>
      <c r="GL121" s="59"/>
      <c r="GM121" s="59"/>
      <c r="GN121" s="59"/>
    </row>
    <row r="122" spans="1:196" x14ac:dyDescent="0.3">
      <c r="A122" s="59"/>
      <c r="B122" s="59"/>
      <c r="C122" s="59"/>
      <c r="D122" s="59"/>
      <c r="E122" s="59"/>
      <c r="F122" s="59"/>
      <c r="G122" s="59"/>
      <c r="H122" s="59"/>
      <c r="I122" s="59"/>
      <c r="J122" s="59"/>
      <c r="K122" s="59"/>
      <c r="L122" s="59"/>
      <c r="M122" s="59"/>
      <c r="N122" s="59"/>
      <c r="O122" s="59"/>
      <c r="P122" s="59"/>
      <c r="Q122" s="59"/>
      <c r="R122" s="59"/>
      <c r="S122" s="59"/>
      <c r="T122" s="59"/>
      <c r="U122" s="59"/>
      <c r="V122" s="59"/>
      <c r="W122" s="59"/>
      <c r="X122" s="59"/>
      <c r="Y122" s="59"/>
      <c r="Z122" s="59"/>
      <c r="AA122" s="59"/>
      <c r="AB122" s="59"/>
      <c r="AC122" s="59"/>
      <c r="AD122" s="59"/>
      <c r="AE122" s="59"/>
      <c r="AF122" s="59"/>
      <c r="AG122" s="59"/>
      <c r="AH122" s="59"/>
      <c r="AI122" s="59"/>
      <c r="AJ122" s="59"/>
      <c r="AK122" s="59"/>
      <c r="AL122" s="59"/>
      <c r="AM122" s="59"/>
      <c r="AN122" s="59"/>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c r="BU122" s="59"/>
      <c r="BV122" s="59"/>
      <c r="BW122" s="59"/>
      <c r="BX122" s="59"/>
      <c r="BY122" s="59"/>
      <c r="BZ122" s="59"/>
      <c r="CA122" s="59"/>
      <c r="CB122" s="59"/>
      <c r="CC122" s="59"/>
      <c r="CD122" s="59"/>
      <c r="CE122" s="59"/>
      <c r="CF122" s="59"/>
      <c r="CG122" s="59"/>
      <c r="CH122" s="59"/>
      <c r="CI122" s="59"/>
      <c r="CJ122" s="59"/>
      <c r="CK122" s="59"/>
      <c r="CL122" s="59"/>
      <c r="CM122" s="59"/>
      <c r="CN122" s="59"/>
      <c r="CO122" s="59"/>
      <c r="CP122" s="59"/>
      <c r="CQ122" s="59"/>
      <c r="CR122" s="59"/>
      <c r="CS122" s="59"/>
      <c r="CT122" s="59"/>
      <c r="CU122" s="59"/>
      <c r="CV122" s="59"/>
      <c r="CW122" s="59"/>
      <c r="CX122" s="59"/>
      <c r="CY122" s="59"/>
      <c r="CZ122" s="59"/>
      <c r="DA122" s="59"/>
      <c r="DB122" s="59"/>
      <c r="DC122" s="59"/>
      <c r="DD122" s="59"/>
      <c r="DE122" s="59"/>
      <c r="DF122" s="59"/>
      <c r="DG122" s="59"/>
      <c r="DH122" s="59"/>
      <c r="DI122" s="59"/>
      <c r="DJ122" s="59"/>
      <c r="DK122" s="59"/>
      <c r="DL122" s="59"/>
      <c r="DM122" s="59"/>
      <c r="DN122" s="59"/>
      <c r="DO122" s="59"/>
      <c r="DP122" s="59"/>
      <c r="DQ122" s="59"/>
      <c r="DR122" s="59"/>
      <c r="DS122" s="59"/>
      <c r="DT122" s="59"/>
      <c r="DU122" s="59"/>
      <c r="DV122" s="59"/>
      <c r="DW122" s="59"/>
      <c r="DX122" s="59"/>
      <c r="DY122" s="59"/>
      <c r="DZ122" s="59"/>
      <c r="EA122" s="59"/>
      <c r="EB122" s="59"/>
      <c r="EC122" s="59"/>
      <c r="ED122" s="59"/>
      <c r="EE122" s="59"/>
      <c r="EF122" s="59"/>
      <c r="EG122" s="59"/>
      <c r="EH122" s="59"/>
      <c r="EI122" s="59"/>
      <c r="EJ122" s="59"/>
      <c r="EK122" s="59"/>
      <c r="EL122" s="59"/>
      <c r="EM122" s="59"/>
      <c r="EN122" s="59"/>
      <c r="EO122" s="59"/>
      <c r="EP122" s="59"/>
      <c r="EQ122" s="59"/>
      <c r="ER122" s="59"/>
      <c r="ES122" s="59"/>
      <c r="ET122" s="59"/>
      <c r="EU122" s="59"/>
      <c r="EV122" s="59"/>
      <c r="EW122" s="59"/>
      <c r="EX122" s="59"/>
      <c r="EY122" s="59"/>
      <c r="EZ122" s="59"/>
      <c r="FA122" s="59"/>
      <c r="FB122" s="59"/>
      <c r="FC122" s="59"/>
      <c r="FD122" s="59"/>
      <c r="FE122" s="59"/>
      <c r="FF122" s="59"/>
      <c r="FG122" s="59"/>
      <c r="FH122" s="59"/>
      <c r="FI122" s="59"/>
      <c r="FJ122" s="59"/>
      <c r="FK122" s="59"/>
      <c r="FL122" s="59"/>
      <c r="FM122" s="59"/>
      <c r="FN122" s="59"/>
      <c r="FO122" s="59"/>
      <c r="FP122" s="59"/>
      <c r="FQ122" s="59"/>
      <c r="FR122" s="59"/>
      <c r="FS122" s="59"/>
      <c r="FT122" s="59"/>
      <c r="FU122" s="59"/>
      <c r="FV122" s="59"/>
      <c r="FW122" s="59"/>
      <c r="FX122" s="59"/>
      <c r="FY122" s="59"/>
      <c r="FZ122" s="59"/>
      <c r="GA122" s="59"/>
      <c r="GB122" s="59"/>
      <c r="GC122" s="59"/>
      <c r="GD122" s="59"/>
      <c r="GE122" s="59"/>
      <c r="GF122" s="59"/>
      <c r="GG122" s="59"/>
      <c r="GH122" s="59"/>
      <c r="GI122" s="59"/>
      <c r="GJ122" s="59"/>
      <c r="GK122" s="59"/>
      <c r="GL122" s="59"/>
      <c r="GM122" s="59"/>
      <c r="GN122" s="59"/>
    </row>
    <row r="123" spans="1:196" x14ac:dyDescent="0.3">
      <c r="A123" s="59"/>
      <c r="B123" s="59"/>
      <c r="C123" s="59"/>
      <c r="D123" s="59"/>
      <c r="E123" s="59"/>
      <c r="F123" s="59"/>
      <c r="G123" s="59"/>
      <c r="H123" s="59"/>
      <c r="I123" s="59"/>
      <c r="J123" s="59"/>
      <c r="K123" s="59"/>
      <c r="L123" s="59"/>
      <c r="M123" s="59"/>
      <c r="N123" s="59"/>
      <c r="O123" s="59"/>
      <c r="P123" s="59"/>
      <c r="Q123" s="59"/>
      <c r="R123" s="59"/>
      <c r="S123" s="59"/>
      <c r="T123" s="59"/>
      <c r="U123" s="59"/>
      <c r="V123" s="59"/>
      <c r="W123" s="59"/>
      <c r="X123" s="59"/>
      <c r="Y123" s="59"/>
      <c r="Z123" s="59"/>
      <c r="AA123" s="59"/>
      <c r="AB123" s="59"/>
      <c r="AC123" s="59"/>
      <c r="AD123" s="59"/>
      <c r="AE123" s="59"/>
      <c r="AF123" s="59"/>
      <c r="AG123" s="59"/>
      <c r="AH123" s="59"/>
      <c r="AI123" s="59"/>
      <c r="AJ123" s="59"/>
      <c r="AK123" s="59"/>
      <c r="AL123" s="59"/>
      <c r="AM123" s="59"/>
      <c r="AN123" s="59"/>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c r="BU123" s="59"/>
      <c r="BV123" s="59"/>
      <c r="BW123" s="59"/>
      <c r="BX123" s="59"/>
      <c r="BY123" s="59"/>
      <c r="BZ123" s="59"/>
      <c r="CA123" s="59"/>
      <c r="CB123" s="59"/>
      <c r="CC123" s="59"/>
      <c r="CD123" s="59"/>
      <c r="CE123" s="59"/>
      <c r="CF123" s="59"/>
      <c r="CG123" s="59"/>
      <c r="CH123" s="59"/>
      <c r="CI123" s="59"/>
      <c r="CJ123" s="59"/>
      <c r="CK123" s="59"/>
      <c r="CL123" s="59"/>
      <c r="CM123" s="59"/>
      <c r="CN123" s="59"/>
      <c r="CO123" s="59"/>
      <c r="CP123" s="59"/>
      <c r="CQ123" s="59"/>
      <c r="CR123" s="59"/>
      <c r="CS123" s="59"/>
      <c r="CT123" s="59"/>
      <c r="CU123" s="59"/>
      <c r="CV123" s="59"/>
      <c r="CW123" s="59"/>
      <c r="CX123" s="59"/>
      <c r="CY123" s="59"/>
      <c r="CZ123" s="59"/>
      <c r="DA123" s="59"/>
      <c r="DB123" s="59"/>
      <c r="DC123" s="59"/>
      <c r="DD123" s="59"/>
      <c r="DE123" s="59"/>
      <c r="DF123" s="59"/>
      <c r="DG123" s="59"/>
      <c r="DH123" s="59"/>
      <c r="DI123" s="59"/>
      <c r="DJ123" s="59"/>
      <c r="DK123" s="59"/>
      <c r="DL123" s="59"/>
      <c r="DM123" s="59"/>
      <c r="DN123" s="59"/>
      <c r="DO123" s="59"/>
      <c r="DP123" s="59"/>
      <c r="DQ123" s="59"/>
      <c r="DR123" s="59"/>
      <c r="DS123" s="59"/>
      <c r="DT123" s="59"/>
      <c r="DU123" s="59"/>
      <c r="DV123" s="59"/>
      <c r="DW123" s="59"/>
      <c r="DX123" s="59"/>
      <c r="DY123" s="59"/>
      <c r="DZ123" s="59"/>
      <c r="EA123" s="59"/>
      <c r="EB123" s="59"/>
      <c r="EC123" s="59"/>
      <c r="ED123" s="59"/>
      <c r="EE123" s="59"/>
      <c r="EF123" s="59"/>
      <c r="EG123" s="59"/>
      <c r="EH123" s="59"/>
      <c r="EI123" s="59"/>
      <c r="EJ123" s="59"/>
      <c r="EK123" s="59"/>
      <c r="EL123" s="59"/>
      <c r="EM123" s="59"/>
      <c r="EN123" s="59"/>
      <c r="EO123" s="59"/>
      <c r="EP123" s="59"/>
      <c r="EQ123" s="59"/>
      <c r="ER123" s="59"/>
      <c r="ES123" s="59"/>
      <c r="ET123" s="59"/>
      <c r="EU123" s="59"/>
      <c r="EV123" s="59"/>
      <c r="EW123" s="59"/>
      <c r="EX123" s="59"/>
      <c r="EY123" s="59"/>
      <c r="EZ123" s="59"/>
      <c r="FA123" s="59"/>
      <c r="FB123" s="59"/>
      <c r="FC123" s="59"/>
      <c r="FD123" s="59"/>
      <c r="FE123" s="59"/>
      <c r="FF123" s="59"/>
      <c r="FG123" s="59"/>
      <c r="FH123" s="59"/>
      <c r="FI123" s="59"/>
      <c r="FJ123" s="59"/>
      <c r="FK123" s="59"/>
      <c r="FL123" s="59"/>
      <c r="FM123" s="59"/>
      <c r="FN123" s="59"/>
      <c r="FO123" s="59"/>
      <c r="FP123" s="59"/>
      <c r="FQ123" s="59"/>
      <c r="FR123" s="59"/>
      <c r="FS123" s="59"/>
      <c r="FT123" s="59"/>
      <c r="FU123" s="59"/>
      <c r="FV123" s="59"/>
      <c r="FW123" s="59"/>
      <c r="FX123" s="59"/>
      <c r="FY123" s="59"/>
      <c r="FZ123" s="59"/>
      <c r="GA123" s="59"/>
      <c r="GB123" s="59"/>
      <c r="GC123" s="59"/>
      <c r="GD123" s="59"/>
      <c r="GE123" s="59"/>
      <c r="GF123" s="59"/>
      <c r="GG123" s="59"/>
      <c r="GH123" s="59"/>
      <c r="GI123" s="59"/>
      <c r="GJ123" s="59"/>
      <c r="GK123" s="59"/>
      <c r="GL123" s="59"/>
      <c r="GM123" s="59"/>
      <c r="GN123" s="59"/>
    </row>
    <row r="124" spans="1:196" x14ac:dyDescent="0.3">
      <c r="A124" s="59"/>
      <c r="B124" s="59"/>
      <c r="C124" s="59"/>
      <c r="D124" s="59"/>
      <c r="E124" s="59"/>
      <c r="F124" s="59"/>
      <c r="G124" s="59"/>
      <c r="H124" s="59"/>
      <c r="I124" s="59"/>
      <c r="J124" s="59"/>
      <c r="K124" s="59"/>
      <c r="L124" s="59"/>
      <c r="M124" s="59"/>
      <c r="N124" s="59"/>
      <c r="O124" s="59"/>
      <c r="P124" s="59"/>
      <c r="Q124" s="59"/>
      <c r="R124" s="59"/>
      <c r="S124" s="59"/>
      <c r="T124" s="59"/>
      <c r="U124" s="59"/>
      <c r="V124" s="59"/>
      <c r="W124" s="59"/>
      <c r="X124" s="59"/>
      <c r="Y124" s="59"/>
      <c r="Z124" s="59"/>
      <c r="AA124" s="59"/>
      <c r="AB124" s="59"/>
      <c r="AC124" s="59"/>
      <c r="AD124" s="59"/>
      <c r="AE124" s="59"/>
      <c r="AF124" s="59"/>
      <c r="AG124" s="59"/>
      <c r="AH124" s="59"/>
      <c r="AI124" s="59"/>
      <c r="AJ124" s="59"/>
      <c r="AK124" s="59"/>
      <c r="AL124" s="59"/>
      <c r="AM124" s="59"/>
      <c r="AN124" s="59"/>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c r="BU124" s="59"/>
      <c r="BV124" s="59"/>
      <c r="BW124" s="59"/>
      <c r="BX124" s="59"/>
      <c r="BY124" s="59"/>
      <c r="BZ124" s="59"/>
      <c r="CA124" s="59"/>
      <c r="CB124" s="59"/>
      <c r="CC124" s="59"/>
      <c r="CD124" s="59"/>
      <c r="CE124" s="59"/>
      <c r="CF124" s="59"/>
      <c r="CG124" s="59"/>
      <c r="CH124" s="59"/>
      <c r="CI124" s="59"/>
      <c r="CJ124" s="59"/>
      <c r="CK124" s="59"/>
      <c r="CL124" s="59"/>
      <c r="CM124" s="59"/>
      <c r="CN124" s="59"/>
      <c r="CO124" s="59"/>
      <c r="CP124" s="59"/>
      <c r="CQ124" s="59"/>
      <c r="CR124" s="59"/>
      <c r="CS124" s="59"/>
      <c r="CT124" s="59"/>
      <c r="CU124" s="59"/>
      <c r="CV124" s="59"/>
      <c r="CW124" s="59"/>
      <c r="CX124" s="59"/>
      <c r="CY124" s="59"/>
      <c r="CZ124" s="59"/>
      <c r="DA124" s="59"/>
      <c r="DB124" s="59"/>
      <c r="DC124" s="59"/>
      <c r="DD124" s="59"/>
      <c r="DE124" s="59"/>
      <c r="DF124" s="59"/>
      <c r="DG124" s="59"/>
      <c r="DH124" s="59"/>
      <c r="DI124" s="59"/>
      <c r="DJ124" s="59"/>
      <c r="DK124" s="59"/>
      <c r="DL124" s="59"/>
      <c r="DM124" s="59"/>
      <c r="DN124" s="59"/>
      <c r="DO124" s="59"/>
      <c r="DP124" s="59"/>
      <c r="DQ124" s="59"/>
      <c r="DR124" s="59"/>
      <c r="DS124" s="59"/>
      <c r="DT124" s="59"/>
      <c r="DU124" s="59"/>
      <c r="DV124" s="59"/>
      <c r="DW124" s="59"/>
      <c r="DX124" s="59"/>
      <c r="DY124" s="59"/>
      <c r="DZ124" s="59"/>
      <c r="EA124" s="59"/>
      <c r="EB124" s="59"/>
      <c r="EC124" s="59"/>
      <c r="ED124" s="59"/>
      <c r="EE124" s="59"/>
      <c r="EF124" s="59"/>
      <c r="EG124" s="59"/>
      <c r="EH124" s="59"/>
      <c r="EI124" s="59"/>
      <c r="EJ124" s="59"/>
      <c r="EK124" s="59"/>
      <c r="EL124" s="59"/>
      <c r="EM124" s="59"/>
      <c r="EN124" s="59"/>
      <c r="EO124" s="59"/>
      <c r="EP124" s="59"/>
      <c r="EQ124" s="59"/>
      <c r="ER124" s="59"/>
      <c r="ES124" s="59"/>
      <c r="ET124" s="59"/>
      <c r="EU124" s="59"/>
      <c r="EV124" s="59"/>
      <c r="EW124" s="59"/>
      <c r="EX124" s="59"/>
      <c r="EY124" s="59"/>
      <c r="EZ124" s="59"/>
      <c r="FA124" s="59"/>
      <c r="FB124" s="59"/>
      <c r="FC124" s="59"/>
      <c r="FD124" s="59"/>
      <c r="FE124" s="59"/>
      <c r="FF124" s="59"/>
      <c r="FG124" s="59"/>
      <c r="FH124" s="59"/>
      <c r="FI124" s="59"/>
      <c r="FJ124" s="59"/>
      <c r="FK124" s="59"/>
      <c r="FL124" s="59"/>
      <c r="FM124" s="59"/>
      <c r="FN124" s="59"/>
      <c r="FO124" s="59"/>
      <c r="FP124" s="59"/>
      <c r="FQ124" s="59"/>
      <c r="FR124" s="59"/>
      <c r="FS124" s="59"/>
      <c r="FT124" s="59"/>
      <c r="FU124" s="59"/>
      <c r="FV124" s="59"/>
      <c r="FW124" s="59"/>
      <c r="FX124" s="59"/>
      <c r="FY124" s="59"/>
      <c r="FZ124" s="59"/>
      <c r="GA124" s="59"/>
      <c r="GB124" s="59"/>
      <c r="GC124" s="59"/>
      <c r="GD124" s="59"/>
      <c r="GE124" s="59"/>
      <c r="GF124" s="59"/>
      <c r="GG124" s="59"/>
      <c r="GH124" s="59"/>
      <c r="GI124" s="59"/>
      <c r="GJ124" s="59"/>
      <c r="GK124" s="59"/>
      <c r="GL124" s="59"/>
      <c r="GM124" s="59"/>
      <c r="GN124" s="59"/>
    </row>
    <row r="125" spans="1:196" x14ac:dyDescent="0.3">
      <c r="A125" s="59"/>
      <c r="B125" s="59"/>
      <c r="C125" s="59"/>
      <c r="D125" s="59"/>
      <c r="E125" s="59"/>
      <c r="F125" s="59"/>
      <c r="G125" s="59"/>
      <c r="H125" s="59"/>
      <c r="I125" s="59"/>
      <c r="J125" s="59"/>
      <c r="K125" s="59"/>
      <c r="L125" s="59"/>
      <c r="M125" s="59"/>
      <c r="N125" s="59"/>
      <c r="O125" s="59"/>
      <c r="P125" s="59"/>
      <c r="Q125" s="59"/>
      <c r="R125" s="59"/>
      <c r="S125" s="59"/>
      <c r="T125" s="59"/>
      <c r="U125" s="59"/>
      <c r="V125" s="59"/>
      <c r="W125" s="59"/>
      <c r="X125" s="59"/>
      <c r="Y125" s="59"/>
      <c r="Z125" s="59"/>
      <c r="AA125" s="59"/>
      <c r="AB125" s="59"/>
      <c r="AC125" s="59"/>
      <c r="AD125" s="59"/>
      <c r="AE125" s="59"/>
      <c r="AF125" s="59"/>
      <c r="AG125" s="59"/>
      <c r="AH125" s="59"/>
      <c r="AI125" s="59"/>
      <c r="AJ125" s="59"/>
      <c r="AK125" s="59"/>
      <c r="AL125" s="59"/>
      <c r="AM125" s="59"/>
      <c r="AN125" s="59"/>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c r="BU125" s="59"/>
      <c r="BV125" s="59"/>
      <c r="BW125" s="59"/>
      <c r="BX125" s="59"/>
      <c r="BY125" s="59"/>
      <c r="BZ125" s="59"/>
      <c r="CA125" s="59"/>
      <c r="CB125" s="59"/>
      <c r="CC125" s="59"/>
      <c r="CD125" s="59"/>
      <c r="CE125" s="59"/>
      <c r="CF125" s="59"/>
      <c r="CG125" s="59"/>
      <c r="CH125" s="59"/>
      <c r="CI125" s="59"/>
      <c r="CJ125" s="59"/>
      <c r="CK125" s="59"/>
      <c r="CL125" s="59"/>
      <c r="CM125" s="59"/>
      <c r="CN125" s="59"/>
      <c r="CO125" s="59"/>
      <c r="CP125" s="59"/>
      <c r="CQ125" s="59"/>
      <c r="CR125" s="59"/>
      <c r="CS125" s="59"/>
      <c r="CT125" s="59"/>
      <c r="CU125" s="59"/>
      <c r="CV125" s="59"/>
      <c r="CW125" s="59"/>
      <c r="CX125" s="59"/>
      <c r="CY125" s="59"/>
      <c r="CZ125" s="59"/>
      <c r="DA125" s="59"/>
      <c r="DB125" s="59"/>
      <c r="DC125" s="59"/>
      <c r="DD125" s="59"/>
      <c r="DE125" s="59"/>
      <c r="DF125" s="59"/>
      <c r="DG125" s="59"/>
      <c r="DH125" s="59"/>
      <c r="DI125" s="59"/>
      <c r="DJ125" s="59"/>
      <c r="DK125" s="59"/>
      <c r="DL125" s="59"/>
      <c r="DM125" s="59"/>
      <c r="DN125" s="59"/>
      <c r="DO125" s="59"/>
      <c r="DP125" s="59"/>
      <c r="DQ125" s="59"/>
      <c r="DR125" s="59"/>
      <c r="DS125" s="59"/>
      <c r="DT125" s="59"/>
      <c r="DU125" s="59"/>
      <c r="DV125" s="59"/>
      <c r="DW125" s="59"/>
      <c r="DX125" s="59"/>
      <c r="DY125" s="59"/>
      <c r="DZ125" s="59"/>
      <c r="EA125" s="59"/>
      <c r="EB125" s="59"/>
      <c r="EC125" s="59"/>
      <c r="ED125" s="59"/>
      <c r="EE125" s="59"/>
      <c r="EF125" s="59"/>
      <c r="EG125" s="59"/>
      <c r="EH125" s="59"/>
      <c r="EI125" s="59"/>
      <c r="EJ125" s="59"/>
      <c r="EK125" s="59"/>
      <c r="EL125" s="59"/>
      <c r="EM125" s="59"/>
      <c r="EN125" s="59"/>
      <c r="EO125" s="59"/>
      <c r="EP125" s="59"/>
      <c r="EQ125" s="59"/>
      <c r="ER125" s="59"/>
      <c r="ES125" s="59"/>
      <c r="ET125" s="59"/>
      <c r="EU125" s="59"/>
      <c r="EV125" s="59"/>
      <c r="EW125" s="59"/>
      <c r="EX125" s="59"/>
      <c r="EY125" s="59"/>
      <c r="EZ125" s="59"/>
      <c r="FA125" s="59"/>
      <c r="FB125" s="59"/>
      <c r="FC125" s="59"/>
      <c r="FD125" s="59"/>
      <c r="FE125" s="59"/>
      <c r="FF125" s="59"/>
      <c r="FG125" s="59"/>
      <c r="FH125" s="59"/>
      <c r="FI125" s="59"/>
      <c r="FJ125" s="59"/>
      <c r="FK125" s="59"/>
      <c r="FL125" s="59"/>
      <c r="FM125" s="59"/>
      <c r="FN125" s="59"/>
      <c r="FO125" s="59"/>
      <c r="FP125" s="59"/>
      <c r="FQ125" s="59"/>
      <c r="FR125" s="59"/>
      <c r="FS125" s="59"/>
      <c r="FT125" s="59"/>
      <c r="FU125" s="59"/>
      <c r="FV125" s="59"/>
      <c r="FW125" s="59"/>
      <c r="FX125" s="59"/>
      <c r="FY125" s="59"/>
      <c r="FZ125" s="59"/>
      <c r="GA125" s="59"/>
      <c r="GB125" s="59"/>
      <c r="GC125" s="59"/>
      <c r="GD125" s="59"/>
      <c r="GE125" s="59"/>
      <c r="GF125" s="59"/>
      <c r="GG125" s="59"/>
      <c r="GH125" s="59"/>
      <c r="GI125" s="59"/>
      <c r="GJ125" s="59"/>
      <c r="GK125" s="59"/>
      <c r="GL125" s="59"/>
      <c r="GM125" s="59"/>
      <c r="GN125" s="59"/>
    </row>
    <row r="126" spans="1:196" x14ac:dyDescent="0.3">
      <c r="A126" s="59"/>
      <c r="B126" s="59"/>
      <c r="C126" s="59"/>
      <c r="D126" s="59"/>
      <c r="E126" s="59"/>
      <c r="F126" s="59"/>
      <c r="G126" s="59"/>
      <c r="H126" s="59"/>
      <c r="I126" s="59"/>
      <c r="J126" s="59"/>
      <c r="K126" s="59"/>
      <c r="L126" s="59"/>
      <c r="M126" s="59"/>
      <c r="N126" s="59"/>
      <c r="O126" s="59"/>
      <c r="P126" s="59"/>
      <c r="Q126" s="59"/>
      <c r="R126" s="59"/>
      <c r="S126" s="59"/>
      <c r="T126" s="59"/>
      <c r="U126" s="59"/>
      <c r="V126" s="59"/>
      <c r="W126" s="59"/>
      <c r="X126" s="59"/>
      <c r="Y126" s="59"/>
      <c r="Z126" s="59"/>
      <c r="AA126" s="59"/>
      <c r="AB126" s="59"/>
      <c r="AC126" s="59"/>
      <c r="AD126" s="59"/>
      <c r="AE126" s="59"/>
      <c r="AF126" s="59"/>
      <c r="AG126" s="59"/>
      <c r="AH126" s="59"/>
      <c r="AI126" s="59"/>
      <c r="AJ126" s="59"/>
      <c r="AK126" s="59"/>
      <c r="AL126" s="59"/>
      <c r="AM126" s="59"/>
      <c r="AN126" s="59"/>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c r="BU126" s="59"/>
      <c r="BV126" s="59"/>
      <c r="BW126" s="59"/>
      <c r="BX126" s="59"/>
      <c r="BY126" s="59"/>
      <c r="BZ126" s="59"/>
      <c r="CA126" s="59"/>
      <c r="CB126" s="59"/>
      <c r="CC126" s="59"/>
      <c r="CD126" s="59"/>
      <c r="CE126" s="59"/>
      <c r="CF126" s="59"/>
      <c r="CG126" s="59"/>
      <c r="CH126" s="59"/>
      <c r="CI126" s="59"/>
      <c r="CJ126" s="59"/>
      <c r="CK126" s="59"/>
      <c r="CL126" s="59"/>
      <c r="CM126" s="59"/>
      <c r="CN126" s="59"/>
      <c r="CO126" s="59"/>
      <c r="CP126" s="59"/>
      <c r="CQ126" s="59"/>
      <c r="CR126" s="59"/>
      <c r="CS126" s="59"/>
      <c r="CT126" s="59"/>
      <c r="CU126" s="59"/>
      <c r="CV126" s="59"/>
      <c r="CW126" s="59"/>
      <c r="CX126" s="59"/>
      <c r="CY126" s="59"/>
      <c r="CZ126" s="59"/>
      <c r="DA126" s="59"/>
      <c r="DB126" s="59"/>
      <c r="DC126" s="59"/>
      <c r="DD126" s="59"/>
      <c r="DE126" s="59"/>
      <c r="DF126" s="59"/>
      <c r="DG126" s="59"/>
      <c r="DH126" s="59"/>
      <c r="DI126" s="59"/>
      <c r="DJ126" s="59"/>
      <c r="DK126" s="59"/>
      <c r="DL126" s="59"/>
      <c r="DM126" s="59"/>
      <c r="DN126" s="59"/>
      <c r="DO126" s="59"/>
      <c r="DP126" s="59"/>
      <c r="DQ126" s="59"/>
      <c r="DR126" s="59"/>
      <c r="DS126" s="59"/>
      <c r="DT126" s="59"/>
      <c r="DU126" s="59"/>
      <c r="DV126" s="59"/>
      <c r="DW126" s="59"/>
      <c r="DX126" s="59"/>
      <c r="DY126" s="59"/>
      <c r="DZ126" s="59"/>
      <c r="EA126" s="59"/>
      <c r="EB126" s="59"/>
      <c r="EC126" s="59"/>
      <c r="ED126" s="59"/>
      <c r="EE126" s="59"/>
      <c r="EF126" s="59"/>
      <c r="EG126" s="59"/>
      <c r="EH126" s="59"/>
      <c r="EI126" s="59"/>
      <c r="EJ126" s="59"/>
      <c r="EK126" s="59"/>
      <c r="EL126" s="59"/>
      <c r="EM126" s="59"/>
      <c r="EN126" s="59"/>
      <c r="EO126" s="59"/>
      <c r="EP126" s="59"/>
      <c r="EQ126" s="59"/>
      <c r="ER126" s="59"/>
      <c r="ES126" s="59"/>
      <c r="ET126" s="59"/>
      <c r="EU126" s="59"/>
      <c r="EV126" s="59"/>
      <c r="EW126" s="59"/>
      <c r="EX126" s="59"/>
      <c r="EY126" s="59"/>
      <c r="EZ126" s="59"/>
      <c r="FA126" s="59"/>
      <c r="FB126" s="59"/>
      <c r="FC126" s="59"/>
      <c r="FD126" s="59"/>
      <c r="FE126" s="59"/>
      <c r="FF126" s="59"/>
      <c r="FG126" s="59"/>
      <c r="FH126" s="59"/>
      <c r="FI126" s="59"/>
      <c r="FJ126" s="59"/>
      <c r="FK126" s="59"/>
      <c r="FL126" s="59"/>
      <c r="FM126" s="59"/>
      <c r="FN126" s="59"/>
      <c r="FO126" s="59"/>
      <c r="FP126" s="59"/>
      <c r="FQ126" s="59"/>
      <c r="FR126" s="59"/>
      <c r="FS126" s="59"/>
      <c r="FT126" s="59"/>
      <c r="FU126" s="59"/>
      <c r="FV126" s="59"/>
      <c r="FW126" s="59"/>
      <c r="FX126" s="59"/>
      <c r="FY126" s="59"/>
      <c r="FZ126" s="59"/>
      <c r="GA126" s="59"/>
      <c r="GB126" s="59"/>
      <c r="GC126" s="59"/>
      <c r="GD126" s="59"/>
      <c r="GE126" s="59"/>
      <c r="GF126" s="59"/>
      <c r="GG126" s="59"/>
      <c r="GH126" s="59"/>
      <c r="GI126" s="59"/>
      <c r="GJ126" s="59"/>
      <c r="GK126" s="59"/>
      <c r="GL126" s="59"/>
      <c r="GM126" s="59"/>
      <c r="GN126" s="59"/>
    </row>
    <row r="127" spans="1:196" x14ac:dyDescent="0.3">
      <c r="A127" s="59"/>
      <c r="B127" s="59"/>
      <c r="C127" s="59"/>
      <c r="D127" s="59"/>
      <c r="E127" s="59"/>
      <c r="F127" s="59"/>
      <c r="G127" s="59"/>
      <c r="H127" s="59"/>
      <c r="I127" s="59"/>
      <c r="J127" s="59"/>
      <c r="K127" s="59"/>
      <c r="L127" s="59"/>
      <c r="M127" s="59"/>
      <c r="N127" s="59"/>
      <c r="O127" s="59"/>
      <c r="P127" s="59"/>
      <c r="Q127" s="59"/>
      <c r="R127" s="59"/>
      <c r="S127" s="59"/>
      <c r="T127" s="59"/>
      <c r="U127" s="59"/>
      <c r="V127" s="59"/>
      <c r="W127" s="59"/>
      <c r="X127" s="59"/>
      <c r="Y127" s="59"/>
      <c r="Z127" s="59"/>
      <c r="AA127" s="59"/>
      <c r="AB127" s="59"/>
      <c r="AC127" s="59"/>
      <c r="AD127" s="59"/>
      <c r="AE127" s="59"/>
      <c r="AF127" s="59"/>
      <c r="AG127" s="59"/>
      <c r="AH127" s="59"/>
      <c r="AI127" s="59"/>
      <c r="AJ127" s="59"/>
      <c r="AK127" s="59"/>
      <c r="AL127" s="59"/>
      <c r="AM127" s="59"/>
      <c r="AN127" s="59"/>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c r="BU127" s="59"/>
      <c r="BV127" s="59"/>
      <c r="BW127" s="59"/>
      <c r="BX127" s="59"/>
      <c r="BY127" s="59"/>
      <c r="BZ127" s="59"/>
      <c r="CA127" s="59"/>
      <c r="CB127" s="59"/>
      <c r="CC127" s="59"/>
      <c r="CD127" s="59"/>
      <c r="CE127" s="59"/>
      <c r="CF127" s="59"/>
      <c r="CG127" s="59"/>
      <c r="CH127" s="59"/>
      <c r="CI127" s="59"/>
      <c r="CJ127" s="59"/>
      <c r="CK127" s="59"/>
      <c r="CL127" s="59"/>
      <c r="CM127" s="59"/>
      <c r="CN127" s="59"/>
      <c r="CO127" s="59"/>
      <c r="CP127" s="59"/>
      <c r="CQ127" s="59"/>
      <c r="CR127" s="59"/>
      <c r="CS127" s="59"/>
      <c r="CT127" s="59"/>
      <c r="CU127" s="59"/>
      <c r="CV127" s="59"/>
      <c r="CW127" s="59"/>
      <c r="CX127" s="59"/>
      <c r="CY127" s="59"/>
      <c r="CZ127" s="59"/>
      <c r="DA127" s="59"/>
      <c r="DB127" s="59"/>
      <c r="DC127" s="59"/>
      <c r="DD127" s="59"/>
      <c r="DE127" s="59"/>
      <c r="DF127" s="59"/>
      <c r="DG127" s="59"/>
      <c r="DH127" s="59"/>
      <c r="DI127" s="59"/>
      <c r="DJ127" s="59"/>
      <c r="DK127" s="59"/>
      <c r="DL127" s="59"/>
      <c r="DM127" s="59"/>
      <c r="DN127" s="59"/>
      <c r="DO127" s="59"/>
      <c r="DP127" s="59"/>
      <c r="DQ127" s="59"/>
      <c r="DR127" s="59"/>
      <c r="DS127" s="59"/>
      <c r="DT127" s="59"/>
      <c r="DU127" s="59"/>
      <c r="DV127" s="59"/>
      <c r="DW127" s="59"/>
      <c r="DX127" s="59"/>
      <c r="DY127" s="59"/>
      <c r="DZ127" s="59"/>
      <c r="EA127" s="59"/>
      <c r="EB127" s="59"/>
      <c r="EC127" s="59"/>
      <c r="ED127" s="59"/>
      <c r="EE127" s="59"/>
      <c r="EF127" s="59"/>
      <c r="EG127" s="59"/>
      <c r="EH127" s="59"/>
      <c r="EI127" s="59"/>
      <c r="EJ127" s="59"/>
      <c r="EK127" s="59"/>
      <c r="EL127" s="59"/>
      <c r="EM127" s="59"/>
      <c r="EN127" s="59"/>
      <c r="EO127" s="59"/>
      <c r="EP127" s="59"/>
      <c r="EQ127" s="59"/>
      <c r="ER127" s="59"/>
      <c r="ES127" s="59"/>
      <c r="ET127" s="59"/>
      <c r="EU127" s="59"/>
      <c r="EV127" s="59"/>
      <c r="EW127" s="59"/>
      <c r="EX127" s="59"/>
      <c r="EY127" s="59"/>
      <c r="EZ127" s="59"/>
      <c r="FA127" s="59"/>
      <c r="FB127" s="59"/>
      <c r="FC127" s="59"/>
      <c r="FD127" s="59"/>
      <c r="FE127" s="59"/>
      <c r="FF127" s="59"/>
      <c r="FG127" s="59"/>
      <c r="FH127" s="59"/>
      <c r="FI127" s="59"/>
      <c r="FJ127" s="59"/>
      <c r="FK127" s="59"/>
      <c r="FL127" s="59"/>
      <c r="FM127" s="59"/>
      <c r="FN127" s="59"/>
      <c r="FO127" s="59"/>
      <c r="FP127" s="59"/>
      <c r="FQ127" s="59"/>
      <c r="FR127" s="59"/>
      <c r="FS127" s="59"/>
      <c r="FT127" s="59"/>
      <c r="FU127" s="59"/>
      <c r="FV127" s="59"/>
      <c r="FW127" s="59"/>
      <c r="FX127" s="59"/>
      <c r="FY127" s="59"/>
      <c r="FZ127" s="59"/>
      <c r="GA127" s="59"/>
      <c r="GB127" s="59"/>
      <c r="GC127" s="59"/>
      <c r="GD127" s="59"/>
      <c r="GE127" s="59"/>
      <c r="GF127" s="59"/>
      <c r="GG127" s="59"/>
      <c r="GH127" s="59"/>
      <c r="GI127" s="59"/>
      <c r="GJ127" s="59"/>
      <c r="GK127" s="59"/>
      <c r="GL127" s="59"/>
      <c r="GM127" s="59"/>
      <c r="GN127" s="59"/>
    </row>
    <row r="128" spans="1:196" x14ac:dyDescent="0.3">
      <c r="A128" s="59"/>
      <c r="B128" s="59"/>
      <c r="C128" s="59"/>
      <c r="D128" s="59"/>
      <c r="E128" s="59"/>
      <c r="F128" s="59"/>
      <c r="G128" s="59"/>
      <c r="H128" s="59"/>
      <c r="I128" s="59"/>
      <c r="J128" s="59"/>
      <c r="K128" s="59"/>
      <c r="L128" s="59"/>
      <c r="M128" s="59"/>
      <c r="N128" s="59"/>
      <c r="O128" s="59"/>
      <c r="P128" s="59"/>
      <c r="Q128" s="59"/>
      <c r="R128" s="59"/>
      <c r="S128" s="59"/>
      <c r="T128" s="59"/>
      <c r="U128" s="59"/>
      <c r="V128" s="59"/>
      <c r="W128" s="59"/>
      <c r="X128" s="59"/>
      <c r="Y128" s="59"/>
      <c r="Z128" s="59"/>
      <c r="AA128" s="59"/>
      <c r="AB128" s="59"/>
      <c r="AC128" s="59"/>
      <c r="AD128" s="59"/>
      <c r="AE128" s="59"/>
      <c r="AF128" s="59"/>
      <c r="AG128" s="59"/>
      <c r="AH128" s="59"/>
      <c r="AI128" s="59"/>
      <c r="AJ128" s="59"/>
      <c r="AK128" s="59"/>
      <c r="AL128" s="59"/>
      <c r="AM128" s="59"/>
      <c r="AN128" s="59"/>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c r="BU128" s="59"/>
      <c r="BV128" s="59"/>
      <c r="BW128" s="59"/>
      <c r="BX128" s="59"/>
      <c r="BY128" s="59"/>
      <c r="BZ128" s="59"/>
      <c r="CA128" s="59"/>
      <c r="CB128" s="59"/>
      <c r="CC128" s="59"/>
      <c r="CD128" s="59"/>
      <c r="CE128" s="59"/>
      <c r="CF128" s="59"/>
      <c r="CG128" s="59"/>
      <c r="CH128" s="59"/>
      <c r="CI128" s="59"/>
      <c r="CJ128" s="59"/>
      <c r="CK128" s="59"/>
      <c r="CL128" s="59"/>
      <c r="CM128" s="59"/>
      <c r="CN128" s="59"/>
      <c r="CO128" s="59"/>
      <c r="CP128" s="59"/>
      <c r="CQ128" s="59"/>
      <c r="CR128" s="59"/>
      <c r="CS128" s="59"/>
      <c r="CT128" s="59"/>
      <c r="CU128" s="59"/>
      <c r="CV128" s="59"/>
      <c r="CW128" s="59"/>
      <c r="CX128" s="59"/>
      <c r="CY128" s="59"/>
      <c r="CZ128" s="59"/>
      <c r="DA128" s="59"/>
      <c r="DB128" s="59"/>
      <c r="DC128" s="59"/>
      <c r="DD128" s="59"/>
      <c r="DE128" s="59"/>
      <c r="DF128" s="59"/>
      <c r="DG128" s="59"/>
      <c r="DH128" s="59"/>
      <c r="DI128" s="59"/>
      <c r="DJ128" s="59"/>
      <c r="DK128" s="59"/>
      <c r="DL128" s="59"/>
      <c r="DM128" s="59"/>
      <c r="DN128" s="59"/>
      <c r="DO128" s="59"/>
      <c r="DP128" s="59"/>
      <c r="DQ128" s="59"/>
      <c r="DR128" s="59"/>
      <c r="DS128" s="59"/>
      <c r="DT128" s="59"/>
      <c r="DU128" s="59"/>
      <c r="DV128" s="59"/>
      <c r="DW128" s="59"/>
      <c r="DX128" s="59"/>
      <c r="DY128" s="59"/>
      <c r="DZ128" s="59"/>
      <c r="EA128" s="59"/>
      <c r="EB128" s="59"/>
      <c r="EC128" s="59"/>
      <c r="ED128" s="59"/>
      <c r="EE128" s="59"/>
      <c r="EF128" s="59"/>
      <c r="EG128" s="59"/>
      <c r="EH128" s="59"/>
      <c r="EI128" s="59"/>
      <c r="EJ128" s="59"/>
      <c r="EK128" s="59"/>
      <c r="EL128" s="59"/>
      <c r="EM128" s="59"/>
      <c r="EN128" s="59"/>
      <c r="EO128" s="59"/>
      <c r="EP128" s="59"/>
      <c r="EQ128" s="59"/>
      <c r="ER128" s="59"/>
      <c r="ES128" s="59"/>
      <c r="ET128" s="59"/>
      <c r="EU128" s="59"/>
      <c r="EV128" s="59"/>
      <c r="EW128" s="59"/>
      <c r="EX128" s="59"/>
      <c r="EY128" s="59"/>
      <c r="EZ128" s="59"/>
      <c r="FA128" s="59"/>
      <c r="FB128" s="59"/>
      <c r="FC128" s="59"/>
      <c r="FD128" s="59"/>
      <c r="FE128" s="59"/>
      <c r="FF128" s="59"/>
      <c r="FG128" s="59"/>
      <c r="FH128" s="59"/>
      <c r="FI128" s="59"/>
      <c r="FJ128" s="59"/>
      <c r="FK128" s="59"/>
      <c r="FL128" s="59"/>
      <c r="FM128" s="59"/>
      <c r="FN128" s="59"/>
      <c r="FO128" s="59"/>
      <c r="FP128" s="59"/>
      <c r="FQ128" s="59"/>
      <c r="FR128" s="59"/>
      <c r="FS128" s="59"/>
      <c r="FT128" s="59"/>
      <c r="FU128" s="59"/>
      <c r="FV128" s="59"/>
      <c r="FW128" s="59"/>
      <c r="FX128" s="59"/>
      <c r="FY128" s="59"/>
      <c r="FZ128" s="59"/>
      <c r="GA128" s="59"/>
      <c r="GB128" s="59"/>
      <c r="GC128" s="59"/>
      <c r="GD128" s="59"/>
      <c r="GE128" s="59"/>
      <c r="GF128" s="59"/>
      <c r="GG128" s="59"/>
      <c r="GH128" s="59"/>
      <c r="GI128" s="59"/>
      <c r="GJ128" s="59"/>
      <c r="GK128" s="59"/>
      <c r="GL128" s="59"/>
      <c r="GM128" s="59"/>
      <c r="GN128" s="59"/>
    </row>
    <row r="129" spans="1:196" x14ac:dyDescent="0.3">
      <c r="A129" s="59"/>
      <c r="B129" s="59"/>
      <c r="C129" s="59"/>
      <c r="D129" s="59"/>
      <c r="E129" s="59"/>
      <c r="F129" s="59"/>
      <c r="G129" s="59"/>
      <c r="H129" s="59"/>
      <c r="I129" s="59"/>
      <c r="J129" s="59"/>
      <c r="K129" s="59"/>
      <c r="L129" s="59"/>
      <c r="M129" s="59"/>
      <c r="N129" s="59"/>
      <c r="O129" s="59"/>
      <c r="P129" s="59"/>
      <c r="Q129" s="59"/>
      <c r="R129" s="59"/>
      <c r="S129" s="59"/>
      <c r="T129" s="59"/>
      <c r="U129" s="59"/>
      <c r="V129" s="59"/>
      <c r="W129" s="59"/>
      <c r="X129" s="59"/>
      <c r="Y129" s="59"/>
      <c r="Z129" s="59"/>
      <c r="AA129" s="59"/>
      <c r="AB129" s="59"/>
      <c r="AC129" s="59"/>
      <c r="AD129" s="59"/>
      <c r="AE129" s="59"/>
      <c r="AF129" s="59"/>
      <c r="AG129" s="59"/>
      <c r="AH129" s="59"/>
      <c r="AI129" s="59"/>
      <c r="AJ129" s="59"/>
      <c r="AK129" s="59"/>
      <c r="AL129" s="59"/>
      <c r="AM129" s="59"/>
      <c r="AN129" s="59"/>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c r="BU129" s="59"/>
      <c r="BV129" s="59"/>
      <c r="BW129" s="59"/>
      <c r="BX129" s="59"/>
      <c r="BY129" s="59"/>
      <c r="BZ129" s="59"/>
      <c r="CA129" s="59"/>
      <c r="CB129" s="59"/>
      <c r="CC129" s="59"/>
      <c r="CD129" s="59"/>
      <c r="CE129" s="59"/>
      <c r="CF129" s="59"/>
      <c r="CG129" s="59"/>
      <c r="CH129" s="59"/>
      <c r="CI129" s="59"/>
      <c r="CJ129" s="59"/>
      <c r="CK129" s="59"/>
      <c r="CL129" s="59"/>
      <c r="CM129" s="59"/>
      <c r="CN129" s="59"/>
      <c r="CO129" s="59"/>
      <c r="CP129" s="59"/>
      <c r="CQ129" s="59"/>
      <c r="CR129" s="59"/>
      <c r="CS129" s="59"/>
      <c r="CT129" s="59"/>
      <c r="CU129" s="59"/>
      <c r="CV129" s="59"/>
      <c r="CW129" s="59"/>
      <c r="CX129" s="59"/>
      <c r="CY129" s="59"/>
      <c r="CZ129" s="59"/>
      <c r="DA129" s="59"/>
      <c r="DB129" s="59"/>
      <c r="DC129" s="59"/>
      <c r="DD129" s="59"/>
      <c r="DE129" s="59"/>
      <c r="DF129" s="59"/>
      <c r="DG129" s="59"/>
      <c r="DH129" s="59"/>
      <c r="DI129" s="59"/>
      <c r="DJ129" s="59"/>
      <c r="DK129" s="59"/>
      <c r="DL129" s="59"/>
      <c r="DM129" s="59"/>
      <c r="DN129" s="59"/>
      <c r="DO129" s="59"/>
      <c r="DP129" s="59"/>
      <c r="DQ129" s="59"/>
      <c r="DR129" s="59"/>
      <c r="DS129" s="59"/>
      <c r="DT129" s="59"/>
      <c r="DU129" s="59"/>
      <c r="DV129" s="59"/>
      <c r="DW129" s="59"/>
      <c r="DX129" s="59"/>
      <c r="DY129" s="59"/>
      <c r="DZ129" s="59"/>
      <c r="EA129" s="59"/>
      <c r="EB129" s="59"/>
      <c r="EC129" s="59"/>
      <c r="ED129" s="59"/>
      <c r="EE129" s="59"/>
      <c r="EF129" s="59"/>
      <c r="EG129" s="59"/>
      <c r="EH129" s="59"/>
      <c r="EI129" s="59"/>
      <c r="EJ129" s="59"/>
      <c r="EK129" s="59"/>
      <c r="EL129" s="59"/>
      <c r="EM129" s="59"/>
      <c r="EN129" s="59"/>
      <c r="EO129" s="59"/>
      <c r="EP129" s="59"/>
      <c r="EQ129" s="59"/>
      <c r="ER129" s="59"/>
      <c r="ES129" s="59"/>
      <c r="ET129" s="59"/>
      <c r="EU129" s="59"/>
      <c r="EV129" s="59"/>
      <c r="EW129" s="59"/>
      <c r="EX129" s="59"/>
      <c r="EY129" s="59"/>
      <c r="EZ129" s="59"/>
      <c r="FA129" s="59"/>
      <c r="FB129" s="59"/>
      <c r="FC129" s="59"/>
      <c r="FD129" s="59"/>
      <c r="FE129" s="59"/>
      <c r="FF129" s="59"/>
      <c r="FG129" s="59"/>
      <c r="FH129" s="59"/>
      <c r="FI129" s="59"/>
      <c r="FJ129" s="59"/>
      <c r="FK129" s="59"/>
      <c r="FL129" s="59"/>
      <c r="FM129" s="59"/>
      <c r="FN129" s="59"/>
      <c r="FO129" s="59"/>
      <c r="FP129" s="59"/>
      <c r="FQ129" s="59"/>
      <c r="FR129" s="59"/>
      <c r="FS129" s="59"/>
      <c r="FT129" s="59"/>
      <c r="FU129" s="59"/>
      <c r="FV129" s="59"/>
      <c r="FW129" s="59"/>
      <c r="FX129" s="59"/>
      <c r="FY129" s="59"/>
      <c r="FZ129" s="59"/>
      <c r="GA129" s="59"/>
      <c r="GB129" s="59"/>
      <c r="GC129" s="59"/>
      <c r="GD129" s="59"/>
      <c r="GE129" s="59"/>
      <c r="GF129" s="59"/>
      <c r="GG129" s="59"/>
      <c r="GH129" s="59"/>
      <c r="GI129" s="59"/>
      <c r="GJ129" s="59"/>
      <c r="GK129" s="59"/>
      <c r="GL129" s="59"/>
      <c r="GM129" s="59"/>
      <c r="GN129" s="59"/>
    </row>
    <row r="130" spans="1:196" x14ac:dyDescent="0.3">
      <c r="A130" s="59"/>
      <c r="B130" s="59"/>
      <c r="C130" s="59"/>
      <c r="D130" s="59"/>
      <c r="E130" s="59"/>
      <c r="F130" s="59"/>
      <c r="G130" s="59"/>
      <c r="H130" s="59"/>
      <c r="I130" s="59"/>
      <c r="J130" s="59"/>
      <c r="K130" s="59"/>
      <c r="L130" s="59"/>
      <c r="M130" s="59"/>
      <c r="N130" s="59"/>
      <c r="O130" s="59"/>
      <c r="P130" s="59"/>
      <c r="Q130" s="59"/>
      <c r="R130" s="59"/>
      <c r="S130" s="59"/>
      <c r="T130" s="59"/>
      <c r="U130" s="59"/>
      <c r="V130" s="59"/>
      <c r="W130" s="59"/>
      <c r="X130" s="59"/>
      <c r="Y130" s="59"/>
      <c r="Z130" s="59"/>
      <c r="AA130" s="59"/>
      <c r="AB130" s="59"/>
      <c r="AC130" s="59"/>
      <c r="AD130" s="59"/>
      <c r="AE130" s="59"/>
      <c r="AF130" s="59"/>
      <c r="AG130" s="59"/>
      <c r="AH130" s="59"/>
      <c r="AI130" s="59"/>
      <c r="AJ130" s="59"/>
      <c r="AK130" s="59"/>
      <c r="AL130" s="59"/>
      <c r="AM130" s="59"/>
      <c r="AN130" s="59"/>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c r="BU130" s="59"/>
      <c r="BV130" s="59"/>
      <c r="BW130" s="59"/>
      <c r="BX130" s="59"/>
      <c r="BY130" s="59"/>
      <c r="BZ130" s="59"/>
      <c r="CA130" s="59"/>
      <c r="CB130" s="59"/>
      <c r="CC130" s="59"/>
      <c r="CD130" s="59"/>
      <c r="CE130" s="59"/>
      <c r="CF130" s="59"/>
      <c r="CG130" s="59"/>
      <c r="CH130" s="59"/>
      <c r="CI130" s="59"/>
      <c r="CJ130" s="59"/>
      <c r="CK130" s="59"/>
      <c r="CL130" s="59"/>
      <c r="CM130" s="59"/>
      <c r="CN130" s="59"/>
      <c r="CO130" s="59"/>
      <c r="CP130" s="59"/>
      <c r="CQ130" s="59"/>
      <c r="CR130" s="59"/>
      <c r="CS130" s="59"/>
      <c r="CT130" s="59"/>
      <c r="CU130" s="59"/>
      <c r="CV130" s="59"/>
      <c r="CW130" s="59"/>
      <c r="CX130" s="59"/>
      <c r="CY130" s="59"/>
      <c r="CZ130" s="59"/>
      <c r="DA130" s="59"/>
      <c r="DB130" s="59"/>
      <c r="DC130" s="59"/>
      <c r="DD130" s="59"/>
      <c r="DE130" s="59"/>
      <c r="DF130" s="59"/>
      <c r="DG130" s="59"/>
      <c r="DH130" s="59"/>
      <c r="DI130" s="59"/>
      <c r="DJ130" s="59"/>
      <c r="DK130" s="59"/>
      <c r="DL130" s="59"/>
      <c r="DM130" s="59"/>
      <c r="DN130" s="59"/>
      <c r="DO130" s="59"/>
      <c r="DP130" s="59"/>
      <c r="DQ130" s="59"/>
      <c r="DR130" s="59"/>
      <c r="DS130" s="59"/>
      <c r="DT130" s="59"/>
      <c r="DU130" s="59"/>
      <c r="DV130" s="59"/>
      <c r="DW130" s="59"/>
      <c r="DX130" s="59"/>
      <c r="DY130" s="59"/>
      <c r="DZ130" s="59"/>
      <c r="EA130" s="59"/>
      <c r="EB130" s="59"/>
      <c r="EC130" s="59"/>
      <c r="ED130" s="59"/>
      <c r="EE130" s="59"/>
      <c r="EF130" s="59"/>
      <c r="EG130" s="59"/>
      <c r="EH130" s="59"/>
      <c r="EI130" s="59"/>
      <c r="EJ130" s="59"/>
      <c r="EK130" s="59"/>
      <c r="EL130" s="59"/>
      <c r="EM130" s="59"/>
      <c r="EN130" s="59"/>
      <c r="EO130" s="59"/>
      <c r="EP130" s="59"/>
      <c r="EQ130" s="59"/>
      <c r="ER130" s="59"/>
      <c r="ES130" s="59"/>
      <c r="ET130" s="59"/>
      <c r="EU130" s="59"/>
      <c r="EV130" s="59"/>
      <c r="EW130" s="59"/>
      <c r="EX130" s="59"/>
      <c r="EY130" s="59"/>
      <c r="EZ130" s="59"/>
      <c r="FA130" s="59"/>
      <c r="FB130" s="59"/>
      <c r="FC130" s="59"/>
      <c r="FD130" s="59"/>
      <c r="FE130" s="59"/>
      <c r="FF130" s="59"/>
      <c r="FG130" s="59"/>
      <c r="FH130" s="59"/>
      <c r="FI130" s="59"/>
      <c r="FJ130" s="59"/>
      <c r="FK130" s="59"/>
      <c r="FL130" s="59"/>
      <c r="FM130" s="59"/>
      <c r="FN130" s="59"/>
      <c r="FO130" s="59"/>
      <c r="FP130" s="59"/>
      <c r="FQ130" s="59"/>
      <c r="FR130" s="59"/>
      <c r="FS130" s="59"/>
      <c r="FT130" s="59"/>
      <c r="FU130" s="59"/>
      <c r="FV130" s="59"/>
      <c r="FW130" s="59"/>
      <c r="FX130" s="59"/>
      <c r="FY130" s="59"/>
      <c r="FZ130" s="59"/>
      <c r="GA130" s="59"/>
      <c r="GB130" s="59"/>
      <c r="GC130" s="59"/>
      <c r="GD130" s="59"/>
      <c r="GE130" s="59"/>
      <c r="GF130" s="59"/>
      <c r="GG130" s="59"/>
      <c r="GH130" s="59"/>
      <c r="GI130" s="59"/>
      <c r="GJ130" s="59"/>
      <c r="GK130" s="59"/>
      <c r="GL130" s="59"/>
      <c r="GM130" s="59"/>
      <c r="GN130" s="59"/>
    </row>
    <row r="131" spans="1:196" x14ac:dyDescent="0.3">
      <c r="A131" s="59"/>
      <c r="B131" s="59"/>
      <c r="C131" s="59"/>
      <c r="D131" s="59"/>
      <c r="E131" s="59"/>
      <c r="F131" s="59"/>
      <c r="G131" s="59"/>
      <c r="H131" s="59"/>
      <c r="I131" s="59"/>
      <c r="J131" s="59"/>
      <c r="K131" s="59"/>
      <c r="L131" s="59"/>
      <c r="M131" s="59"/>
      <c r="N131" s="59"/>
      <c r="O131" s="59"/>
      <c r="P131" s="59"/>
      <c r="Q131" s="59"/>
      <c r="R131" s="59"/>
      <c r="S131" s="59"/>
      <c r="T131" s="59"/>
      <c r="U131" s="59"/>
      <c r="V131" s="59"/>
      <c r="W131" s="59"/>
      <c r="X131" s="59"/>
      <c r="Y131" s="59"/>
      <c r="Z131" s="59"/>
      <c r="AA131" s="59"/>
      <c r="AB131" s="59"/>
      <c r="AC131" s="59"/>
      <c r="AD131" s="59"/>
      <c r="AE131" s="59"/>
      <c r="AF131" s="59"/>
      <c r="AG131" s="59"/>
      <c r="AH131" s="59"/>
      <c r="AI131" s="59"/>
      <c r="AJ131" s="59"/>
      <c r="AK131" s="59"/>
      <c r="AL131" s="59"/>
      <c r="AM131" s="59"/>
      <c r="AN131" s="59"/>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c r="BU131" s="59"/>
      <c r="BV131" s="59"/>
      <c r="BW131" s="59"/>
      <c r="BX131" s="59"/>
      <c r="BY131" s="59"/>
      <c r="BZ131" s="59"/>
      <c r="CA131" s="59"/>
      <c r="CB131" s="59"/>
      <c r="CC131" s="59"/>
      <c r="CD131" s="59"/>
      <c r="CE131" s="59"/>
      <c r="CF131" s="59"/>
      <c r="CG131" s="59"/>
      <c r="CH131" s="59"/>
      <c r="CI131" s="59"/>
      <c r="CJ131" s="59"/>
      <c r="CK131" s="59"/>
      <c r="CL131" s="59"/>
      <c r="CM131" s="59"/>
      <c r="CN131" s="59"/>
      <c r="CO131" s="59"/>
      <c r="CP131" s="59"/>
      <c r="CQ131" s="59"/>
      <c r="CR131" s="59"/>
      <c r="CS131" s="59"/>
      <c r="CT131" s="59"/>
      <c r="CU131" s="59"/>
      <c r="CV131" s="59"/>
      <c r="CW131" s="59"/>
      <c r="CX131" s="59"/>
      <c r="CY131" s="59"/>
      <c r="CZ131" s="59"/>
      <c r="DA131" s="59"/>
      <c r="DB131" s="59"/>
      <c r="DC131" s="59"/>
      <c r="DD131" s="59"/>
      <c r="DE131" s="59"/>
      <c r="DF131" s="59"/>
      <c r="DG131" s="59"/>
      <c r="DH131" s="59"/>
      <c r="DI131" s="59"/>
      <c r="DJ131" s="59"/>
      <c r="DK131" s="59"/>
      <c r="DL131" s="59"/>
      <c r="DM131" s="59"/>
      <c r="DN131" s="59"/>
      <c r="DO131" s="59"/>
      <c r="DP131" s="59"/>
      <c r="DQ131" s="59"/>
      <c r="DR131" s="59"/>
      <c r="DS131" s="59"/>
      <c r="DT131" s="59"/>
      <c r="DU131" s="59"/>
      <c r="DV131" s="59"/>
      <c r="DW131" s="59"/>
      <c r="DX131" s="59"/>
      <c r="DY131" s="59"/>
      <c r="DZ131" s="59"/>
      <c r="EA131" s="59"/>
      <c r="EB131" s="59"/>
      <c r="EC131" s="59"/>
      <c r="ED131" s="59"/>
      <c r="EE131" s="59"/>
      <c r="EF131" s="59"/>
      <c r="EG131" s="59"/>
      <c r="EH131" s="59"/>
      <c r="EI131" s="59"/>
      <c r="EJ131" s="59"/>
      <c r="EK131" s="59"/>
      <c r="EL131" s="59"/>
      <c r="EM131" s="59"/>
      <c r="EN131" s="59"/>
      <c r="EO131" s="59"/>
      <c r="EP131" s="59"/>
      <c r="EQ131" s="59"/>
      <c r="ER131" s="59"/>
      <c r="ES131" s="59"/>
      <c r="ET131" s="59"/>
      <c r="EU131" s="59"/>
      <c r="EV131" s="59"/>
      <c r="EW131" s="59"/>
      <c r="EX131" s="59"/>
      <c r="EY131" s="59"/>
      <c r="EZ131" s="59"/>
      <c r="FA131" s="59"/>
      <c r="FB131" s="59"/>
      <c r="FC131" s="59"/>
      <c r="FD131" s="59"/>
      <c r="FE131" s="59"/>
      <c r="FF131" s="59"/>
      <c r="FG131" s="59"/>
      <c r="FH131" s="59"/>
      <c r="FI131" s="59"/>
      <c r="FJ131" s="59"/>
      <c r="FK131" s="59"/>
      <c r="FL131" s="59"/>
      <c r="FM131" s="59"/>
      <c r="FN131" s="59"/>
      <c r="FO131" s="59"/>
      <c r="FP131" s="59"/>
      <c r="FQ131" s="59"/>
      <c r="FR131" s="59"/>
      <c r="FS131" s="59"/>
      <c r="FT131" s="59"/>
      <c r="FU131" s="59"/>
      <c r="FV131" s="59"/>
      <c r="FW131" s="59"/>
      <c r="FX131" s="59"/>
      <c r="FY131" s="59"/>
      <c r="FZ131" s="59"/>
      <c r="GA131" s="59"/>
      <c r="GB131" s="59"/>
      <c r="GC131" s="59"/>
      <c r="GD131" s="59"/>
      <c r="GE131" s="59"/>
      <c r="GF131" s="59"/>
      <c r="GG131" s="59"/>
      <c r="GH131" s="59"/>
      <c r="GI131" s="59"/>
      <c r="GJ131" s="59"/>
      <c r="GK131" s="59"/>
      <c r="GL131" s="59"/>
      <c r="GM131" s="59"/>
      <c r="GN131" s="59"/>
    </row>
    <row r="132" spans="1:196" x14ac:dyDescent="0.3">
      <c r="A132" s="59"/>
      <c r="B132" s="59"/>
      <c r="C132" s="59"/>
      <c r="D132" s="59"/>
      <c r="E132" s="59"/>
      <c r="F132" s="59"/>
      <c r="G132" s="59"/>
      <c r="H132" s="59"/>
      <c r="I132" s="59"/>
      <c r="J132" s="59"/>
      <c r="K132" s="59"/>
      <c r="L132" s="59"/>
      <c r="M132" s="59"/>
      <c r="N132" s="59"/>
      <c r="O132" s="59"/>
      <c r="P132" s="59"/>
      <c r="Q132" s="59"/>
      <c r="R132" s="59"/>
      <c r="S132" s="59"/>
      <c r="T132" s="59"/>
      <c r="U132" s="59"/>
      <c r="V132" s="59"/>
      <c r="W132" s="59"/>
      <c r="X132" s="59"/>
      <c r="Y132" s="59"/>
      <c r="Z132" s="59"/>
      <c r="AA132" s="59"/>
      <c r="AB132" s="59"/>
      <c r="AC132" s="59"/>
      <c r="AD132" s="59"/>
      <c r="AE132" s="59"/>
      <c r="AF132" s="59"/>
      <c r="AG132" s="59"/>
      <c r="AH132" s="59"/>
      <c r="AI132" s="59"/>
      <c r="AJ132" s="59"/>
      <c r="AK132" s="59"/>
      <c r="AL132" s="59"/>
      <c r="AM132" s="59"/>
      <c r="AN132" s="59"/>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c r="BU132" s="59"/>
      <c r="BV132" s="59"/>
      <c r="BW132" s="59"/>
      <c r="BX132" s="59"/>
      <c r="BY132" s="59"/>
      <c r="BZ132" s="59"/>
      <c r="CA132" s="59"/>
      <c r="CB132" s="59"/>
      <c r="CC132" s="59"/>
      <c r="CD132" s="59"/>
      <c r="CE132" s="59"/>
      <c r="CF132" s="59"/>
      <c r="CG132" s="59"/>
      <c r="CH132" s="59"/>
      <c r="CI132" s="59"/>
      <c r="CJ132" s="59"/>
      <c r="CK132" s="59"/>
      <c r="CL132" s="59"/>
      <c r="CM132" s="59"/>
      <c r="CN132" s="59"/>
      <c r="CO132" s="59"/>
      <c r="CP132" s="59"/>
      <c r="CQ132" s="59"/>
      <c r="CR132" s="59"/>
      <c r="CS132" s="59"/>
      <c r="CT132" s="59"/>
      <c r="CU132" s="59"/>
      <c r="CV132" s="59"/>
      <c r="CW132" s="59"/>
      <c r="CX132" s="59"/>
      <c r="CY132" s="59"/>
      <c r="CZ132" s="59"/>
      <c r="DA132" s="59"/>
      <c r="DB132" s="59"/>
      <c r="DC132" s="59"/>
      <c r="DD132" s="59"/>
      <c r="DE132" s="59"/>
      <c r="DF132" s="59"/>
      <c r="DG132" s="59"/>
      <c r="DH132" s="59"/>
      <c r="DI132" s="59"/>
      <c r="DJ132" s="59"/>
      <c r="DK132" s="59"/>
      <c r="DL132" s="59"/>
      <c r="DM132" s="59"/>
      <c r="DN132" s="59"/>
      <c r="DO132" s="59"/>
      <c r="DP132" s="59"/>
      <c r="DQ132" s="59"/>
      <c r="DR132" s="59"/>
      <c r="DS132" s="59"/>
      <c r="DT132" s="59"/>
      <c r="DU132" s="59"/>
      <c r="DV132" s="59"/>
      <c r="DW132" s="59"/>
      <c r="DX132" s="59"/>
      <c r="DY132" s="59"/>
      <c r="DZ132" s="59"/>
      <c r="EA132" s="59"/>
      <c r="EB132" s="59"/>
      <c r="EC132" s="59"/>
      <c r="ED132" s="59"/>
      <c r="EE132" s="59"/>
      <c r="EF132" s="59"/>
      <c r="EG132" s="59"/>
      <c r="EH132" s="59"/>
      <c r="EI132" s="59"/>
      <c r="EJ132" s="59"/>
      <c r="EK132" s="59"/>
      <c r="EL132" s="59"/>
      <c r="EM132" s="59"/>
      <c r="EN132" s="59"/>
      <c r="EO132" s="59"/>
      <c r="EP132" s="59"/>
      <c r="EQ132" s="59"/>
      <c r="ER132" s="59"/>
      <c r="ES132" s="59"/>
      <c r="ET132" s="59"/>
      <c r="EU132" s="59"/>
      <c r="EV132" s="59"/>
      <c r="EW132" s="59"/>
      <c r="EX132" s="59"/>
      <c r="EY132" s="59"/>
      <c r="EZ132" s="59"/>
      <c r="FA132" s="59"/>
      <c r="FB132" s="59"/>
      <c r="FC132" s="59"/>
      <c r="FD132" s="59"/>
      <c r="FE132" s="59"/>
      <c r="FF132" s="59"/>
      <c r="FG132" s="59"/>
      <c r="FH132" s="59"/>
      <c r="FI132" s="59"/>
      <c r="FJ132" s="59"/>
      <c r="FK132" s="59"/>
      <c r="FL132" s="59"/>
      <c r="FM132" s="59"/>
      <c r="FN132" s="59"/>
      <c r="FO132" s="59"/>
      <c r="FP132" s="59"/>
      <c r="FQ132" s="59"/>
      <c r="FR132" s="59"/>
      <c r="FS132" s="59"/>
      <c r="FT132" s="59"/>
      <c r="FU132" s="59"/>
      <c r="FV132" s="59"/>
      <c r="FW132" s="59"/>
      <c r="FX132" s="59"/>
      <c r="FY132" s="59"/>
      <c r="FZ132" s="59"/>
      <c r="GA132" s="59"/>
      <c r="GB132" s="59"/>
      <c r="GC132" s="59"/>
      <c r="GD132" s="59"/>
      <c r="GE132" s="59"/>
      <c r="GF132" s="59"/>
      <c r="GG132" s="59"/>
      <c r="GH132" s="59"/>
      <c r="GI132" s="59"/>
      <c r="GJ132" s="59"/>
      <c r="GK132" s="59"/>
      <c r="GL132" s="59"/>
      <c r="GM132" s="59"/>
      <c r="GN132" s="59"/>
    </row>
    <row r="133" spans="1:196" x14ac:dyDescent="0.3">
      <c r="A133" s="59"/>
      <c r="B133" s="59"/>
      <c r="C133" s="59"/>
      <c r="D133" s="59"/>
      <c r="E133" s="59"/>
      <c r="F133" s="59"/>
      <c r="G133" s="59"/>
      <c r="H133" s="59"/>
      <c r="I133" s="59"/>
      <c r="J133" s="59"/>
      <c r="K133" s="59"/>
      <c r="L133" s="59"/>
      <c r="M133" s="59"/>
      <c r="N133" s="59"/>
      <c r="O133" s="59"/>
      <c r="P133" s="59"/>
      <c r="Q133" s="59"/>
      <c r="R133" s="59"/>
      <c r="S133" s="59"/>
      <c r="T133" s="59"/>
      <c r="U133" s="59"/>
      <c r="V133" s="59"/>
      <c r="W133" s="59"/>
      <c r="X133" s="59"/>
      <c r="Y133" s="59"/>
      <c r="Z133" s="59"/>
      <c r="AA133" s="59"/>
      <c r="AB133" s="59"/>
      <c r="AC133" s="59"/>
      <c r="AD133" s="59"/>
      <c r="AE133" s="59"/>
      <c r="AF133" s="59"/>
      <c r="AG133" s="59"/>
      <c r="AH133" s="59"/>
      <c r="AI133" s="59"/>
      <c r="AJ133" s="59"/>
      <c r="AK133" s="59"/>
      <c r="AL133" s="59"/>
      <c r="AM133" s="59"/>
      <c r="AN133" s="59"/>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c r="BU133" s="59"/>
      <c r="BV133" s="59"/>
      <c r="BW133" s="59"/>
      <c r="BX133" s="59"/>
      <c r="BY133" s="59"/>
      <c r="BZ133" s="59"/>
      <c r="CA133" s="59"/>
      <c r="CB133" s="59"/>
      <c r="CC133" s="59"/>
      <c r="CD133" s="59"/>
      <c r="CE133" s="59"/>
      <c r="CF133" s="59"/>
      <c r="CG133" s="59"/>
      <c r="CH133" s="59"/>
      <c r="CI133" s="59"/>
      <c r="CJ133" s="59"/>
      <c r="CK133" s="59"/>
      <c r="CL133" s="59"/>
      <c r="CM133" s="59"/>
      <c r="CN133" s="59"/>
      <c r="CO133" s="59"/>
      <c r="CP133" s="59"/>
      <c r="CQ133" s="59"/>
      <c r="CR133" s="59"/>
      <c r="CS133" s="59"/>
      <c r="CT133" s="59"/>
      <c r="CU133" s="59"/>
      <c r="CV133" s="59"/>
      <c r="CW133" s="59"/>
      <c r="CX133" s="59"/>
      <c r="CY133" s="59"/>
      <c r="CZ133" s="59"/>
      <c r="DA133" s="59"/>
      <c r="DB133" s="59"/>
      <c r="DC133" s="59"/>
      <c r="DD133" s="59"/>
      <c r="DE133" s="59"/>
      <c r="DF133" s="59"/>
      <c r="DG133" s="59"/>
      <c r="DH133" s="59"/>
      <c r="DI133" s="59"/>
      <c r="DJ133" s="59"/>
      <c r="DK133" s="59"/>
      <c r="DL133" s="59"/>
      <c r="DM133" s="59"/>
      <c r="DN133" s="59"/>
      <c r="DO133" s="59"/>
      <c r="DP133" s="59"/>
      <c r="DQ133" s="59"/>
      <c r="DR133" s="59"/>
      <c r="DS133" s="59"/>
      <c r="DT133" s="59"/>
      <c r="DU133" s="59"/>
      <c r="DV133" s="59"/>
      <c r="DW133" s="59"/>
      <c r="DX133" s="59"/>
      <c r="DY133" s="59"/>
      <c r="DZ133" s="59"/>
      <c r="EA133" s="59"/>
      <c r="EB133" s="59"/>
      <c r="EC133" s="59"/>
      <c r="ED133" s="59"/>
      <c r="EE133" s="59"/>
      <c r="EF133" s="59"/>
      <c r="EG133" s="59"/>
      <c r="EH133" s="59"/>
      <c r="EI133" s="59"/>
      <c r="EJ133" s="59"/>
      <c r="EK133" s="59"/>
      <c r="EL133" s="59"/>
      <c r="EM133" s="59"/>
      <c r="EN133" s="59"/>
      <c r="EO133" s="59"/>
      <c r="EP133" s="59"/>
      <c r="EQ133" s="59"/>
      <c r="ER133" s="59"/>
      <c r="ES133" s="59"/>
      <c r="ET133" s="59"/>
      <c r="EU133" s="59"/>
      <c r="EV133" s="59"/>
      <c r="EW133" s="59"/>
      <c r="EX133" s="59"/>
      <c r="EY133" s="59"/>
      <c r="EZ133" s="59"/>
      <c r="FA133" s="59"/>
      <c r="FB133" s="59"/>
      <c r="FC133" s="59"/>
      <c r="FD133" s="59"/>
      <c r="FE133" s="59"/>
      <c r="FF133" s="59"/>
      <c r="FG133" s="59"/>
      <c r="FH133" s="59"/>
      <c r="FI133" s="59"/>
      <c r="FJ133" s="59"/>
      <c r="FK133" s="59"/>
      <c r="FL133" s="59"/>
      <c r="FM133" s="59"/>
      <c r="FN133" s="59"/>
      <c r="FO133" s="59"/>
      <c r="FP133" s="59"/>
      <c r="FQ133" s="59"/>
      <c r="FR133" s="59"/>
      <c r="FS133" s="59"/>
      <c r="FT133" s="59"/>
      <c r="FU133" s="59"/>
      <c r="FV133" s="59"/>
      <c r="FW133" s="59"/>
      <c r="FX133" s="59"/>
      <c r="FY133" s="59"/>
      <c r="FZ133" s="59"/>
      <c r="GA133" s="59"/>
      <c r="GB133" s="59"/>
      <c r="GC133" s="59"/>
      <c r="GD133" s="59"/>
      <c r="GE133" s="59"/>
      <c r="GF133" s="59"/>
      <c r="GG133" s="59"/>
      <c r="GH133" s="59"/>
      <c r="GI133" s="59"/>
      <c r="GJ133" s="59"/>
      <c r="GK133" s="59"/>
      <c r="GL133" s="59"/>
      <c r="GM133" s="59"/>
      <c r="GN133" s="59"/>
    </row>
    <row r="134" spans="1:196" x14ac:dyDescent="0.3">
      <c r="A134" s="59"/>
      <c r="B134" s="59"/>
      <c r="C134" s="59"/>
      <c r="D134" s="59"/>
      <c r="E134" s="59"/>
      <c r="F134" s="59"/>
      <c r="G134" s="59"/>
      <c r="H134" s="59"/>
      <c r="I134" s="59"/>
      <c r="J134" s="59"/>
      <c r="K134" s="59"/>
      <c r="L134" s="59"/>
      <c r="M134" s="59"/>
      <c r="N134" s="59"/>
      <c r="O134" s="59"/>
      <c r="P134" s="59"/>
      <c r="Q134" s="59"/>
      <c r="R134" s="59"/>
      <c r="S134" s="59"/>
      <c r="T134" s="59"/>
      <c r="U134" s="59"/>
      <c r="V134" s="59"/>
      <c r="W134" s="59"/>
      <c r="X134" s="59"/>
      <c r="Y134" s="59"/>
      <c r="Z134" s="59"/>
      <c r="AA134" s="59"/>
      <c r="AB134" s="59"/>
      <c r="AC134" s="59"/>
      <c r="AD134" s="59"/>
      <c r="AE134" s="59"/>
      <c r="AF134" s="59"/>
      <c r="AG134" s="59"/>
      <c r="AH134" s="59"/>
      <c r="AI134" s="59"/>
      <c r="AJ134" s="59"/>
      <c r="AK134" s="59"/>
      <c r="AL134" s="59"/>
      <c r="AM134" s="59"/>
      <c r="AN134" s="59"/>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c r="BU134" s="59"/>
      <c r="BV134" s="59"/>
      <c r="BW134" s="59"/>
      <c r="BX134" s="59"/>
      <c r="BY134" s="59"/>
      <c r="BZ134" s="59"/>
      <c r="CA134" s="59"/>
      <c r="CB134" s="59"/>
      <c r="CC134" s="59"/>
      <c r="CD134" s="59"/>
      <c r="CE134" s="59"/>
      <c r="CF134" s="59"/>
      <c r="CG134" s="59"/>
      <c r="CH134" s="59"/>
      <c r="CI134" s="59"/>
      <c r="CJ134" s="59"/>
      <c r="CK134" s="59"/>
      <c r="CL134" s="59"/>
      <c r="CM134" s="59"/>
      <c r="CN134" s="59"/>
      <c r="CO134" s="59"/>
      <c r="CP134" s="59"/>
      <c r="CQ134" s="59"/>
      <c r="CR134" s="59"/>
      <c r="CS134" s="59"/>
      <c r="CT134" s="59"/>
      <c r="CU134" s="59"/>
      <c r="CV134" s="59"/>
      <c r="CW134" s="59"/>
      <c r="CX134" s="59"/>
      <c r="CY134" s="59"/>
      <c r="CZ134" s="59"/>
      <c r="DA134" s="59"/>
      <c r="DB134" s="59"/>
      <c r="DC134" s="59"/>
      <c r="DD134" s="59"/>
      <c r="DE134" s="59"/>
      <c r="DF134" s="59"/>
      <c r="DG134" s="59"/>
      <c r="DH134" s="59"/>
      <c r="DI134" s="59"/>
      <c r="DJ134" s="59"/>
      <c r="DK134" s="59"/>
      <c r="DL134" s="59"/>
      <c r="DM134" s="59"/>
      <c r="DN134" s="59"/>
      <c r="DO134" s="59"/>
      <c r="DP134" s="59"/>
      <c r="DQ134" s="59"/>
      <c r="DR134" s="59"/>
      <c r="DS134" s="59"/>
      <c r="DT134" s="59"/>
      <c r="DU134" s="59"/>
      <c r="DV134" s="59"/>
      <c r="DW134" s="59"/>
      <c r="DX134" s="59"/>
      <c r="DY134" s="59"/>
      <c r="DZ134" s="59"/>
      <c r="EA134" s="59"/>
      <c r="EB134" s="59"/>
      <c r="EC134" s="59"/>
      <c r="ED134" s="59"/>
      <c r="EE134" s="59"/>
      <c r="EF134" s="59"/>
      <c r="EG134" s="59"/>
      <c r="EH134" s="59"/>
      <c r="EI134" s="59"/>
      <c r="EJ134" s="59"/>
      <c r="EK134" s="59"/>
      <c r="EL134" s="59"/>
      <c r="EM134" s="59"/>
      <c r="EN134" s="59"/>
      <c r="EO134" s="59"/>
      <c r="EP134" s="59"/>
      <c r="EQ134" s="59"/>
      <c r="ER134" s="59"/>
      <c r="ES134" s="59"/>
      <c r="ET134" s="59"/>
      <c r="EU134" s="59"/>
      <c r="EV134" s="59"/>
      <c r="EW134" s="59"/>
      <c r="EX134" s="59"/>
      <c r="EY134" s="59"/>
      <c r="EZ134" s="59"/>
      <c r="FA134" s="59"/>
      <c r="FB134" s="59"/>
      <c r="FC134" s="59"/>
      <c r="FD134" s="59"/>
      <c r="FE134" s="59"/>
      <c r="FF134" s="59"/>
      <c r="FG134" s="59"/>
      <c r="FH134" s="59"/>
      <c r="FI134" s="59"/>
      <c r="FJ134" s="59"/>
      <c r="FK134" s="59"/>
      <c r="FL134" s="59"/>
      <c r="FM134" s="59"/>
      <c r="FN134" s="59"/>
      <c r="FO134" s="59"/>
      <c r="FP134" s="59"/>
      <c r="FQ134" s="59"/>
      <c r="FR134" s="59"/>
      <c r="FS134" s="59"/>
      <c r="FT134" s="59"/>
      <c r="FU134" s="59"/>
      <c r="FV134" s="59"/>
      <c r="FW134" s="59"/>
      <c r="FX134" s="59"/>
      <c r="FY134" s="59"/>
      <c r="FZ134" s="59"/>
      <c r="GA134" s="59"/>
      <c r="GB134" s="59"/>
      <c r="GC134" s="59"/>
      <c r="GD134" s="59"/>
      <c r="GE134" s="59"/>
      <c r="GF134" s="59"/>
      <c r="GG134" s="59"/>
      <c r="GH134" s="59"/>
      <c r="GI134" s="59"/>
      <c r="GJ134" s="59"/>
      <c r="GK134" s="59"/>
      <c r="GL134" s="59"/>
      <c r="GM134" s="59"/>
      <c r="GN134" s="59"/>
    </row>
    <row r="135" spans="1:196" x14ac:dyDescent="0.3">
      <c r="A135" s="59"/>
      <c r="B135" s="59"/>
      <c r="C135" s="59"/>
      <c r="D135" s="59"/>
      <c r="E135" s="59"/>
      <c r="F135" s="59"/>
      <c r="G135" s="59"/>
      <c r="H135" s="59"/>
      <c r="I135" s="59"/>
      <c r="J135" s="59"/>
      <c r="K135" s="59"/>
      <c r="L135" s="59"/>
      <c r="M135" s="59"/>
      <c r="N135" s="59"/>
      <c r="O135" s="59"/>
      <c r="P135" s="59"/>
      <c r="Q135" s="59"/>
      <c r="R135" s="59"/>
      <c r="S135" s="59"/>
      <c r="T135" s="59"/>
      <c r="U135" s="59"/>
      <c r="V135" s="59"/>
      <c r="W135" s="59"/>
      <c r="X135" s="59"/>
      <c r="Y135" s="59"/>
      <c r="Z135" s="59"/>
      <c r="AA135" s="59"/>
      <c r="AB135" s="59"/>
      <c r="AC135" s="59"/>
      <c r="AD135" s="59"/>
      <c r="AE135" s="59"/>
      <c r="AF135" s="59"/>
      <c r="AG135" s="59"/>
      <c r="AH135" s="59"/>
      <c r="AI135" s="59"/>
      <c r="AJ135" s="59"/>
      <c r="AK135" s="59"/>
      <c r="AL135" s="59"/>
      <c r="AM135" s="59"/>
      <c r="AN135" s="59"/>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c r="BU135" s="59"/>
      <c r="BV135" s="59"/>
      <c r="BW135" s="59"/>
      <c r="BX135" s="59"/>
      <c r="BY135" s="59"/>
      <c r="BZ135" s="59"/>
      <c r="CA135" s="59"/>
      <c r="CB135" s="59"/>
      <c r="CC135" s="59"/>
      <c r="CD135" s="59"/>
      <c r="CE135" s="59"/>
      <c r="CF135" s="59"/>
      <c r="CG135" s="59"/>
      <c r="CH135" s="59"/>
      <c r="CI135" s="59"/>
      <c r="CJ135" s="59"/>
      <c r="CK135" s="59"/>
      <c r="CL135" s="59"/>
      <c r="CM135" s="59"/>
      <c r="CN135" s="59"/>
      <c r="CO135" s="59"/>
      <c r="CP135" s="59"/>
      <c r="CQ135" s="59"/>
      <c r="CR135" s="59"/>
      <c r="CS135" s="59"/>
      <c r="CT135" s="59"/>
      <c r="CU135" s="59"/>
      <c r="CV135" s="59"/>
      <c r="CW135" s="59"/>
      <c r="CX135" s="59"/>
      <c r="CY135" s="59"/>
      <c r="CZ135" s="59"/>
      <c r="DA135" s="59"/>
      <c r="DB135" s="59"/>
      <c r="DC135" s="59"/>
      <c r="DD135" s="59"/>
      <c r="DE135" s="59"/>
      <c r="DF135" s="59"/>
      <c r="DG135" s="59"/>
      <c r="DH135" s="59"/>
      <c r="DI135" s="59"/>
      <c r="DJ135" s="59"/>
      <c r="DK135" s="59"/>
      <c r="DL135" s="59"/>
      <c r="DM135" s="59"/>
      <c r="DN135" s="59"/>
      <c r="DO135" s="59"/>
      <c r="DP135" s="59"/>
      <c r="DQ135" s="59"/>
      <c r="DR135" s="59"/>
      <c r="DS135" s="59"/>
      <c r="DT135" s="59"/>
      <c r="DU135" s="59"/>
      <c r="DV135" s="59"/>
      <c r="DW135" s="59"/>
      <c r="DX135" s="59"/>
      <c r="DY135" s="59"/>
      <c r="DZ135" s="59"/>
      <c r="EA135" s="59"/>
      <c r="EB135" s="59"/>
      <c r="EC135" s="59"/>
      <c r="ED135" s="59"/>
      <c r="EE135" s="59"/>
      <c r="EF135" s="59"/>
      <c r="EG135" s="59"/>
      <c r="EH135" s="59"/>
      <c r="EI135" s="59"/>
      <c r="EJ135" s="59"/>
      <c r="EK135" s="59"/>
      <c r="EL135" s="59"/>
      <c r="EM135" s="59"/>
      <c r="EN135" s="59"/>
      <c r="EO135" s="59"/>
      <c r="EP135" s="59"/>
      <c r="EQ135" s="59"/>
      <c r="ER135" s="59"/>
      <c r="ES135" s="59"/>
      <c r="ET135" s="59"/>
      <c r="EU135" s="59"/>
      <c r="EV135" s="59"/>
      <c r="EW135" s="59"/>
      <c r="EX135" s="59"/>
      <c r="EY135" s="59"/>
      <c r="EZ135" s="59"/>
      <c r="FA135" s="59"/>
      <c r="FB135" s="59"/>
      <c r="FC135" s="59"/>
      <c r="FD135" s="59"/>
      <c r="FE135" s="59"/>
      <c r="FF135" s="59"/>
      <c r="FG135" s="59"/>
      <c r="FH135" s="59"/>
      <c r="FI135" s="59"/>
      <c r="FJ135" s="59"/>
      <c r="FK135" s="59"/>
      <c r="FL135" s="59"/>
      <c r="FM135" s="59"/>
      <c r="FN135" s="59"/>
      <c r="FO135" s="59"/>
      <c r="FP135" s="59"/>
      <c r="FQ135" s="59"/>
      <c r="FR135" s="59"/>
      <c r="FS135" s="59"/>
      <c r="FT135" s="59"/>
      <c r="FU135" s="59"/>
      <c r="FV135" s="59"/>
      <c r="FW135" s="59"/>
      <c r="FX135" s="59"/>
      <c r="FY135" s="59"/>
      <c r="FZ135" s="59"/>
      <c r="GA135" s="59"/>
      <c r="GB135" s="59"/>
      <c r="GC135" s="59"/>
      <c r="GD135" s="59"/>
      <c r="GE135" s="59"/>
      <c r="GF135" s="59"/>
      <c r="GG135" s="59"/>
      <c r="GH135" s="59"/>
      <c r="GI135" s="59"/>
      <c r="GJ135" s="59"/>
      <c r="GK135" s="59"/>
      <c r="GL135" s="59"/>
      <c r="GM135" s="59"/>
      <c r="GN135" s="59"/>
    </row>
    <row r="136" spans="1:196" x14ac:dyDescent="0.3">
      <c r="A136" s="59"/>
      <c r="B136" s="59"/>
      <c r="C136" s="59"/>
      <c r="D136" s="59"/>
      <c r="E136" s="59"/>
      <c r="F136" s="59"/>
      <c r="G136" s="59"/>
      <c r="H136" s="59"/>
      <c r="I136" s="59"/>
      <c r="J136" s="59"/>
      <c r="K136" s="59"/>
      <c r="L136" s="59"/>
      <c r="M136" s="59"/>
      <c r="N136" s="59"/>
      <c r="O136" s="59"/>
      <c r="P136" s="59"/>
      <c r="Q136" s="59"/>
      <c r="R136" s="59"/>
      <c r="S136" s="59"/>
      <c r="T136" s="59"/>
      <c r="U136" s="59"/>
      <c r="V136" s="59"/>
      <c r="W136" s="59"/>
      <c r="X136" s="59"/>
      <c r="Y136" s="59"/>
      <c r="Z136" s="59"/>
      <c r="AA136" s="59"/>
      <c r="AB136" s="59"/>
      <c r="AC136" s="59"/>
      <c r="AD136" s="59"/>
      <c r="AE136" s="59"/>
      <c r="AF136" s="59"/>
      <c r="AG136" s="59"/>
      <c r="AH136" s="59"/>
      <c r="AI136" s="59"/>
      <c r="AJ136" s="59"/>
      <c r="AK136" s="59"/>
      <c r="AL136" s="59"/>
      <c r="AM136" s="59"/>
      <c r="AN136" s="59"/>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c r="BU136" s="59"/>
      <c r="BV136" s="59"/>
      <c r="BW136" s="59"/>
      <c r="BX136" s="59"/>
      <c r="BY136" s="59"/>
      <c r="BZ136" s="59"/>
      <c r="CA136" s="59"/>
      <c r="CB136" s="59"/>
      <c r="CC136" s="59"/>
      <c r="CD136" s="59"/>
      <c r="CE136" s="59"/>
      <c r="CF136" s="59"/>
      <c r="CG136" s="59"/>
      <c r="CH136" s="59"/>
      <c r="CI136" s="59"/>
      <c r="CJ136" s="59"/>
      <c r="CK136" s="59"/>
      <c r="CL136" s="59"/>
      <c r="CM136" s="59"/>
      <c r="CN136" s="59"/>
      <c r="CO136" s="59"/>
      <c r="CP136" s="59"/>
      <c r="CQ136" s="59"/>
      <c r="CR136" s="59"/>
      <c r="CS136" s="59"/>
      <c r="CT136" s="59"/>
      <c r="CU136" s="59"/>
      <c r="CV136" s="59"/>
      <c r="CW136" s="59"/>
      <c r="CX136" s="59"/>
      <c r="CY136" s="59"/>
      <c r="CZ136" s="59"/>
      <c r="DA136" s="59"/>
      <c r="DB136" s="59"/>
      <c r="DC136" s="59"/>
      <c r="DD136" s="59"/>
      <c r="DE136" s="59"/>
      <c r="DF136" s="59"/>
      <c r="DG136" s="59"/>
      <c r="DH136" s="59"/>
      <c r="DI136" s="59"/>
      <c r="DJ136" s="59"/>
      <c r="DK136" s="59"/>
      <c r="DL136" s="59"/>
      <c r="DM136" s="59"/>
      <c r="DN136" s="59"/>
      <c r="DO136" s="59"/>
      <c r="DP136" s="59"/>
      <c r="DQ136" s="59"/>
      <c r="DR136" s="59"/>
      <c r="DS136" s="59"/>
      <c r="DT136" s="59"/>
      <c r="DU136" s="59"/>
      <c r="DV136" s="59"/>
      <c r="DW136" s="59"/>
      <c r="DX136" s="59"/>
      <c r="DY136" s="59"/>
      <c r="DZ136" s="59"/>
      <c r="EA136" s="59"/>
      <c r="EB136" s="59"/>
      <c r="EC136" s="59"/>
      <c r="ED136" s="59"/>
      <c r="EE136" s="59"/>
      <c r="EF136" s="59"/>
      <c r="EG136" s="59"/>
      <c r="EH136" s="59"/>
      <c r="EI136" s="59"/>
      <c r="EJ136" s="59"/>
      <c r="EK136" s="59"/>
      <c r="EL136" s="59"/>
      <c r="EM136" s="59"/>
      <c r="EN136" s="59"/>
      <c r="EO136" s="59"/>
      <c r="EP136" s="59"/>
      <c r="EQ136" s="59"/>
      <c r="ER136" s="59"/>
      <c r="ES136" s="59"/>
      <c r="ET136" s="59"/>
      <c r="EU136" s="59"/>
      <c r="EV136" s="59"/>
      <c r="EW136" s="59"/>
      <c r="EX136" s="59"/>
      <c r="EY136" s="59"/>
      <c r="EZ136" s="59"/>
      <c r="FA136" s="59"/>
      <c r="FB136" s="59"/>
      <c r="FC136" s="59"/>
      <c r="FD136" s="59"/>
      <c r="FE136" s="59"/>
      <c r="FF136" s="59"/>
      <c r="FG136" s="59"/>
      <c r="FH136" s="59"/>
      <c r="FI136" s="59"/>
      <c r="FJ136" s="59"/>
      <c r="FK136" s="59"/>
      <c r="FL136" s="59"/>
      <c r="FM136" s="59"/>
      <c r="FN136" s="59"/>
      <c r="FO136" s="59"/>
      <c r="FP136" s="59"/>
      <c r="FQ136" s="59"/>
      <c r="FR136" s="59"/>
      <c r="FS136" s="59"/>
      <c r="FT136" s="59"/>
      <c r="FU136" s="59"/>
      <c r="FV136" s="59"/>
      <c r="FW136" s="59"/>
      <c r="FX136" s="59"/>
      <c r="FY136" s="59"/>
      <c r="FZ136" s="59"/>
      <c r="GA136" s="59"/>
      <c r="GB136" s="59"/>
      <c r="GC136" s="59"/>
      <c r="GD136" s="59"/>
      <c r="GE136" s="59"/>
      <c r="GF136" s="59"/>
      <c r="GG136" s="59"/>
      <c r="GH136" s="59"/>
      <c r="GI136" s="59"/>
      <c r="GJ136" s="59"/>
      <c r="GK136" s="59"/>
      <c r="GL136" s="59"/>
      <c r="GM136" s="59"/>
      <c r="GN136" s="59"/>
    </row>
    <row r="137" spans="1:196" x14ac:dyDescent="0.3">
      <c r="A137" s="59"/>
      <c r="B137" s="59"/>
      <c r="C137" s="59"/>
      <c r="D137" s="59"/>
      <c r="E137" s="59"/>
      <c r="F137" s="59"/>
      <c r="G137" s="59"/>
      <c r="H137" s="59"/>
      <c r="I137" s="59"/>
      <c r="J137" s="59"/>
      <c r="K137" s="59"/>
      <c r="L137" s="59"/>
      <c r="M137" s="59"/>
      <c r="N137" s="59"/>
      <c r="O137" s="59"/>
      <c r="P137" s="59"/>
      <c r="Q137" s="59"/>
      <c r="R137" s="59"/>
      <c r="S137" s="59"/>
      <c r="T137" s="59"/>
      <c r="U137" s="59"/>
      <c r="V137" s="59"/>
      <c r="W137" s="59"/>
      <c r="X137" s="59"/>
      <c r="Y137" s="59"/>
      <c r="Z137" s="59"/>
      <c r="AA137" s="59"/>
      <c r="AB137" s="59"/>
      <c r="AC137" s="59"/>
      <c r="AD137" s="59"/>
      <c r="AE137" s="59"/>
      <c r="AF137" s="59"/>
      <c r="AG137" s="59"/>
      <c r="AH137" s="59"/>
      <c r="AI137" s="59"/>
      <c r="AJ137" s="59"/>
      <c r="AK137" s="59"/>
      <c r="AL137" s="59"/>
      <c r="AM137" s="59"/>
      <c r="AN137" s="59"/>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c r="BU137" s="59"/>
      <c r="BV137" s="59"/>
      <c r="BW137" s="59"/>
      <c r="BX137" s="59"/>
      <c r="BY137" s="59"/>
      <c r="BZ137" s="59"/>
      <c r="CA137" s="59"/>
      <c r="CB137" s="59"/>
      <c r="CC137" s="59"/>
      <c r="CD137" s="59"/>
      <c r="CE137" s="59"/>
      <c r="CF137" s="59"/>
      <c r="CG137" s="59"/>
      <c r="CH137" s="59"/>
      <c r="CI137" s="59"/>
      <c r="CJ137" s="59"/>
      <c r="CK137" s="59"/>
      <c r="CL137" s="59"/>
      <c r="CM137" s="59"/>
      <c r="CN137" s="59"/>
      <c r="CO137" s="59"/>
      <c r="CP137" s="59"/>
      <c r="CQ137" s="59"/>
      <c r="CR137" s="59"/>
      <c r="CS137" s="59"/>
      <c r="CT137" s="59"/>
      <c r="CU137" s="59"/>
      <c r="CV137" s="59"/>
      <c r="CW137" s="59"/>
      <c r="CX137" s="59"/>
      <c r="CY137" s="59"/>
      <c r="CZ137" s="59"/>
      <c r="DA137" s="59"/>
      <c r="DB137" s="59"/>
      <c r="DC137" s="59"/>
      <c r="DD137" s="59"/>
      <c r="DE137" s="59"/>
      <c r="DF137" s="59"/>
      <c r="DG137" s="59"/>
      <c r="DH137" s="59"/>
      <c r="DI137" s="59"/>
      <c r="DJ137" s="59"/>
      <c r="DK137" s="59"/>
      <c r="DL137" s="59"/>
      <c r="DM137" s="59"/>
      <c r="DN137" s="59"/>
      <c r="DO137" s="59"/>
      <c r="DP137" s="59"/>
      <c r="DQ137" s="59"/>
      <c r="DR137" s="59"/>
      <c r="DS137" s="59"/>
      <c r="DT137" s="59"/>
      <c r="DU137" s="59"/>
      <c r="DV137" s="59"/>
      <c r="DW137" s="59"/>
      <c r="DX137" s="59"/>
      <c r="DY137" s="59"/>
      <c r="DZ137" s="59"/>
      <c r="EA137" s="59"/>
      <c r="EB137" s="59"/>
      <c r="EC137" s="59"/>
      <c r="ED137" s="59"/>
      <c r="EE137" s="59"/>
      <c r="EF137" s="59"/>
      <c r="EG137" s="59"/>
      <c r="EH137" s="59"/>
      <c r="EI137" s="59"/>
      <c r="EJ137" s="59"/>
      <c r="EK137" s="59"/>
      <c r="EL137" s="59"/>
      <c r="EM137" s="59"/>
      <c r="EN137" s="59"/>
      <c r="EO137" s="59"/>
      <c r="EP137" s="59"/>
      <c r="EQ137" s="59"/>
      <c r="ER137" s="59"/>
      <c r="ES137" s="59"/>
      <c r="ET137" s="59"/>
      <c r="EU137" s="59"/>
      <c r="EV137" s="59"/>
      <c r="EW137" s="59"/>
      <c r="EX137" s="59"/>
      <c r="EY137" s="59"/>
      <c r="EZ137" s="59"/>
      <c r="FA137" s="59"/>
      <c r="FB137" s="59"/>
      <c r="FC137" s="59"/>
      <c r="FD137" s="59"/>
      <c r="FE137" s="59"/>
      <c r="FF137" s="59"/>
      <c r="FG137" s="59"/>
      <c r="FH137" s="59"/>
      <c r="FI137" s="59"/>
      <c r="FJ137" s="59"/>
      <c r="FK137" s="59"/>
      <c r="FL137" s="59"/>
      <c r="FM137" s="59"/>
      <c r="FN137" s="59"/>
      <c r="FO137" s="59"/>
      <c r="FP137" s="59"/>
      <c r="FQ137" s="59"/>
      <c r="FR137" s="59"/>
      <c r="FS137" s="59"/>
      <c r="FT137" s="59"/>
      <c r="FU137" s="59"/>
      <c r="FV137" s="59"/>
      <c r="FW137" s="59"/>
      <c r="FX137" s="59"/>
      <c r="FY137" s="59"/>
      <c r="FZ137" s="59"/>
      <c r="GA137" s="59"/>
      <c r="GB137" s="59"/>
      <c r="GC137" s="59"/>
      <c r="GD137" s="59"/>
      <c r="GE137" s="59"/>
      <c r="GF137" s="59"/>
      <c r="GG137" s="59"/>
      <c r="GH137" s="59"/>
      <c r="GI137" s="59"/>
      <c r="GJ137" s="59"/>
      <c r="GK137" s="59"/>
      <c r="GL137" s="59"/>
      <c r="GM137" s="59"/>
      <c r="GN137" s="59"/>
    </row>
    <row r="138" spans="1:196" x14ac:dyDescent="0.3">
      <c r="A138" s="59"/>
      <c r="B138" s="59"/>
      <c r="C138" s="59"/>
      <c r="D138" s="59"/>
      <c r="E138" s="59"/>
      <c r="F138" s="59"/>
      <c r="G138" s="59"/>
      <c r="H138" s="59"/>
      <c r="I138" s="59"/>
      <c r="J138" s="59"/>
      <c r="K138" s="59"/>
      <c r="L138" s="59"/>
      <c r="M138" s="59"/>
      <c r="N138" s="59"/>
      <c r="O138" s="59"/>
      <c r="P138" s="59"/>
      <c r="Q138" s="59"/>
      <c r="R138" s="59"/>
      <c r="S138" s="59"/>
      <c r="T138" s="59"/>
      <c r="U138" s="59"/>
      <c r="V138" s="59"/>
      <c r="W138" s="59"/>
      <c r="X138" s="59"/>
      <c r="Y138" s="59"/>
      <c r="Z138" s="59"/>
      <c r="AA138" s="59"/>
      <c r="AB138" s="59"/>
      <c r="AC138" s="59"/>
      <c r="AD138" s="59"/>
      <c r="AE138" s="59"/>
      <c r="AF138" s="59"/>
      <c r="AG138" s="59"/>
      <c r="AH138" s="59"/>
      <c r="AI138" s="59"/>
      <c r="AJ138" s="59"/>
      <c r="AK138" s="59"/>
      <c r="AL138" s="59"/>
      <c r="AM138" s="59"/>
      <c r="AN138" s="59"/>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c r="BU138" s="59"/>
      <c r="BV138" s="59"/>
      <c r="BW138" s="59"/>
      <c r="BX138" s="59"/>
      <c r="BY138" s="59"/>
      <c r="BZ138" s="59"/>
      <c r="CA138" s="59"/>
      <c r="CB138" s="59"/>
      <c r="CC138" s="59"/>
      <c r="CD138" s="59"/>
      <c r="CE138" s="59"/>
      <c r="CF138" s="59"/>
      <c r="CG138" s="59"/>
      <c r="CH138" s="59"/>
      <c r="CI138" s="59"/>
      <c r="CJ138" s="59"/>
      <c r="CK138" s="59"/>
      <c r="CL138" s="59"/>
      <c r="CM138" s="59"/>
      <c r="CN138" s="59"/>
      <c r="CO138" s="59"/>
      <c r="CP138" s="59"/>
      <c r="CQ138" s="59"/>
      <c r="CR138" s="59"/>
      <c r="CS138" s="59"/>
      <c r="CT138" s="59"/>
      <c r="CU138" s="59"/>
      <c r="CV138" s="59"/>
      <c r="CW138" s="59"/>
      <c r="CX138" s="59"/>
      <c r="CY138" s="59"/>
      <c r="CZ138" s="59"/>
      <c r="DA138" s="59"/>
      <c r="DB138" s="59"/>
      <c r="DC138" s="59"/>
      <c r="DD138" s="59"/>
      <c r="DE138" s="59"/>
      <c r="DF138" s="59"/>
      <c r="DG138" s="59"/>
      <c r="DH138" s="59"/>
      <c r="DI138" s="59"/>
      <c r="DJ138" s="59"/>
      <c r="DK138" s="59"/>
      <c r="DL138" s="59"/>
      <c r="DM138" s="59"/>
      <c r="DN138" s="59"/>
      <c r="DO138" s="59"/>
      <c r="DP138" s="59"/>
      <c r="DQ138" s="59"/>
      <c r="DR138" s="59"/>
      <c r="DS138" s="59"/>
      <c r="DT138" s="59"/>
      <c r="DU138" s="59"/>
      <c r="DV138" s="59"/>
      <c r="DW138" s="59"/>
      <c r="DX138" s="59"/>
      <c r="DY138" s="59"/>
      <c r="DZ138" s="59"/>
      <c r="EA138" s="59"/>
      <c r="EB138" s="59"/>
      <c r="EC138" s="59"/>
      <c r="ED138" s="59"/>
      <c r="EE138" s="59"/>
      <c r="EF138" s="59"/>
      <c r="EG138" s="59"/>
      <c r="EH138" s="59"/>
      <c r="EI138" s="59"/>
      <c r="EJ138" s="59"/>
      <c r="EK138" s="59"/>
      <c r="EL138" s="59"/>
      <c r="EM138" s="59"/>
      <c r="EN138" s="59"/>
      <c r="EO138" s="59"/>
      <c r="EP138" s="59"/>
      <c r="EQ138" s="59"/>
      <c r="ER138" s="59"/>
      <c r="ES138" s="59"/>
      <c r="ET138" s="59"/>
      <c r="EU138" s="59"/>
      <c r="EV138" s="59"/>
      <c r="EW138" s="59"/>
      <c r="EX138" s="59"/>
      <c r="EY138" s="59"/>
      <c r="EZ138" s="59"/>
      <c r="FA138" s="59"/>
      <c r="FB138" s="59"/>
      <c r="FC138" s="59"/>
      <c r="FD138" s="59"/>
      <c r="FE138" s="59"/>
      <c r="FF138" s="59"/>
      <c r="FG138" s="59"/>
      <c r="FH138" s="59"/>
      <c r="FI138" s="59"/>
      <c r="FJ138" s="59"/>
      <c r="FK138" s="59"/>
      <c r="FL138" s="59"/>
      <c r="FM138" s="59"/>
      <c r="FN138" s="59"/>
      <c r="FO138" s="59"/>
      <c r="FP138" s="59"/>
      <c r="FQ138" s="59"/>
      <c r="FR138" s="59"/>
      <c r="FS138" s="59"/>
      <c r="FT138" s="59"/>
      <c r="FU138" s="59"/>
      <c r="FV138" s="59"/>
      <c r="FW138" s="59"/>
      <c r="FX138" s="59"/>
      <c r="FY138" s="59"/>
      <c r="FZ138" s="59"/>
      <c r="GA138" s="59"/>
      <c r="GB138" s="59"/>
      <c r="GC138" s="59"/>
      <c r="GD138" s="59"/>
      <c r="GE138" s="59"/>
      <c r="GF138" s="59"/>
      <c r="GG138" s="59"/>
      <c r="GH138" s="59"/>
      <c r="GI138" s="59"/>
      <c r="GJ138" s="59"/>
      <c r="GK138" s="59"/>
      <c r="GL138" s="59"/>
      <c r="GM138" s="59"/>
      <c r="GN138" s="59"/>
    </row>
    <row r="139" spans="1:196" x14ac:dyDescent="0.3">
      <c r="A139" s="59"/>
      <c r="B139" s="59"/>
      <c r="C139" s="59"/>
      <c r="D139" s="59"/>
      <c r="E139" s="59"/>
      <c r="F139" s="59"/>
      <c r="G139" s="59"/>
      <c r="H139" s="59"/>
      <c r="I139" s="59"/>
      <c r="J139" s="59"/>
      <c r="K139" s="59"/>
      <c r="L139" s="59"/>
      <c r="M139" s="59"/>
      <c r="N139" s="59"/>
      <c r="O139" s="59"/>
      <c r="P139" s="59"/>
      <c r="Q139" s="59"/>
      <c r="R139" s="59"/>
      <c r="S139" s="59"/>
      <c r="T139" s="59"/>
      <c r="U139" s="59"/>
      <c r="V139" s="59"/>
      <c r="W139" s="59"/>
      <c r="X139" s="59"/>
      <c r="Y139" s="59"/>
      <c r="Z139" s="59"/>
      <c r="AA139" s="59"/>
      <c r="AB139" s="59"/>
      <c r="AC139" s="59"/>
      <c r="AD139" s="59"/>
      <c r="AE139" s="59"/>
      <c r="AF139" s="59"/>
      <c r="AG139" s="59"/>
      <c r="AH139" s="59"/>
      <c r="AI139" s="59"/>
      <c r="AJ139" s="59"/>
      <c r="AK139" s="59"/>
      <c r="AL139" s="59"/>
      <c r="AM139" s="59"/>
      <c r="AN139" s="59"/>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c r="BU139" s="59"/>
      <c r="BV139" s="59"/>
      <c r="BW139" s="59"/>
      <c r="BX139" s="59"/>
      <c r="BY139" s="59"/>
      <c r="BZ139" s="59"/>
      <c r="CA139" s="59"/>
      <c r="CB139" s="59"/>
      <c r="CC139" s="59"/>
      <c r="CD139" s="59"/>
      <c r="CE139" s="59"/>
      <c r="CF139" s="59"/>
      <c r="CG139" s="59"/>
      <c r="CH139" s="59"/>
      <c r="CI139" s="59"/>
      <c r="CJ139" s="59"/>
      <c r="CK139" s="59"/>
      <c r="CL139" s="59"/>
      <c r="CM139" s="59"/>
      <c r="CN139" s="59"/>
      <c r="CO139" s="59"/>
      <c r="CP139" s="59"/>
      <c r="CQ139" s="59"/>
      <c r="CR139" s="59"/>
      <c r="CS139" s="59"/>
      <c r="CT139" s="59"/>
      <c r="CU139" s="59"/>
      <c r="CV139" s="59"/>
      <c r="CW139" s="59"/>
      <c r="CX139" s="59"/>
      <c r="CY139" s="59"/>
      <c r="CZ139" s="59"/>
      <c r="DA139" s="59"/>
      <c r="DB139" s="59"/>
      <c r="DC139" s="59"/>
      <c r="DD139" s="59"/>
      <c r="DE139" s="59"/>
      <c r="DF139" s="59"/>
      <c r="DG139" s="59"/>
      <c r="DH139" s="59"/>
      <c r="DI139" s="59"/>
      <c r="DJ139" s="59"/>
      <c r="DK139" s="59"/>
      <c r="DL139" s="59"/>
      <c r="DM139" s="59"/>
      <c r="DN139" s="59"/>
      <c r="DO139" s="59"/>
      <c r="DP139" s="59"/>
      <c r="DQ139" s="59"/>
      <c r="DR139" s="59"/>
      <c r="DS139" s="59"/>
      <c r="DT139" s="59"/>
      <c r="DU139" s="59"/>
      <c r="DV139" s="59"/>
      <c r="DW139" s="59"/>
      <c r="DX139" s="59"/>
      <c r="DY139" s="59"/>
      <c r="DZ139" s="59"/>
      <c r="EA139" s="59"/>
      <c r="EB139" s="59"/>
      <c r="EC139" s="59"/>
      <c r="ED139" s="59"/>
      <c r="EE139" s="59"/>
      <c r="EF139" s="59"/>
      <c r="EG139" s="59"/>
      <c r="EH139" s="59"/>
      <c r="EI139" s="59"/>
      <c r="EJ139" s="59"/>
      <c r="EK139" s="59"/>
      <c r="EL139" s="59"/>
      <c r="EM139" s="59"/>
      <c r="EN139" s="59"/>
      <c r="EO139" s="59"/>
      <c r="EP139" s="59"/>
      <c r="EQ139" s="59"/>
      <c r="ER139" s="59"/>
      <c r="ES139" s="59"/>
      <c r="ET139" s="59"/>
      <c r="EU139" s="59"/>
      <c r="EV139" s="59"/>
      <c r="EW139" s="59"/>
      <c r="EX139" s="59"/>
      <c r="EY139" s="59"/>
      <c r="EZ139" s="59"/>
      <c r="FA139" s="59"/>
      <c r="FB139" s="59"/>
      <c r="FC139" s="59"/>
      <c r="FD139" s="59"/>
      <c r="FE139" s="59"/>
      <c r="FF139" s="59"/>
      <c r="FG139" s="59"/>
      <c r="FH139" s="59"/>
      <c r="FI139" s="59"/>
      <c r="FJ139" s="59"/>
      <c r="FK139" s="59"/>
      <c r="FL139" s="59"/>
      <c r="FM139" s="59"/>
      <c r="FN139" s="59"/>
      <c r="FO139" s="59"/>
      <c r="FP139" s="59"/>
      <c r="FQ139" s="59"/>
      <c r="FR139" s="59"/>
      <c r="FS139" s="59"/>
      <c r="FT139" s="59"/>
      <c r="FU139" s="59"/>
      <c r="FV139" s="59"/>
      <c r="FW139" s="59"/>
      <c r="FX139" s="59"/>
      <c r="FY139" s="59"/>
      <c r="FZ139" s="59"/>
      <c r="GA139" s="59"/>
      <c r="GB139" s="59"/>
      <c r="GC139" s="59"/>
      <c r="GD139" s="59"/>
      <c r="GE139" s="59"/>
      <c r="GF139" s="59"/>
      <c r="GG139" s="59"/>
      <c r="GH139" s="59"/>
      <c r="GI139" s="59"/>
      <c r="GJ139" s="59"/>
      <c r="GK139" s="59"/>
      <c r="GL139" s="59"/>
      <c r="GM139" s="59"/>
      <c r="GN139" s="59"/>
    </row>
    <row r="140" spans="1:196" x14ac:dyDescent="0.3">
      <c r="A140" s="59"/>
      <c r="B140" s="59"/>
      <c r="C140" s="59"/>
      <c r="D140" s="59"/>
      <c r="E140" s="59"/>
      <c r="F140" s="59"/>
      <c r="G140" s="59"/>
      <c r="H140" s="59"/>
      <c r="I140" s="59"/>
      <c r="J140" s="59"/>
      <c r="K140" s="59"/>
      <c r="L140" s="59"/>
      <c r="M140" s="59"/>
      <c r="N140" s="59"/>
      <c r="O140" s="59"/>
      <c r="P140" s="59"/>
      <c r="Q140" s="59"/>
      <c r="R140" s="59"/>
      <c r="S140" s="59"/>
      <c r="T140" s="59"/>
      <c r="U140" s="59"/>
      <c r="V140" s="59"/>
      <c r="W140" s="59"/>
      <c r="X140" s="59"/>
      <c r="Y140" s="59"/>
      <c r="Z140" s="59"/>
      <c r="AA140" s="59"/>
      <c r="AB140" s="59"/>
      <c r="AC140" s="59"/>
      <c r="AD140" s="59"/>
      <c r="AE140" s="59"/>
      <c r="AF140" s="59"/>
      <c r="AG140" s="59"/>
      <c r="AH140" s="59"/>
      <c r="AI140" s="59"/>
      <c r="AJ140" s="59"/>
      <c r="AK140" s="59"/>
      <c r="AL140" s="59"/>
      <c r="AM140" s="59"/>
      <c r="AN140" s="59"/>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c r="BU140" s="59"/>
      <c r="BV140" s="59"/>
      <c r="BW140" s="59"/>
      <c r="BX140" s="59"/>
      <c r="BY140" s="59"/>
      <c r="BZ140" s="59"/>
      <c r="CA140" s="59"/>
      <c r="CB140" s="59"/>
      <c r="CC140" s="59"/>
      <c r="CD140" s="59"/>
      <c r="CE140" s="59"/>
      <c r="CF140" s="59"/>
      <c r="CG140" s="59"/>
      <c r="CH140" s="59"/>
      <c r="CI140" s="59"/>
      <c r="CJ140" s="59"/>
      <c r="CK140" s="59"/>
      <c r="CL140" s="59"/>
      <c r="CM140" s="59"/>
      <c r="CN140" s="59"/>
      <c r="CO140" s="59"/>
      <c r="CP140" s="59"/>
      <c r="CQ140" s="59"/>
      <c r="CR140" s="59"/>
      <c r="CS140" s="59"/>
      <c r="CT140" s="59"/>
      <c r="CU140" s="59"/>
      <c r="CV140" s="59"/>
      <c r="CW140" s="59"/>
      <c r="CX140" s="59"/>
      <c r="CY140" s="59"/>
      <c r="CZ140" s="59"/>
      <c r="DA140" s="59"/>
      <c r="DB140" s="59"/>
      <c r="DC140" s="59"/>
      <c r="DD140" s="59"/>
      <c r="DE140" s="59"/>
      <c r="DF140" s="59"/>
      <c r="DG140" s="59"/>
      <c r="DH140" s="59"/>
      <c r="DI140" s="59"/>
      <c r="DJ140" s="59"/>
      <c r="DK140" s="59"/>
      <c r="DL140" s="59"/>
      <c r="DM140" s="59"/>
      <c r="DN140" s="59"/>
      <c r="DO140" s="59"/>
      <c r="DP140" s="59"/>
      <c r="DQ140" s="59"/>
      <c r="DR140" s="59"/>
      <c r="DS140" s="59"/>
      <c r="DT140" s="59"/>
      <c r="DU140" s="59"/>
      <c r="DV140" s="59"/>
      <c r="DW140" s="59"/>
      <c r="DX140" s="59"/>
      <c r="DY140" s="59"/>
      <c r="DZ140" s="59"/>
      <c r="EA140" s="59"/>
      <c r="EB140" s="59"/>
      <c r="EC140" s="59"/>
      <c r="ED140" s="59"/>
      <c r="EE140" s="59"/>
      <c r="EF140" s="59"/>
      <c r="EG140" s="59"/>
      <c r="EH140" s="59"/>
      <c r="EI140" s="59"/>
      <c r="EJ140" s="59"/>
      <c r="EK140" s="59"/>
      <c r="EL140" s="59"/>
      <c r="EM140" s="59"/>
      <c r="EN140" s="59"/>
      <c r="EO140" s="59"/>
      <c r="EP140" s="59"/>
      <c r="EQ140" s="59"/>
      <c r="ER140" s="59"/>
      <c r="ES140" s="59"/>
      <c r="ET140" s="59"/>
      <c r="EU140" s="59"/>
      <c r="EV140" s="59"/>
      <c r="EW140" s="59"/>
      <c r="EX140" s="59"/>
      <c r="EY140" s="59"/>
      <c r="EZ140" s="59"/>
      <c r="FA140" s="59"/>
      <c r="FB140" s="59"/>
      <c r="FC140" s="59"/>
      <c r="FD140" s="59"/>
      <c r="FE140" s="59"/>
      <c r="FF140" s="59"/>
      <c r="FG140" s="59"/>
      <c r="FH140" s="59"/>
      <c r="FI140" s="59"/>
      <c r="FJ140" s="59"/>
      <c r="FK140" s="59"/>
      <c r="FL140" s="59"/>
      <c r="FM140" s="59"/>
      <c r="FN140" s="59"/>
      <c r="FO140" s="59"/>
      <c r="FP140" s="59"/>
      <c r="FQ140" s="59"/>
      <c r="FR140" s="59"/>
      <c r="FS140" s="59"/>
      <c r="FT140" s="59"/>
      <c r="FU140" s="59"/>
      <c r="FV140" s="59"/>
      <c r="FW140" s="59"/>
      <c r="FX140" s="59"/>
      <c r="FY140" s="59"/>
      <c r="FZ140" s="59"/>
      <c r="GA140" s="59"/>
      <c r="GB140" s="59"/>
      <c r="GC140" s="59"/>
      <c r="GD140" s="59"/>
      <c r="GE140" s="59"/>
      <c r="GF140" s="59"/>
      <c r="GG140" s="59"/>
      <c r="GH140" s="59"/>
      <c r="GI140" s="59"/>
      <c r="GJ140" s="59"/>
      <c r="GK140" s="59"/>
      <c r="GL140" s="59"/>
      <c r="GM140" s="59"/>
      <c r="GN140" s="59"/>
    </row>
    <row r="141" spans="1:196" x14ac:dyDescent="0.3">
      <c r="A141" s="59"/>
      <c r="B141" s="59"/>
      <c r="C141" s="59"/>
      <c r="D141" s="59"/>
      <c r="E141" s="59"/>
      <c r="F141" s="59"/>
      <c r="G141" s="59"/>
      <c r="H141" s="59"/>
      <c r="I141" s="59"/>
      <c r="J141" s="59"/>
      <c r="K141" s="59"/>
      <c r="L141" s="59"/>
      <c r="M141" s="59"/>
      <c r="N141" s="59"/>
      <c r="O141" s="59"/>
      <c r="P141" s="59"/>
      <c r="Q141" s="59"/>
      <c r="R141" s="59"/>
      <c r="S141" s="59"/>
      <c r="T141" s="59"/>
      <c r="U141" s="59"/>
      <c r="V141" s="59"/>
      <c r="W141" s="59"/>
      <c r="X141" s="59"/>
      <c r="Y141" s="59"/>
      <c r="Z141" s="59"/>
      <c r="AA141" s="59"/>
      <c r="AB141" s="59"/>
      <c r="AC141" s="59"/>
      <c r="AD141" s="59"/>
      <c r="AE141" s="59"/>
      <c r="AF141" s="59"/>
      <c r="AG141" s="59"/>
      <c r="AH141" s="59"/>
      <c r="AI141" s="59"/>
      <c r="AJ141" s="59"/>
      <c r="AK141" s="59"/>
      <c r="AL141" s="59"/>
      <c r="AM141" s="59"/>
      <c r="AN141" s="59"/>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c r="BU141" s="59"/>
      <c r="BV141" s="59"/>
      <c r="BW141" s="59"/>
      <c r="BX141" s="59"/>
      <c r="BY141" s="59"/>
      <c r="BZ141" s="59"/>
      <c r="CA141" s="59"/>
      <c r="CB141" s="59"/>
      <c r="CC141" s="59"/>
      <c r="CD141" s="59"/>
      <c r="CE141" s="59"/>
      <c r="CF141" s="59"/>
      <c r="CG141" s="59"/>
      <c r="CH141" s="59"/>
      <c r="CI141" s="59"/>
      <c r="CJ141" s="59"/>
      <c r="CK141" s="59"/>
      <c r="CL141" s="59"/>
      <c r="CM141" s="59"/>
      <c r="CN141" s="59"/>
      <c r="CO141" s="59"/>
      <c r="CP141" s="59"/>
      <c r="CQ141" s="59"/>
      <c r="CR141" s="59"/>
      <c r="CS141" s="59"/>
      <c r="CT141" s="59"/>
      <c r="CU141" s="59"/>
      <c r="CV141" s="59"/>
      <c r="CW141" s="59"/>
      <c r="CX141" s="59"/>
      <c r="CY141" s="59"/>
      <c r="CZ141" s="59"/>
      <c r="DA141" s="59"/>
      <c r="DB141" s="59"/>
      <c r="DC141" s="59"/>
      <c r="DD141" s="59"/>
      <c r="DE141" s="59"/>
      <c r="DF141" s="59"/>
      <c r="DG141" s="59"/>
      <c r="DH141" s="59"/>
      <c r="DI141" s="59"/>
      <c r="DJ141" s="59"/>
      <c r="DK141" s="59"/>
      <c r="DL141" s="59"/>
      <c r="DM141" s="59"/>
      <c r="DN141" s="59"/>
      <c r="DO141" s="59"/>
      <c r="DP141" s="59"/>
      <c r="DQ141" s="59"/>
      <c r="DR141" s="59"/>
      <c r="DS141" s="59"/>
      <c r="DT141" s="59"/>
      <c r="DU141" s="59"/>
      <c r="DV141" s="59"/>
      <c r="DW141" s="59"/>
      <c r="DX141" s="59"/>
      <c r="DY141" s="59"/>
      <c r="DZ141" s="59"/>
      <c r="EA141" s="59"/>
      <c r="EB141" s="59"/>
      <c r="EC141" s="59"/>
      <c r="ED141" s="59"/>
      <c r="EE141" s="59"/>
      <c r="EF141" s="59"/>
      <c r="EG141" s="59"/>
      <c r="EH141" s="59"/>
      <c r="EI141" s="59"/>
      <c r="EJ141" s="59"/>
      <c r="EK141" s="59"/>
      <c r="EL141" s="59"/>
      <c r="EM141" s="59"/>
      <c r="EN141" s="59"/>
      <c r="EO141" s="59"/>
      <c r="EP141" s="59"/>
      <c r="EQ141" s="59"/>
      <c r="ER141" s="59"/>
      <c r="ES141" s="59"/>
      <c r="ET141" s="59"/>
      <c r="EU141" s="59"/>
      <c r="EV141" s="59"/>
      <c r="EW141" s="59"/>
      <c r="EX141" s="59"/>
      <c r="EY141" s="59"/>
      <c r="EZ141" s="59"/>
      <c r="FA141" s="59"/>
      <c r="FB141" s="59"/>
      <c r="FC141" s="59"/>
      <c r="FD141" s="59"/>
      <c r="FE141" s="59"/>
      <c r="FF141" s="59"/>
      <c r="FG141" s="59"/>
      <c r="FH141" s="59"/>
      <c r="FI141" s="59"/>
      <c r="FJ141" s="59"/>
      <c r="FK141" s="59"/>
      <c r="FL141" s="59"/>
      <c r="FM141" s="59"/>
      <c r="FN141" s="59"/>
      <c r="FO141" s="59"/>
      <c r="FP141" s="59"/>
      <c r="FQ141" s="59"/>
      <c r="FR141" s="59"/>
      <c r="FS141" s="59"/>
      <c r="FT141" s="59"/>
      <c r="FU141" s="59"/>
      <c r="FV141" s="59"/>
      <c r="FW141" s="59"/>
      <c r="FX141" s="59"/>
      <c r="FY141" s="59"/>
      <c r="FZ141" s="59"/>
      <c r="GA141" s="59"/>
      <c r="GB141" s="59"/>
      <c r="GC141" s="59"/>
      <c r="GD141" s="59"/>
      <c r="GE141" s="59"/>
      <c r="GF141" s="59"/>
      <c r="GG141" s="59"/>
      <c r="GH141" s="59"/>
      <c r="GI141" s="59"/>
      <c r="GJ141" s="59"/>
      <c r="GK141" s="59"/>
      <c r="GL141" s="59"/>
      <c r="GM141" s="59"/>
      <c r="GN141" s="59"/>
    </row>
    <row r="142" spans="1:196" x14ac:dyDescent="0.3">
      <c r="A142" s="59"/>
      <c r="B142" s="59"/>
      <c r="C142" s="59"/>
      <c r="D142" s="59"/>
      <c r="E142" s="59"/>
      <c r="F142" s="59"/>
      <c r="G142" s="59"/>
      <c r="H142" s="59"/>
      <c r="I142" s="59"/>
      <c r="J142" s="59"/>
      <c r="K142" s="59"/>
      <c r="L142" s="59"/>
      <c r="M142" s="59"/>
      <c r="N142" s="59"/>
      <c r="O142" s="59"/>
      <c r="P142" s="59"/>
      <c r="Q142" s="59"/>
      <c r="R142" s="59"/>
      <c r="S142" s="59"/>
      <c r="T142" s="59"/>
      <c r="U142" s="59"/>
      <c r="V142" s="59"/>
      <c r="W142" s="59"/>
      <c r="X142" s="59"/>
      <c r="Y142" s="59"/>
      <c r="Z142" s="59"/>
      <c r="AA142" s="59"/>
      <c r="AB142" s="59"/>
      <c r="AC142" s="59"/>
      <c r="AD142" s="59"/>
      <c r="AE142" s="59"/>
      <c r="AF142" s="59"/>
      <c r="AG142" s="59"/>
      <c r="AH142" s="59"/>
      <c r="AI142" s="59"/>
      <c r="AJ142" s="59"/>
      <c r="AK142" s="59"/>
      <c r="AL142" s="59"/>
      <c r="AM142" s="59"/>
      <c r="AN142" s="59"/>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c r="BU142" s="59"/>
      <c r="BV142" s="59"/>
      <c r="BW142" s="59"/>
      <c r="BX142" s="59"/>
      <c r="BY142" s="59"/>
      <c r="BZ142" s="59"/>
      <c r="CA142" s="59"/>
      <c r="CB142" s="59"/>
      <c r="CC142" s="59"/>
      <c r="CD142" s="59"/>
      <c r="CE142" s="59"/>
      <c r="CF142" s="59"/>
      <c r="CG142" s="59"/>
      <c r="CH142" s="59"/>
      <c r="CI142" s="59"/>
      <c r="CJ142" s="59"/>
      <c r="CK142" s="59"/>
      <c r="CL142" s="59"/>
      <c r="CM142" s="59"/>
      <c r="CN142" s="59"/>
      <c r="CO142" s="59"/>
      <c r="CP142" s="59"/>
      <c r="CQ142" s="59"/>
      <c r="CR142" s="59"/>
      <c r="CS142" s="59"/>
      <c r="CT142" s="59"/>
      <c r="CU142" s="59"/>
      <c r="CV142" s="59"/>
      <c r="CW142" s="59"/>
      <c r="CX142" s="59"/>
      <c r="CY142" s="59"/>
      <c r="CZ142" s="59"/>
      <c r="DA142" s="59"/>
      <c r="DB142" s="59"/>
      <c r="DC142" s="59"/>
      <c r="DD142" s="59"/>
      <c r="DE142" s="59"/>
      <c r="DF142" s="59"/>
      <c r="DG142" s="59"/>
      <c r="DH142" s="59"/>
      <c r="DI142" s="59"/>
      <c r="DJ142" s="59"/>
      <c r="DK142" s="59"/>
      <c r="DL142" s="59"/>
      <c r="DM142" s="59"/>
      <c r="DN142" s="59"/>
      <c r="DO142" s="59"/>
      <c r="DP142" s="59"/>
      <c r="DQ142" s="59"/>
      <c r="DR142" s="59"/>
      <c r="DS142" s="59"/>
      <c r="DT142" s="59"/>
      <c r="DU142" s="59"/>
      <c r="DV142" s="59"/>
      <c r="DW142" s="59"/>
      <c r="DX142" s="59"/>
      <c r="DY142" s="59"/>
      <c r="DZ142" s="59"/>
      <c r="EA142" s="59"/>
      <c r="EB142" s="59"/>
      <c r="EC142" s="59"/>
      <c r="ED142" s="59"/>
      <c r="EE142" s="59"/>
      <c r="EF142" s="59"/>
      <c r="EG142" s="59"/>
      <c r="EH142" s="59"/>
      <c r="EI142" s="59"/>
      <c r="EJ142" s="59"/>
      <c r="EK142" s="59"/>
      <c r="EL142" s="59"/>
      <c r="EM142" s="59"/>
      <c r="EN142" s="59"/>
      <c r="EO142" s="59"/>
      <c r="EP142" s="59"/>
      <c r="EQ142" s="59"/>
      <c r="ER142" s="59"/>
      <c r="ES142" s="59"/>
      <c r="ET142" s="59"/>
      <c r="EU142" s="59"/>
      <c r="EV142" s="59"/>
      <c r="EW142" s="59"/>
      <c r="EX142" s="59"/>
      <c r="EY142" s="59"/>
      <c r="EZ142" s="59"/>
      <c r="FA142" s="59"/>
      <c r="FB142" s="59"/>
      <c r="FC142" s="59"/>
      <c r="FD142" s="59"/>
      <c r="FE142" s="59"/>
      <c r="FF142" s="59"/>
      <c r="FG142" s="59"/>
      <c r="FH142" s="59"/>
      <c r="FI142" s="59"/>
      <c r="FJ142" s="59"/>
      <c r="FK142" s="59"/>
      <c r="FL142" s="59"/>
      <c r="FM142" s="59"/>
      <c r="FN142" s="59"/>
      <c r="FO142" s="59"/>
      <c r="FP142" s="59"/>
      <c r="FQ142" s="59"/>
      <c r="FR142" s="59"/>
      <c r="FS142" s="59"/>
      <c r="FT142" s="59"/>
      <c r="FU142" s="59"/>
      <c r="FV142" s="59"/>
      <c r="FW142" s="59"/>
      <c r="FX142" s="59"/>
      <c r="FY142" s="59"/>
      <c r="FZ142" s="59"/>
      <c r="GA142" s="59"/>
      <c r="GB142" s="59"/>
      <c r="GC142" s="59"/>
      <c r="GD142" s="59"/>
      <c r="GE142" s="59"/>
      <c r="GF142" s="59"/>
      <c r="GG142" s="59"/>
      <c r="GH142" s="59"/>
      <c r="GI142" s="59"/>
      <c r="GJ142" s="59"/>
      <c r="GK142" s="59"/>
      <c r="GL142" s="59"/>
      <c r="GM142" s="59"/>
      <c r="GN142" s="59"/>
    </row>
    <row r="143" spans="1:196" x14ac:dyDescent="0.3">
      <c r="A143" s="59"/>
      <c r="B143" s="59"/>
      <c r="C143" s="59"/>
      <c r="D143" s="59"/>
      <c r="E143" s="59"/>
      <c r="F143" s="59"/>
      <c r="G143" s="59"/>
      <c r="H143" s="59"/>
      <c r="I143" s="59"/>
      <c r="J143" s="59"/>
      <c r="K143" s="59"/>
      <c r="L143" s="59"/>
      <c r="M143" s="59"/>
      <c r="N143" s="59"/>
      <c r="O143" s="59"/>
      <c r="P143" s="59"/>
      <c r="Q143" s="59"/>
      <c r="R143" s="59"/>
      <c r="S143" s="59"/>
      <c r="T143" s="59"/>
      <c r="U143" s="59"/>
      <c r="V143" s="59"/>
      <c r="W143" s="59"/>
      <c r="X143" s="59"/>
      <c r="Y143" s="59"/>
      <c r="Z143" s="59"/>
      <c r="AA143" s="59"/>
      <c r="AB143" s="59"/>
      <c r="AC143" s="59"/>
      <c r="AD143" s="59"/>
      <c r="AE143" s="59"/>
      <c r="AF143" s="59"/>
      <c r="AG143" s="59"/>
      <c r="AH143" s="59"/>
      <c r="AI143" s="59"/>
      <c r="AJ143" s="59"/>
      <c r="AK143" s="59"/>
      <c r="AL143" s="59"/>
      <c r="AM143" s="59"/>
      <c r="AN143" s="59"/>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c r="BU143" s="59"/>
      <c r="BV143" s="59"/>
      <c r="BW143" s="59"/>
      <c r="BX143" s="59"/>
      <c r="BY143" s="59"/>
      <c r="BZ143" s="59"/>
      <c r="CA143" s="59"/>
      <c r="CB143" s="59"/>
      <c r="CC143" s="59"/>
      <c r="CD143" s="59"/>
      <c r="CE143" s="59"/>
      <c r="CF143" s="59"/>
      <c r="CG143" s="59"/>
      <c r="CH143" s="59"/>
      <c r="CI143" s="59"/>
      <c r="CJ143" s="59"/>
      <c r="CK143" s="59"/>
      <c r="CL143" s="59"/>
      <c r="CM143" s="59"/>
      <c r="CN143" s="59"/>
      <c r="CO143" s="59"/>
      <c r="CP143" s="59"/>
      <c r="CQ143" s="59"/>
      <c r="CR143" s="59"/>
      <c r="CS143" s="59"/>
      <c r="CT143" s="59"/>
      <c r="CU143" s="59"/>
      <c r="CV143" s="59"/>
      <c r="CW143" s="59"/>
      <c r="CX143" s="59"/>
      <c r="CY143" s="59"/>
      <c r="CZ143" s="59"/>
      <c r="DA143" s="59"/>
      <c r="DB143" s="59"/>
      <c r="DC143" s="59"/>
      <c r="DD143" s="59"/>
      <c r="DE143" s="59"/>
      <c r="DF143" s="59"/>
      <c r="DG143" s="59"/>
      <c r="DH143" s="59"/>
      <c r="DI143" s="59"/>
      <c r="DJ143" s="59"/>
      <c r="DK143" s="59"/>
      <c r="DL143" s="59"/>
      <c r="DM143" s="59"/>
      <c r="DN143" s="59"/>
      <c r="DO143" s="59"/>
      <c r="DP143" s="59"/>
      <c r="DQ143" s="59"/>
      <c r="DR143" s="59"/>
      <c r="DS143" s="59"/>
      <c r="DT143" s="59"/>
      <c r="DU143" s="59"/>
      <c r="DV143" s="59"/>
      <c r="DW143" s="59"/>
      <c r="DX143" s="59"/>
      <c r="DY143" s="59"/>
      <c r="DZ143" s="59"/>
      <c r="EA143" s="59"/>
      <c r="EB143" s="59"/>
      <c r="EC143" s="59"/>
      <c r="ED143" s="59"/>
      <c r="EE143" s="59"/>
      <c r="EF143" s="59"/>
      <c r="EG143" s="59"/>
      <c r="EH143" s="59"/>
      <c r="EI143" s="59"/>
      <c r="EJ143" s="59"/>
      <c r="EK143" s="59"/>
      <c r="EL143" s="59"/>
      <c r="EM143" s="59"/>
      <c r="EN143" s="59"/>
      <c r="EO143" s="59"/>
      <c r="EP143" s="59"/>
      <c r="EQ143" s="59"/>
      <c r="ER143" s="59"/>
      <c r="ES143" s="59"/>
      <c r="ET143" s="59"/>
      <c r="EU143" s="59"/>
      <c r="EV143" s="59"/>
      <c r="EW143" s="59"/>
      <c r="EX143" s="59"/>
      <c r="EY143" s="59"/>
      <c r="EZ143" s="59"/>
      <c r="FA143" s="59"/>
      <c r="FB143" s="59"/>
      <c r="FC143" s="59"/>
      <c r="FD143" s="59"/>
      <c r="FE143" s="59"/>
      <c r="FF143" s="59"/>
      <c r="FG143" s="59"/>
      <c r="FH143" s="59"/>
      <c r="FI143" s="59"/>
      <c r="FJ143" s="59"/>
      <c r="FK143" s="59"/>
      <c r="FL143" s="59"/>
      <c r="FM143" s="59"/>
      <c r="FN143" s="59"/>
      <c r="FO143" s="59"/>
      <c r="FP143" s="59"/>
      <c r="FQ143" s="59"/>
      <c r="FR143" s="59"/>
      <c r="FS143" s="59"/>
      <c r="FT143" s="59"/>
      <c r="FU143" s="59"/>
      <c r="FV143" s="59"/>
      <c r="FW143" s="59"/>
      <c r="FX143" s="59"/>
      <c r="FY143" s="59"/>
      <c r="FZ143" s="59"/>
      <c r="GA143" s="59"/>
      <c r="GB143" s="59"/>
      <c r="GC143" s="59"/>
      <c r="GD143" s="59"/>
      <c r="GE143" s="59"/>
      <c r="GF143" s="59"/>
      <c r="GG143" s="59"/>
      <c r="GH143" s="59"/>
      <c r="GI143" s="59"/>
      <c r="GJ143" s="59"/>
      <c r="GK143" s="59"/>
      <c r="GL143" s="59"/>
      <c r="GM143" s="59"/>
      <c r="GN143" s="59"/>
    </row>
    <row r="144" spans="1:196" x14ac:dyDescent="0.3">
      <c r="A144" s="59"/>
      <c r="B144" s="59"/>
      <c r="C144" s="59"/>
      <c r="D144" s="59"/>
      <c r="E144" s="59"/>
      <c r="F144" s="59"/>
      <c r="G144" s="59"/>
      <c r="H144" s="59"/>
      <c r="I144" s="59"/>
      <c r="J144" s="59"/>
      <c r="K144" s="59"/>
      <c r="L144" s="59"/>
      <c r="M144" s="59"/>
      <c r="N144" s="59"/>
      <c r="O144" s="59"/>
      <c r="P144" s="59"/>
      <c r="Q144" s="59"/>
      <c r="R144" s="59"/>
      <c r="S144" s="59"/>
      <c r="T144" s="59"/>
      <c r="U144" s="59"/>
      <c r="V144" s="59"/>
      <c r="W144" s="59"/>
      <c r="X144" s="59"/>
      <c r="Y144" s="59"/>
      <c r="Z144" s="59"/>
      <c r="AA144" s="59"/>
      <c r="AB144" s="59"/>
      <c r="AC144" s="59"/>
      <c r="AD144" s="59"/>
      <c r="AE144" s="59"/>
      <c r="AF144" s="59"/>
      <c r="AG144" s="59"/>
      <c r="AH144" s="59"/>
      <c r="AI144" s="59"/>
      <c r="AJ144" s="59"/>
      <c r="AK144" s="59"/>
      <c r="AL144" s="59"/>
      <c r="AM144" s="59"/>
      <c r="AN144" s="59"/>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c r="BU144" s="59"/>
      <c r="BV144" s="59"/>
      <c r="BW144" s="59"/>
      <c r="BX144" s="59"/>
      <c r="BY144" s="59"/>
      <c r="BZ144" s="59"/>
      <c r="CA144" s="59"/>
      <c r="CB144" s="59"/>
      <c r="CC144" s="59"/>
      <c r="CD144" s="59"/>
      <c r="CE144" s="59"/>
      <c r="CF144" s="59"/>
      <c r="CG144" s="59"/>
      <c r="CH144" s="59"/>
      <c r="CI144" s="59"/>
      <c r="CJ144" s="59"/>
      <c r="CK144" s="59"/>
      <c r="CL144" s="59"/>
      <c r="CM144" s="59"/>
      <c r="CN144" s="59"/>
      <c r="CO144" s="59"/>
      <c r="CP144" s="59"/>
      <c r="CQ144" s="59"/>
      <c r="CR144" s="59"/>
      <c r="CS144" s="59"/>
      <c r="CT144" s="59"/>
      <c r="CU144" s="59"/>
      <c r="CV144" s="59"/>
      <c r="CW144" s="59"/>
      <c r="CX144" s="59"/>
      <c r="CY144" s="59"/>
      <c r="CZ144" s="59"/>
      <c r="DA144" s="59"/>
      <c r="DB144" s="59"/>
      <c r="DC144" s="59"/>
      <c r="DD144" s="59"/>
      <c r="DE144" s="59"/>
      <c r="DF144" s="59"/>
      <c r="DG144" s="59"/>
      <c r="DH144" s="59"/>
      <c r="DI144" s="59"/>
      <c r="DJ144" s="59"/>
      <c r="DK144" s="59"/>
      <c r="DL144" s="59"/>
      <c r="DM144" s="59"/>
      <c r="DN144" s="59"/>
      <c r="DO144" s="59"/>
      <c r="DP144" s="59"/>
      <c r="DQ144" s="59"/>
      <c r="DR144" s="59"/>
      <c r="DS144" s="59"/>
      <c r="DT144" s="59"/>
      <c r="DU144" s="59"/>
      <c r="DV144" s="59"/>
      <c r="DW144" s="59"/>
      <c r="DX144" s="59"/>
      <c r="DY144" s="59"/>
      <c r="DZ144" s="59"/>
      <c r="EA144" s="59"/>
      <c r="EB144" s="59"/>
      <c r="EC144" s="59"/>
      <c r="ED144" s="59"/>
      <c r="EE144" s="59"/>
      <c r="EF144" s="59"/>
      <c r="EG144" s="59"/>
      <c r="EH144" s="59"/>
      <c r="EI144" s="59"/>
      <c r="EJ144" s="59"/>
      <c r="EK144" s="59"/>
      <c r="EL144" s="59"/>
      <c r="EM144" s="59"/>
      <c r="EN144" s="59"/>
      <c r="EO144" s="59"/>
      <c r="EP144" s="59"/>
      <c r="EQ144" s="59"/>
      <c r="ER144" s="59"/>
      <c r="ES144" s="59"/>
      <c r="ET144" s="59"/>
      <c r="EU144" s="59"/>
      <c r="EV144" s="59"/>
      <c r="EW144" s="59"/>
      <c r="EX144" s="59"/>
      <c r="EY144" s="59"/>
      <c r="EZ144" s="59"/>
      <c r="FA144" s="59"/>
      <c r="FB144" s="59"/>
      <c r="FC144" s="59"/>
      <c r="FD144" s="59"/>
      <c r="FE144" s="59"/>
      <c r="FF144" s="59"/>
      <c r="FG144" s="59"/>
      <c r="FH144" s="59"/>
      <c r="FI144" s="59"/>
      <c r="FJ144" s="59"/>
      <c r="FK144" s="59"/>
      <c r="FL144" s="59"/>
      <c r="FM144" s="59"/>
      <c r="FN144" s="59"/>
      <c r="FO144" s="59"/>
      <c r="FP144" s="59"/>
      <c r="FQ144" s="59"/>
      <c r="FR144" s="59"/>
      <c r="FS144" s="59"/>
      <c r="FT144" s="59"/>
      <c r="FU144" s="59"/>
      <c r="FV144" s="59"/>
      <c r="FW144" s="59"/>
      <c r="FX144" s="59"/>
      <c r="FY144" s="59"/>
      <c r="FZ144" s="59"/>
      <c r="GA144" s="59"/>
      <c r="GB144" s="59"/>
      <c r="GC144" s="59"/>
      <c r="GD144" s="59"/>
      <c r="GE144" s="59"/>
      <c r="GF144" s="59"/>
      <c r="GG144" s="59"/>
      <c r="GH144" s="59"/>
      <c r="GI144" s="59"/>
      <c r="GJ144" s="59"/>
      <c r="GK144" s="59"/>
      <c r="GL144" s="59"/>
      <c r="GM144" s="59"/>
      <c r="GN144" s="59"/>
    </row>
    <row r="145" spans="1:196" x14ac:dyDescent="0.3">
      <c r="A145" s="59"/>
      <c r="B145" s="59"/>
      <c r="C145" s="59"/>
      <c r="D145" s="59"/>
      <c r="E145" s="59"/>
      <c r="F145" s="59"/>
      <c r="G145" s="59"/>
      <c r="H145" s="59"/>
      <c r="I145" s="59"/>
      <c r="J145" s="59"/>
      <c r="K145" s="59"/>
      <c r="L145" s="59"/>
      <c r="M145" s="59"/>
      <c r="N145" s="59"/>
      <c r="O145" s="59"/>
      <c r="P145" s="59"/>
      <c r="Q145" s="59"/>
      <c r="R145" s="59"/>
      <c r="S145" s="59"/>
      <c r="T145" s="59"/>
      <c r="U145" s="59"/>
      <c r="V145" s="59"/>
      <c r="W145" s="59"/>
      <c r="X145" s="59"/>
      <c r="Y145" s="59"/>
      <c r="Z145" s="59"/>
      <c r="AA145" s="59"/>
      <c r="AB145" s="59"/>
      <c r="AC145" s="59"/>
      <c r="AD145" s="59"/>
      <c r="AE145" s="59"/>
      <c r="AF145" s="59"/>
      <c r="AG145" s="59"/>
      <c r="AH145" s="59"/>
      <c r="AI145" s="59"/>
      <c r="AJ145" s="59"/>
      <c r="AK145" s="59"/>
      <c r="AL145" s="59"/>
      <c r="AM145" s="59"/>
      <c r="AN145" s="59"/>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c r="BU145" s="59"/>
      <c r="BV145" s="59"/>
      <c r="BW145" s="59"/>
      <c r="BX145" s="59"/>
      <c r="BY145" s="59"/>
      <c r="BZ145" s="59"/>
      <c r="CA145" s="59"/>
      <c r="CB145" s="59"/>
      <c r="CC145" s="59"/>
      <c r="CD145" s="59"/>
      <c r="CE145" s="59"/>
      <c r="CF145" s="59"/>
      <c r="CG145" s="59"/>
      <c r="CH145" s="59"/>
      <c r="CI145" s="59"/>
      <c r="CJ145" s="59"/>
      <c r="CK145" s="59"/>
      <c r="CL145" s="59"/>
      <c r="CM145" s="59"/>
      <c r="CN145" s="59"/>
      <c r="CO145" s="59"/>
      <c r="CP145" s="59"/>
      <c r="CQ145" s="59"/>
      <c r="CR145" s="59"/>
      <c r="CS145" s="59"/>
      <c r="CT145" s="59"/>
      <c r="CU145" s="59"/>
      <c r="CV145" s="59"/>
      <c r="CW145" s="59"/>
      <c r="CX145" s="59"/>
      <c r="CY145" s="59"/>
      <c r="CZ145" s="59"/>
      <c r="DA145" s="59"/>
      <c r="DB145" s="59"/>
      <c r="DC145" s="59"/>
      <c r="DD145" s="59"/>
      <c r="DE145" s="59"/>
      <c r="DF145" s="59"/>
      <c r="DG145" s="59"/>
      <c r="DH145" s="59"/>
      <c r="DI145" s="59"/>
      <c r="DJ145" s="59"/>
      <c r="DK145" s="59"/>
      <c r="DL145" s="59"/>
      <c r="DM145" s="59"/>
      <c r="DN145" s="59"/>
      <c r="DO145" s="59"/>
      <c r="DP145" s="59"/>
      <c r="DQ145" s="59"/>
      <c r="DR145" s="59"/>
      <c r="DS145" s="59"/>
      <c r="DT145" s="59"/>
      <c r="DU145" s="59"/>
      <c r="DV145" s="59"/>
      <c r="DW145" s="59"/>
      <c r="DX145" s="59"/>
      <c r="DY145" s="59"/>
      <c r="DZ145" s="59"/>
      <c r="EA145" s="59"/>
      <c r="EB145" s="59"/>
      <c r="EC145" s="59"/>
      <c r="ED145" s="59"/>
      <c r="EE145" s="59"/>
      <c r="EF145" s="59"/>
      <c r="EG145" s="59"/>
      <c r="EH145" s="59"/>
      <c r="EI145" s="59"/>
      <c r="EJ145" s="59"/>
      <c r="EK145" s="59"/>
      <c r="EL145" s="59"/>
      <c r="EM145" s="59"/>
      <c r="EN145" s="59"/>
      <c r="EO145" s="59"/>
      <c r="EP145" s="59"/>
      <c r="EQ145" s="59"/>
      <c r="ER145" s="59"/>
      <c r="ES145" s="59"/>
      <c r="ET145" s="59"/>
      <c r="EU145" s="59"/>
      <c r="EV145" s="59"/>
      <c r="EW145" s="59"/>
      <c r="EX145" s="59"/>
      <c r="EY145" s="59"/>
      <c r="EZ145" s="59"/>
      <c r="FA145" s="59"/>
      <c r="FB145" s="59"/>
      <c r="FC145" s="59"/>
      <c r="FD145" s="59"/>
      <c r="FE145" s="59"/>
      <c r="FF145" s="59"/>
      <c r="FG145" s="59"/>
      <c r="FH145" s="59"/>
      <c r="FI145" s="59"/>
      <c r="FJ145" s="59"/>
      <c r="FK145" s="59"/>
      <c r="FL145" s="59"/>
      <c r="FM145" s="59"/>
      <c r="FN145" s="59"/>
      <c r="FO145" s="59"/>
      <c r="FP145" s="59"/>
      <c r="FQ145" s="59"/>
      <c r="FR145" s="59"/>
      <c r="FS145" s="59"/>
      <c r="FT145" s="59"/>
      <c r="FU145" s="59"/>
      <c r="FV145" s="59"/>
      <c r="FW145" s="59"/>
      <c r="FX145" s="59"/>
      <c r="FY145" s="59"/>
      <c r="FZ145" s="59"/>
      <c r="GA145" s="59"/>
      <c r="GB145" s="59"/>
      <c r="GC145" s="59"/>
      <c r="GD145" s="59"/>
      <c r="GE145" s="59"/>
      <c r="GF145" s="59"/>
      <c r="GG145" s="59"/>
      <c r="GH145" s="59"/>
      <c r="GI145" s="59"/>
      <c r="GJ145" s="59"/>
      <c r="GK145" s="59"/>
      <c r="GL145" s="59"/>
      <c r="GM145" s="59"/>
      <c r="GN145" s="59"/>
    </row>
    <row r="146" spans="1:196" x14ac:dyDescent="0.3">
      <c r="A146" s="59"/>
      <c r="B146" s="59"/>
      <c r="C146" s="59"/>
      <c r="D146" s="59"/>
      <c r="E146" s="59"/>
      <c r="F146" s="59"/>
      <c r="G146" s="59"/>
      <c r="H146" s="59"/>
      <c r="I146" s="59"/>
      <c r="J146" s="59"/>
      <c r="K146" s="59"/>
      <c r="L146" s="59"/>
      <c r="M146" s="59"/>
      <c r="N146" s="59"/>
      <c r="O146" s="59"/>
      <c r="P146" s="59"/>
      <c r="Q146" s="59"/>
      <c r="R146" s="59"/>
      <c r="S146" s="59"/>
      <c r="T146" s="59"/>
      <c r="U146" s="59"/>
      <c r="V146" s="59"/>
      <c r="W146" s="59"/>
      <c r="X146" s="59"/>
      <c r="Y146" s="59"/>
      <c r="Z146" s="59"/>
      <c r="AA146" s="59"/>
      <c r="AB146" s="59"/>
      <c r="AC146" s="59"/>
      <c r="AD146" s="59"/>
      <c r="AE146" s="59"/>
      <c r="AF146" s="59"/>
      <c r="AG146" s="59"/>
      <c r="AH146" s="59"/>
      <c r="AI146" s="59"/>
      <c r="AJ146" s="59"/>
      <c r="AK146" s="59"/>
      <c r="AL146" s="59"/>
      <c r="AM146" s="59"/>
      <c r="AN146" s="59"/>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c r="BU146" s="59"/>
      <c r="BV146" s="59"/>
      <c r="BW146" s="59"/>
      <c r="BX146" s="59"/>
      <c r="BY146" s="59"/>
      <c r="BZ146" s="59"/>
      <c r="CA146" s="59"/>
      <c r="CB146" s="59"/>
      <c r="CC146" s="59"/>
      <c r="CD146" s="59"/>
      <c r="CE146" s="59"/>
      <c r="CF146" s="59"/>
      <c r="CG146" s="59"/>
      <c r="CH146" s="59"/>
      <c r="CI146" s="59"/>
      <c r="CJ146" s="59"/>
      <c r="CK146" s="59"/>
      <c r="CL146" s="59"/>
      <c r="CM146" s="59"/>
      <c r="CN146" s="59"/>
      <c r="CO146" s="59"/>
      <c r="CP146" s="59"/>
      <c r="CQ146" s="59"/>
      <c r="CR146" s="59"/>
      <c r="CS146" s="59"/>
      <c r="CT146" s="59"/>
      <c r="CU146" s="59"/>
      <c r="CV146" s="59"/>
      <c r="CW146" s="59"/>
      <c r="CX146" s="59"/>
      <c r="CY146" s="59"/>
      <c r="CZ146" s="59"/>
      <c r="DA146" s="59"/>
      <c r="DB146" s="59"/>
      <c r="DC146" s="59"/>
      <c r="DD146" s="59"/>
      <c r="DE146" s="59"/>
      <c r="DF146" s="59"/>
      <c r="DG146" s="59"/>
      <c r="DH146" s="59"/>
      <c r="DI146" s="59"/>
      <c r="DJ146" s="59"/>
      <c r="DK146" s="59"/>
      <c r="DL146" s="59"/>
      <c r="DM146" s="59"/>
      <c r="DN146" s="59"/>
      <c r="DO146" s="59"/>
      <c r="DP146" s="59"/>
      <c r="DQ146" s="59"/>
      <c r="DR146" s="59"/>
      <c r="DS146" s="59"/>
      <c r="DT146" s="59"/>
      <c r="DU146" s="59"/>
      <c r="DV146" s="59"/>
      <c r="DW146" s="59"/>
      <c r="DX146" s="59"/>
      <c r="DY146" s="59"/>
      <c r="DZ146" s="59"/>
      <c r="EA146" s="59"/>
      <c r="EB146" s="59"/>
      <c r="EC146" s="59"/>
      <c r="ED146" s="59"/>
      <c r="EE146" s="59"/>
      <c r="EF146" s="59"/>
      <c r="EG146" s="59"/>
      <c r="EH146" s="59"/>
      <c r="EI146" s="59"/>
      <c r="EJ146" s="59"/>
      <c r="EK146" s="59"/>
      <c r="EL146" s="59"/>
      <c r="EM146" s="59"/>
      <c r="EN146" s="59"/>
      <c r="EO146" s="59"/>
      <c r="EP146" s="59"/>
      <c r="EQ146" s="59"/>
      <c r="ER146" s="59"/>
      <c r="ES146" s="59"/>
      <c r="ET146" s="59"/>
      <c r="EU146" s="59"/>
      <c r="EV146" s="59"/>
      <c r="EW146" s="59"/>
      <c r="EX146" s="59"/>
      <c r="EY146" s="59"/>
      <c r="EZ146" s="59"/>
      <c r="FA146" s="59"/>
      <c r="FB146" s="59"/>
      <c r="FC146" s="59"/>
      <c r="FD146" s="59"/>
      <c r="FE146" s="59"/>
      <c r="FF146" s="59"/>
      <c r="FG146" s="59"/>
      <c r="FH146" s="59"/>
      <c r="FI146" s="59"/>
      <c r="FJ146" s="59"/>
      <c r="FK146" s="59"/>
      <c r="FL146" s="59"/>
      <c r="FM146" s="59"/>
      <c r="FN146" s="59"/>
      <c r="FO146" s="59"/>
      <c r="FP146" s="59"/>
      <c r="FQ146" s="59"/>
      <c r="FR146" s="59"/>
      <c r="FS146" s="59"/>
      <c r="FT146" s="59"/>
      <c r="FU146" s="59"/>
      <c r="FV146" s="59"/>
      <c r="FW146" s="59"/>
      <c r="FX146" s="59"/>
      <c r="FY146" s="59"/>
      <c r="FZ146" s="59"/>
      <c r="GA146" s="59"/>
      <c r="GB146" s="59"/>
      <c r="GC146" s="59"/>
      <c r="GD146" s="59"/>
      <c r="GE146" s="59"/>
      <c r="GF146" s="59"/>
      <c r="GG146" s="59"/>
      <c r="GH146" s="59"/>
      <c r="GI146" s="59"/>
      <c r="GJ146" s="59"/>
      <c r="GK146" s="59"/>
      <c r="GL146" s="59"/>
      <c r="GM146" s="59"/>
      <c r="GN146" s="59"/>
    </row>
    <row r="147" spans="1:196" x14ac:dyDescent="0.3">
      <c r="A147" s="59"/>
      <c r="B147" s="59"/>
      <c r="C147" s="59"/>
      <c r="D147" s="59"/>
      <c r="E147" s="59"/>
      <c r="F147" s="59"/>
      <c r="G147" s="59"/>
      <c r="H147" s="59"/>
      <c r="I147" s="59"/>
      <c r="J147" s="59"/>
      <c r="K147" s="59"/>
      <c r="L147" s="59"/>
      <c r="M147" s="59"/>
      <c r="N147" s="59"/>
      <c r="O147" s="59"/>
      <c r="P147" s="59"/>
      <c r="Q147" s="59"/>
      <c r="R147" s="59"/>
      <c r="S147" s="59"/>
      <c r="T147" s="59"/>
      <c r="U147" s="59"/>
      <c r="V147" s="59"/>
      <c r="W147" s="59"/>
      <c r="X147" s="59"/>
      <c r="Y147" s="59"/>
      <c r="Z147" s="59"/>
      <c r="AA147" s="59"/>
      <c r="AB147" s="59"/>
      <c r="AC147" s="59"/>
      <c r="AD147" s="59"/>
      <c r="AE147" s="59"/>
      <c r="AF147" s="59"/>
      <c r="AG147" s="59"/>
      <c r="AH147" s="59"/>
      <c r="AI147" s="59"/>
      <c r="AJ147" s="59"/>
      <c r="AK147" s="59"/>
      <c r="AL147" s="59"/>
      <c r="AM147" s="59"/>
      <c r="AN147" s="59"/>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c r="BU147" s="59"/>
      <c r="BV147" s="59"/>
      <c r="BW147" s="59"/>
      <c r="BX147" s="59"/>
      <c r="BY147" s="59"/>
      <c r="BZ147" s="59"/>
      <c r="CA147" s="59"/>
      <c r="CB147" s="59"/>
      <c r="CC147" s="59"/>
      <c r="CD147" s="59"/>
      <c r="CE147" s="59"/>
      <c r="CF147" s="59"/>
      <c r="CG147" s="59"/>
      <c r="CH147" s="59"/>
      <c r="CI147" s="59"/>
      <c r="CJ147" s="59"/>
      <c r="CK147" s="59"/>
      <c r="CL147" s="59"/>
      <c r="CM147" s="59"/>
      <c r="CN147" s="59"/>
      <c r="CO147" s="59"/>
      <c r="CP147" s="59"/>
      <c r="CQ147" s="59"/>
      <c r="CR147" s="59"/>
      <c r="CS147" s="59"/>
      <c r="CT147" s="59"/>
      <c r="CU147" s="59"/>
      <c r="CV147" s="59"/>
      <c r="CW147" s="59"/>
      <c r="CX147" s="59"/>
      <c r="CY147" s="59"/>
      <c r="CZ147" s="59"/>
      <c r="DA147" s="59"/>
      <c r="DB147" s="59"/>
      <c r="DC147" s="59"/>
      <c r="DD147" s="59"/>
      <c r="DE147" s="59"/>
      <c r="DF147" s="59"/>
      <c r="DG147" s="59"/>
      <c r="DH147" s="59"/>
      <c r="DI147" s="59"/>
      <c r="DJ147" s="59"/>
      <c r="DK147" s="59"/>
      <c r="DL147" s="59"/>
      <c r="DM147" s="59"/>
      <c r="DN147" s="59"/>
      <c r="DO147" s="59"/>
      <c r="DP147" s="59"/>
      <c r="DQ147" s="59"/>
      <c r="DR147" s="59"/>
      <c r="DS147" s="59"/>
      <c r="DT147" s="59"/>
      <c r="DU147" s="59"/>
      <c r="DV147" s="59"/>
      <c r="DW147" s="59"/>
      <c r="DX147" s="59"/>
      <c r="DY147" s="59"/>
      <c r="DZ147" s="59"/>
      <c r="EA147" s="59"/>
      <c r="EB147" s="59"/>
      <c r="EC147" s="59"/>
      <c r="ED147" s="59"/>
      <c r="EE147" s="59"/>
      <c r="EF147" s="59"/>
      <c r="EG147" s="59"/>
      <c r="EH147" s="59"/>
      <c r="EI147" s="59"/>
      <c r="EJ147" s="59"/>
      <c r="EK147" s="59"/>
      <c r="EL147" s="59"/>
      <c r="EM147" s="59"/>
      <c r="EN147" s="59"/>
      <c r="EO147" s="59"/>
      <c r="EP147" s="59"/>
      <c r="EQ147" s="59"/>
      <c r="ER147" s="59"/>
      <c r="ES147" s="59"/>
      <c r="ET147" s="59"/>
      <c r="EU147" s="59"/>
      <c r="EV147" s="59"/>
      <c r="EW147" s="59"/>
      <c r="EX147" s="59"/>
      <c r="EY147" s="59"/>
      <c r="EZ147" s="59"/>
      <c r="FA147" s="59"/>
      <c r="FB147" s="59"/>
      <c r="FC147" s="59"/>
      <c r="FD147" s="59"/>
      <c r="FE147" s="59"/>
      <c r="FF147" s="59"/>
      <c r="FG147" s="59"/>
      <c r="FH147" s="59"/>
      <c r="FI147" s="59"/>
      <c r="FJ147" s="59"/>
      <c r="FK147" s="59"/>
      <c r="FL147" s="59"/>
      <c r="FM147" s="59"/>
      <c r="FN147" s="59"/>
      <c r="FO147" s="59"/>
      <c r="FP147" s="59"/>
      <c r="FQ147" s="59"/>
      <c r="FR147" s="59"/>
      <c r="FS147" s="59"/>
      <c r="FT147" s="59"/>
      <c r="FU147" s="59"/>
      <c r="FV147" s="59"/>
      <c r="FW147" s="59"/>
      <c r="FX147" s="59"/>
      <c r="FY147" s="59"/>
      <c r="FZ147" s="59"/>
      <c r="GA147" s="59"/>
      <c r="GB147" s="59"/>
      <c r="GC147" s="59"/>
      <c r="GD147" s="59"/>
      <c r="GE147" s="59"/>
      <c r="GF147" s="59"/>
      <c r="GG147" s="59"/>
      <c r="GH147" s="59"/>
      <c r="GI147" s="59"/>
      <c r="GJ147" s="59"/>
      <c r="GK147" s="59"/>
      <c r="GL147" s="59"/>
      <c r="GM147" s="59"/>
      <c r="GN147" s="59"/>
    </row>
    <row r="148" spans="1:196" x14ac:dyDescent="0.3">
      <c r="A148" s="59"/>
      <c r="B148" s="59"/>
      <c r="C148" s="59"/>
      <c r="D148" s="59"/>
      <c r="E148" s="59"/>
      <c r="F148" s="59"/>
      <c r="G148" s="59"/>
      <c r="H148" s="59"/>
      <c r="I148" s="59"/>
      <c r="J148" s="59"/>
      <c r="K148" s="59"/>
      <c r="L148" s="59"/>
      <c r="M148" s="59"/>
      <c r="N148" s="59"/>
      <c r="O148" s="59"/>
      <c r="P148" s="59"/>
      <c r="Q148" s="59"/>
      <c r="R148" s="59"/>
      <c r="S148" s="59"/>
      <c r="T148" s="59"/>
      <c r="U148" s="59"/>
      <c r="V148" s="59"/>
      <c r="W148" s="59"/>
      <c r="X148" s="59"/>
      <c r="Y148" s="59"/>
      <c r="Z148" s="59"/>
      <c r="AA148" s="59"/>
      <c r="AB148" s="59"/>
      <c r="AC148" s="59"/>
      <c r="AD148" s="59"/>
      <c r="AE148" s="59"/>
      <c r="AF148" s="59"/>
      <c r="AG148" s="59"/>
      <c r="AH148" s="59"/>
      <c r="AI148" s="59"/>
      <c r="AJ148" s="59"/>
      <c r="AK148" s="59"/>
      <c r="AL148" s="59"/>
      <c r="AM148" s="59"/>
      <c r="AN148" s="59"/>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c r="BU148" s="59"/>
      <c r="BV148" s="59"/>
      <c r="BW148" s="59"/>
      <c r="BX148" s="59"/>
      <c r="BY148" s="59"/>
      <c r="BZ148" s="59"/>
      <c r="CA148" s="59"/>
      <c r="CB148" s="59"/>
      <c r="CC148" s="59"/>
      <c r="CD148" s="59"/>
      <c r="CE148" s="59"/>
      <c r="CF148" s="59"/>
      <c r="CG148" s="59"/>
      <c r="CH148" s="59"/>
      <c r="CI148" s="59"/>
      <c r="CJ148" s="59"/>
      <c r="CK148" s="59"/>
      <c r="CL148" s="59"/>
      <c r="CM148" s="59"/>
      <c r="CN148" s="59"/>
      <c r="CO148" s="59"/>
      <c r="CP148" s="59"/>
      <c r="CQ148" s="59"/>
      <c r="CR148" s="59"/>
      <c r="CS148" s="59"/>
      <c r="CT148" s="59"/>
      <c r="CU148" s="59"/>
      <c r="CV148" s="59"/>
      <c r="CW148" s="59"/>
      <c r="CX148" s="59"/>
      <c r="CY148" s="59"/>
      <c r="CZ148" s="59"/>
      <c r="DA148" s="59"/>
      <c r="DB148" s="59"/>
      <c r="DC148" s="59"/>
      <c r="DD148" s="59"/>
      <c r="DE148" s="59"/>
      <c r="DF148" s="59"/>
      <c r="DG148" s="59"/>
      <c r="DH148" s="59"/>
      <c r="DI148" s="59"/>
      <c r="DJ148" s="59"/>
      <c r="DK148" s="59"/>
      <c r="DL148" s="59"/>
      <c r="DM148" s="59"/>
      <c r="DN148" s="59"/>
      <c r="DO148" s="59"/>
      <c r="DP148" s="59"/>
      <c r="DQ148" s="59"/>
      <c r="DR148" s="59"/>
      <c r="DS148" s="59"/>
      <c r="DT148" s="59"/>
      <c r="DU148" s="59"/>
      <c r="DV148" s="59"/>
      <c r="DW148" s="59"/>
      <c r="DX148" s="59"/>
      <c r="DY148" s="59"/>
      <c r="DZ148" s="59"/>
      <c r="EA148" s="59"/>
      <c r="EB148" s="59"/>
      <c r="EC148" s="59"/>
      <c r="ED148" s="59"/>
      <c r="EE148" s="59"/>
      <c r="EF148" s="59"/>
      <c r="EG148" s="59"/>
      <c r="EH148" s="59"/>
      <c r="EI148" s="59"/>
      <c r="EJ148" s="59"/>
      <c r="EK148" s="59"/>
      <c r="EL148" s="59"/>
      <c r="EM148" s="59"/>
      <c r="EN148" s="59"/>
      <c r="EO148" s="59"/>
      <c r="EP148" s="59"/>
      <c r="EQ148" s="59"/>
      <c r="ER148" s="59"/>
      <c r="ES148" s="59"/>
      <c r="ET148" s="59"/>
      <c r="EU148" s="59"/>
      <c r="EV148" s="59"/>
      <c r="EW148" s="59"/>
      <c r="EX148" s="59"/>
      <c r="EY148" s="59"/>
      <c r="EZ148" s="59"/>
      <c r="FA148" s="59"/>
      <c r="FB148" s="59"/>
      <c r="FC148" s="59"/>
      <c r="FD148" s="59"/>
      <c r="FE148" s="59"/>
      <c r="FF148" s="59"/>
      <c r="FG148" s="59"/>
      <c r="FH148" s="59"/>
      <c r="FI148" s="59"/>
      <c r="FJ148" s="59"/>
      <c r="FK148" s="59"/>
      <c r="FL148" s="59"/>
      <c r="FM148" s="59"/>
      <c r="FN148" s="59"/>
      <c r="FO148" s="59"/>
      <c r="FP148" s="59"/>
      <c r="FQ148" s="59"/>
      <c r="FR148" s="59"/>
      <c r="FS148" s="59"/>
      <c r="FT148" s="59"/>
      <c r="FU148" s="59"/>
      <c r="FV148" s="59"/>
      <c r="FW148" s="59"/>
      <c r="FX148" s="59"/>
      <c r="FY148" s="59"/>
      <c r="FZ148" s="59"/>
      <c r="GA148" s="59"/>
      <c r="GB148" s="59"/>
      <c r="GC148" s="59"/>
      <c r="GD148" s="59"/>
      <c r="GE148" s="59"/>
      <c r="GF148" s="59"/>
      <c r="GG148" s="59"/>
      <c r="GH148" s="59"/>
      <c r="GI148" s="59"/>
      <c r="GJ148" s="59"/>
      <c r="GK148" s="59"/>
      <c r="GL148" s="59"/>
      <c r="GM148" s="59"/>
      <c r="GN148" s="59"/>
    </row>
    <row r="149" spans="1:196" x14ac:dyDescent="0.3">
      <c r="A149" s="59"/>
      <c r="B149" s="59"/>
      <c r="C149" s="59"/>
      <c r="D149" s="59"/>
      <c r="E149" s="59"/>
      <c r="F149" s="59"/>
      <c r="G149" s="59"/>
      <c r="H149" s="59"/>
      <c r="I149" s="59"/>
      <c r="J149" s="59"/>
      <c r="K149" s="59"/>
      <c r="L149" s="59"/>
      <c r="M149" s="59"/>
      <c r="N149" s="59"/>
      <c r="O149" s="59"/>
      <c r="P149" s="59"/>
      <c r="Q149" s="59"/>
      <c r="R149" s="59"/>
      <c r="S149" s="59"/>
      <c r="T149" s="59"/>
      <c r="U149" s="59"/>
      <c r="V149" s="59"/>
      <c r="W149" s="59"/>
      <c r="X149" s="59"/>
      <c r="Y149" s="59"/>
      <c r="Z149" s="59"/>
      <c r="AA149" s="59"/>
      <c r="AB149" s="59"/>
      <c r="AC149" s="59"/>
      <c r="AD149" s="59"/>
      <c r="AE149" s="59"/>
      <c r="AF149" s="59"/>
      <c r="AG149" s="59"/>
      <c r="AH149" s="59"/>
      <c r="AI149" s="59"/>
      <c r="AJ149" s="59"/>
      <c r="AK149" s="59"/>
      <c r="AL149" s="59"/>
      <c r="AM149" s="59"/>
      <c r="AN149" s="59"/>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c r="BU149" s="59"/>
      <c r="BV149" s="59"/>
      <c r="BW149" s="59"/>
      <c r="BX149" s="59"/>
      <c r="BY149" s="59"/>
      <c r="BZ149" s="59"/>
      <c r="CA149" s="59"/>
      <c r="CB149" s="59"/>
      <c r="CC149" s="59"/>
      <c r="CD149" s="59"/>
      <c r="CE149" s="59"/>
      <c r="CF149" s="59"/>
      <c r="CG149" s="59"/>
      <c r="CH149" s="59"/>
      <c r="CI149" s="59"/>
      <c r="CJ149" s="59"/>
      <c r="CK149" s="59"/>
      <c r="CL149" s="59"/>
      <c r="CM149" s="59"/>
      <c r="CN149" s="59"/>
      <c r="CO149" s="59"/>
      <c r="CP149" s="59"/>
      <c r="CQ149" s="59"/>
      <c r="CR149" s="59"/>
      <c r="CS149" s="59"/>
      <c r="CT149" s="59"/>
      <c r="CU149" s="59"/>
      <c r="CV149" s="59"/>
      <c r="CW149" s="59"/>
      <c r="CX149" s="59"/>
      <c r="CY149" s="59"/>
      <c r="CZ149" s="59"/>
      <c r="DA149" s="59"/>
      <c r="DB149" s="59"/>
      <c r="DC149" s="59"/>
      <c r="DD149" s="59"/>
      <c r="DE149" s="59"/>
      <c r="DF149" s="59"/>
      <c r="DG149" s="59"/>
      <c r="DH149" s="59"/>
      <c r="DI149" s="59"/>
      <c r="DJ149" s="59"/>
      <c r="DK149" s="59"/>
      <c r="DL149" s="59"/>
      <c r="DM149" s="59"/>
      <c r="DN149" s="59"/>
      <c r="DO149" s="59"/>
      <c r="DP149" s="59"/>
      <c r="DQ149" s="59"/>
      <c r="DR149" s="59"/>
      <c r="DS149" s="59"/>
      <c r="DT149" s="59"/>
      <c r="DU149" s="59"/>
      <c r="DV149" s="59"/>
      <c r="DW149" s="59"/>
      <c r="DX149" s="59"/>
      <c r="DY149" s="59"/>
      <c r="DZ149" s="59"/>
      <c r="EA149" s="59"/>
      <c r="EB149" s="59"/>
      <c r="EC149" s="59"/>
      <c r="ED149" s="59"/>
      <c r="EE149" s="59"/>
      <c r="EF149" s="59"/>
      <c r="EG149" s="59"/>
      <c r="EH149" s="59"/>
      <c r="EI149" s="59"/>
      <c r="EJ149" s="59"/>
      <c r="EK149" s="59"/>
      <c r="EL149" s="59"/>
      <c r="EM149" s="59"/>
      <c r="EN149" s="59"/>
      <c r="EO149" s="59"/>
      <c r="EP149" s="59"/>
      <c r="EQ149" s="59"/>
      <c r="ER149" s="59"/>
      <c r="ES149" s="59"/>
      <c r="ET149" s="59"/>
      <c r="EU149" s="59"/>
      <c r="EV149" s="59"/>
      <c r="EW149" s="59"/>
      <c r="EX149" s="59"/>
      <c r="EY149" s="59"/>
      <c r="EZ149" s="59"/>
      <c r="FA149" s="59"/>
      <c r="FB149" s="59"/>
      <c r="FC149" s="59"/>
      <c r="FD149" s="59"/>
      <c r="FE149" s="59"/>
      <c r="FF149" s="59"/>
      <c r="FG149" s="59"/>
      <c r="FH149" s="59"/>
      <c r="FI149" s="59"/>
      <c r="FJ149" s="59"/>
      <c r="FK149" s="59"/>
      <c r="FL149" s="59"/>
      <c r="FM149" s="59"/>
      <c r="FN149" s="59"/>
      <c r="FO149" s="59"/>
      <c r="FP149" s="59"/>
      <c r="FQ149" s="59"/>
      <c r="FR149" s="59"/>
      <c r="FS149" s="59"/>
      <c r="FT149" s="59"/>
      <c r="FU149" s="59"/>
      <c r="FV149" s="59"/>
      <c r="FW149" s="59"/>
      <c r="FX149" s="59"/>
      <c r="FY149" s="59"/>
      <c r="FZ149" s="59"/>
      <c r="GA149" s="59"/>
      <c r="GB149" s="59"/>
      <c r="GC149" s="59"/>
      <c r="GD149" s="59"/>
      <c r="GE149" s="59"/>
      <c r="GF149" s="59"/>
      <c r="GG149" s="59"/>
      <c r="GH149" s="59"/>
      <c r="GI149" s="59"/>
      <c r="GJ149" s="59"/>
      <c r="GK149" s="59"/>
      <c r="GL149" s="59"/>
      <c r="GM149" s="59"/>
      <c r="GN149" s="59"/>
    </row>
    <row r="150" spans="1:196" x14ac:dyDescent="0.3">
      <c r="A150" s="59"/>
      <c r="B150" s="59"/>
      <c r="C150" s="59"/>
      <c r="D150" s="59"/>
      <c r="E150" s="59"/>
      <c r="F150" s="59"/>
      <c r="G150" s="59"/>
      <c r="H150" s="59"/>
      <c r="I150" s="59"/>
      <c r="J150" s="59"/>
      <c r="K150" s="59"/>
      <c r="L150" s="59"/>
      <c r="M150" s="59"/>
      <c r="N150" s="59"/>
      <c r="O150" s="59"/>
      <c r="P150" s="59"/>
      <c r="Q150" s="59"/>
      <c r="R150" s="59"/>
      <c r="S150" s="59"/>
      <c r="T150" s="59"/>
      <c r="U150" s="59"/>
      <c r="V150" s="59"/>
      <c r="W150" s="59"/>
      <c r="X150" s="59"/>
      <c r="Y150" s="59"/>
      <c r="Z150" s="59"/>
      <c r="AA150" s="59"/>
      <c r="AB150" s="59"/>
      <c r="AC150" s="59"/>
      <c r="AD150" s="59"/>
      <c r="AE150" s="59"/>
      <c r="AF150" s="59"/>
      <c r="AG150" s="59"/>
      <c r="AH150" s="59"/>
      <c r="AI150" s="59"/>
      <c r="AJ150" s="59"/>
      <c r="AK150" s="59"/>
      <c r="AL150" s="59"/>
      <c r="AM150" s="59"/>
      <c r="AN150" s="59"/>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c r="BU150" s="59"/>
      <c r="BV150" s="59"/>
      <c r="BW150" s="59"/>
      <c r="BX150" s="59"/>
      <c r="BY150" s="59"/>
      <c r="BZ150" s="59"/>
      <c r="CA150" s="59"/>
      <c r="CB150" s="59"/>
      <c r="CC150" s="59"/>
      <c r="CD150" s="59"/>
      <c r="CE150" s="59"/>
      <c r="CF150" s="59"/>
      <c r="CG150" s="59"/>
      <c r="CH150" s="59"/>
      <c r="CI150" s="59"/>
      <c r="CJ150" s="59"/>
      <c r="CK150" s="59"/>
      <c r="CL150" s="59"/>
      <c r="CM150" s="59"/>
      <c r="CN150" s="59"/>
      <c r="CO150" s="59"/>
      <c r="CP150" s="59"/>
      <c r="CQ150" s="59"/>
      <c r="CR150" s="59"/>
      <c r="CS150" s="59"/>
      <c r="CT150" s="59"/>
      <c r="CU150" s="59"/>
      <c r="CV150" s="59"/>
      <c r="CW150" s="59"/>
      <c r="CX150" s="59"/>
      <c r="CY150" s="59"/>
      <c r="CZ150" s="59"/>
      <c r="DA150" s="59"/>
      <c r="DB150" s="59"/>
      <c r="DC150" s="59"/>
      <c r="DD150" s="59"/>
      <c r="DE150" s="59"/>
      <c r="DF150" s="59"/>
      <c r="DG150" s="59"/>
      <c r="DH150" s="59"/>
      <c r="DI150" s="59"/>
      <c r="DJ150" s="59"/>
      <c r="DK150" s="59"/>
      <c r="DL150" s="59"/>
      <c r="DM150" s="59"/>
      <c r="DN150" s="59"/>
      <c r="DO150" s="59"/>
      <c r="DP150" s="59"/>
      <c r="DQ150" s="59"/>
      <c r="DR150" s="59"/>
      <c r="DS150" s="59"/>
      <c r="DT150" s="59"/>
      <c r="DU150" s="59"/>
      <c r="DV150" s="59"/>
      <c r="DW150" s="59"/>
      <c r="DX150" s="59"/>
      <c r="DY150" s="59"/>
      <c r="DZ150" s="59"/>
      <c r="EA150" s="59"/>
      <c r="EB150" s="59"/>
      <c r="EC150" s="59"/>
      <c r="ED150" s="59"/>
      <c r="EE150" s="59"/>
      <c r="EF150" s="59"/>
      <c r="EG150" s="59"/>
      <c r="EH150" s="59"/>
      <c r="EI150" s="59"/>
      <c r="EJ150" s="59"/>
      <c r="EK150" s="59"/>
      <c r="EL150" s="59"/>
      <c r="EM150" s="59"/>
      <c r="EN150" s="59"/>
      <c r="EO150" s="59"/>
      <c r="EP150" s="59"/>
      <c r="EQ150" s="59"/>
      <c r="ER150" s="59"/>
      <c r="ES150" s="59"/>
      <c r="ET150" s="59"/>
      <c r="EU150" s="59"/>
      <c r="EV150" s="59"/>
      <c r="EW150" s="59"/>
      <c r="EX150" s="59"/>
      <c r="EY150" s="59"/>
      <c r="EZ150" s="59"/>
      <c r="FA150" s="59"/>
      <c r="FB150" s="59"/>
      <c r="FC150" s="59"/>
      <c r="FD150" s="59"/>
      <c r="FE150" s="59"/>
      <c r="FF150" s="59"/>
      <c r="FG150" s="59"/>
      <c r="FH150" s="59"/>
      <c r="FI150" s="59"/>
      <c r="FJ150" s="59"/>
      <c r="FK150" s="59"/>
      <c r="FL150" s="59"/>
      <c r="FM150" s="59"/>
      <c r="FN150" s="59"/>
      <c r="FO150" s="59"/>
      <c r="FP150" s="59"/>
      <c r="FQ150" s="59"/>
      <c r="FR150" s="59"/>
      <c r="FS150" s="59"/>
      <c r="FT150" s="59"/>
      <c r="FU150" s="59"/>
      <c r="FV150" s="59"/>
      <c r="FW150" s="59"/>
      <c r="FX150" s="59"/>
      <c r="FY150" s="59"/>
      <c r="FZ150" s="59"/>
      <c r="GA150" s="59"/>
      <c r="GB150" s="59"/>
      <c r="GC150" s="59"/>
      <c r="GD150" s="59"/>
      <c r="GE150" s="59"/>
      <c r="GF150" s="59"/>
      <c r="GG150" s="59"/>
      <c r="GH150" s="59"/>
      <c r="GI150" s="59"/>
      <c r="GJ150" s="59"/>
      <c r="GK150" s="59"/>
      <c r="GL150" s="59"/>
      <c r="GM150" s="59"/>
      <c r="GN150" s="59"/>
    </row>
    <row r="151" spans="1:196" x14ac:dyDescent="0.3">
      <c r="A151" s="59"/>
      <c r="B151" s="59"/>
      <c r="C151" s="59"/>
      <c r="D151" s="59"/>
      <c r="E151" s="59"/>
      <c r="F151" s="59"/>
      <c r="G151" s="59"/>
      <c r="H151" s="59"/>
      <c r="I151" s="59"/>
      <c r="J151" s="59"/>
      <c r="K151" s="59"/>
      <c r="L151" s="59"/>
      <c r="M151" s="59"/>
      <c r="N151" s="59"/>
      <c r="O151" s="59"/>
      <c r="P151" s="59"/>
      <c r="Q151" s="59"/>
      <c r="R151" s="59"/>
      <c r="S151" s="59"/>
      <c r="T151" s="59"/>
      <c r="U151" s="59"/>
      <c r="V151" s="59"/>
      <c r="W151" s="59"/>
      <c r="X151" s="59"/>
      <c r="Y151" s="59"/>
      <c r="Z151" s="59"/>
      <c r="AA151" s="59"/>
      <c r="AB151" s="59"/>
      <c r="AC151" s="59"/>
      <c r="AD151" s="59"/>
      <c r="AE151" s="59"/>
      <c r="AF151" s="59"/>
      <c r="AG151" s="59"/>
      <c r="AH151" s="59"/>
      <c r="AI151" s="59"/>
      <c r="AJ151" s="59"/>
      <c r="AK151" s="59"/>
      <c r="AL151" s="59"/>
      <c r="AM151" s="59"/>
      <c r="AN151" s="59"/>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c r="BU151" s="59"/>
      <c r="BV151" s="59"/>
      <c r="BW151" s="59"/>
      <c r="BX151" s="59"/>
      <c r="BY151" s="59"/>
      <c r="BZ151" s="59"/>
      <c r="CA151" s="59"/>
      <c r="CB151" s="59"/>
      <c r="CC151" s="59"/>
      <c r="CD151" s="59"/>
      <c r="CE151" s="59"/>
      <c r="CF151" s="59"/>
      <c r="CG151" s="59"/>
      <c r="CH151" s="59"/>
      <c r="CI151" s="59"/>
      <c r="CJ151" s="59"/>
      <c r="CK151" s="59"/>
      <c r="CL151" s="59"/>
      <c r="CM151" s="59"/>
      <c r="CN151" s="59"/>
      <c r="CO151" s="59"/>
      <c r="CP151" s="59"/>
      <c r="CQ151" s="59"/>
      <c r="CR151" s="59"/>
      <c r="CS151" s="59"/>
      <c r="CT151" s="59"/>
      <c r="CU151" s="59"/>
      <c r="CV151" s="59"/>
      <c r="CW151" s="59"/>
      <c r="CX151" s="59"/>
      <c r="CY151" s="59"/>
      <c r="CZ151" s="59"/>
      <c r="DA151" s="59"/>
      <c r="DB151" s="59"/>
      <c r="DC151" s="59"/>
      <c r="DD151" s="59"/>
      <c r="DE151" s="59"/>
      <c r="DF151" s="59"/>
      <c r="DG151" s="59"/>
      <c r="DH151" s="59"/>
      <c r="DI151" s="59"/>
      <c r="DJ151" s="59"/>
      <c r="DK151" s="59"/>
      <c r="DL151" s="59"/>
      <c r="DM151" s="59"/>
      <c r="DN151" s="59"/>
      <c r="DO151" s="59"/>
      <c r="DP151" s="59"/>
      <c r="DQ151" s="59"/>
      <c r="DR151" s="59"/>
      <c r="DS151" s="59"/>
      <c r="DT151" s="59"/>
      <c r="DU151" s="59"/>
      <c r="DV151" s="59"/>
      <c r="DW151" s="59"/>
      <c r="DX151" s="59"/>
      <c r="DY151" s="59"/>
      <c r="DZ151" s="59"/>
      <c r="EA151" s="59"/>
      <c r="EB151" s="59"/>
      <c r="EC151" s="59"/>
      <c r="ED151" s="59"/>
      <c r="EE151" s="59"/>
      <c r="EF151" s="59"/>
      <c r="EG151" s="59"/>
      <c r="EH151" s="59"/>
      <c r="EI151" s="59"/>
      <c r="EJ151" s="59"/>
      <c r="EK151" s="59"/>
      <c r="EL151" s="59"/>
      <c r="EM151" s="59"/>
      <c r="EN151" s="59"/>
      <c r="EO151" s="59"/>
      <c r="EP151" s="59"/>
      <c r="EQ151" s="59"/>
      <c r="ER151" s="59"/>
      <c r="ES151" s="59"/>
      <c r="ET151" s="59"/>
      <c r="EU151" s="59"/>
      <c r="EV151" s="59"/>
      <c r="EW151" s="59"/>
      <c r="EX151" s="59"/>
      <c r="EY151" s="59"/>
      <c r="EZ151" s="59"/>
      <c r="FA151" s="59"/>
      <c r="FB151" s="59"/>
      <c r="FC151" s="59"/>
      <c r="FD151" s="59"/>
      <c r="FE151" s="59"/>
      <c r="FF151" s="59"/>
      <c r="FG151" s="59"/>
      <c r="FH151" s="59"/>
      <c r="FI151" s="59"/>
      <c r="FJ151" s="59"/>
      <c r="FK151" s="59"/>
      <c r="FL151" s="59"/>
      <c r="FM151" s="59"/>
      <c r="FN151" s="59"/>
      <c r="FO151" s="59"/>
      <c r="FP151" s="59"/>
      <c r="FQ151" s="59"/>
      <c r="FR151" s="59"/>
      <c r="FS151" s="59"/>
      <c r="FT151" s="59"/>
      <c r="FU151" s="59"/>
      <c r="FV151" s="59"/>
      <c r="FW151" s="59"/>
      <c r="FX151" s="59"/>
      <c r="FY151" s="59"/>
      <c r="FZ151" s="59"/>
      <c r="GA151" s="59"/>
      <c r="GB151" s="59"/>
      <c r="GC151" s="59"/>
      <c r="GD151" s="59"/>
      <c r="GE151" s="59"/>
      <c r="GF151" s="59"/>
      <c r="GG151" s="59"/>
      <c r="GH151" s="59"/>
      <c r="GI151" s="59"/>
      <c r="GJ151" s="59"/>
      <c r="GK151" s="59"/>
      <c r="GL151" s="59"/>
      <c r="GM151" s="59"/>
      <c r="GN151" s="59"/>
    </row>
    <row r="152" spans="1:196" x14ac:dyDescent="0.3">
      <c r="A152" s="59"/>
      <c r="B152" s="59"/>
      <c r="C152" s="59"/>
      <c r="D152" s="59"/>
      <c r="E152" s="59"/>
      <c r="F152" s="59"/>
      <c r="G152" s="59"/>
      <c r="H152" s="59"/>
      <c r="I152" s="59"/>
      <c r="J152" s="59"/>
      <c r="K152" s="59"/>
      <c r="L152" s="59"/>
      <c r="M152" s="59"/>
      <c r="N152" s="59"/>
      <c r="O152" s="59"/>
      <c r="P152" s="59"/>
      <c r="Q152" s="59"/>
      <c r="R152" s="59"/>
      <c r="S152" s="59"/>
      <c r="T152" s="59"/>
      <c r="U152" s="59"/>
      <c r="V152" s="59"/>
      <c r="W152" s="59"/>
      <c r="X152" s="59"/>
      <c r="Y152" s="59"/>
      <c r="Z152" s="59"/>
      <c r="AA152" s="59"/>
      <c r="AB152" s="59"/>
      <c r="AC152" s="59"/>
      <c r="AD152" s="59"/>
      <c r="AE152" s="59"/>
      <c r="AF152" s="59"/>
      <c r="AG152" s="59"/>
      <c r="AH152" s="59"/>
      <c r="AI152" s="59"/>
      <c r="AJ152" s="59"/>
      <c r="AK152" s="59"/>
      <c r="AL152" s="59"/>
      <c r="AM152" s="59"/>
      <c r="AN152" s="59"/>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c r="BU152" s="59"/>
      <c r="BV152" s="59"/>
      <c r="BW152" s="59"/>
      <c r="BX152" s="59"/>
      <c r="BY152" s="59"/>
      <c r="BZ152" s="59"/>
      <c r="CA152" s="59"/>
      <c r="CB152" s="59"/>
      <c r="CC152" s="59"/>
      <c r="CD152" s="59"/>
      <c r="CE152" s="59"/>
      <c r="CF152" s="59"/>
      <c r="CG152" s="59"/>
      <c r="CH152" s="59"/>
      <c r="CI152" s="59"/>
      <c r="CJ152" s="59"/>
      <c r="CK152" s="59"/>
      <c r="CL152" s="59"/>
      <c r="CM152" s="59"/>
      <c r="CN152" s="59"/>
      <c r="CO152" s="59"/>
      <c r="CP152" s="59"/>
      <c r="CQ152" s="59"/>
      <c r="CR152" s="59"/>
      <c r="CS152" s="59"/>
      <c r="CT152" s="59"/>
      <c r="CU152" s="59"/>
      <c r="CV152" s="59"/>
      <c r="CW152" s="59"/>
      <c r="CX152" s="59"/>
      <c r="CY152" s="59"/>
      <c r="CZ152" s="59"/>
      <c r="DA152" s="59"/>
      <c r="DB152" s="59"/>
      <c r="DC152" s="59"/>
      <c r="DD152" s="59"/>
      <c r="DE152" s="59"/>
      <c r="DF152" s="59"/>
      <c r="DG152" s="59"/>
      <c r="DH152" s="59"/>
      <c r="DI152" s="59"/>
      <c r="DJ152" s="59"/>
      <c r="DK152" s="59"/>
      <c r="DL152" s="59"/>
      <c r="DM152" s="59"/>
      <c r="DN152" s="59"/>
      <c r="DO152" s="59"/>
      <c r="DP152" s="59"/>
      <c r="DQ152" s="59"/>
      <c r="DR152" s="59"/>
      <c r="DS152" s="59"/>
      <c r="DT152" s="59"/>
      <c r="DU152" s="59"/>
      <c r="DV152" s="59"/>
      <c r="DW152" s="59"/>
      <c r="DX152" s="59"/>
      <c r="DY152" s="59"/>
      <c r="DZ152" s="59"/>
      <c r="EA152" s="59"/>
      <c r="EB152" s="59"/>
      <c r="EC152" s="59"/>
      <c r="ED152" s="59"/>
      <c r="EE152" s="59"/>
      <c r="EF152" s="59"/>
      <c r="EG152" s="59"/>
      <c r="EH152" s="59"/>
      <c r="EI152" s="59"/>
      <c r="EJ152" s="59"/>
      <c r="EK152" s="59"/>
      <c r="EL152" s="59"/>
      <c r="EM152" s="59"/>
      <c r="EN152" s="59"/>
      <c r="EO152" s="59"/>
      <c r="EP152" s="59"/>
      <c r="EQ152" s="59"/>
      <c r="ER152" s="59"/>
      <c r="ES152" s="59"/>
      <c r="ET152" s="59"/>
      <c r="EU152" s="59"/>
      <c r="EV152" s="59"/>
      <c r="EW152" s="59"/>
      <c r="EX152" s="59"/>
      <c r="EY152" s="59"/>
      <c r="EZ152" s="59"/>
      <c r="FA152" s="59"/>
      <c r="FB152" s="59"/>
      <c r="FC152" s="59"/>
      <c r="FD152" s="59"/>
      <c r="FE152" s="59"/>
      <c r="FF152" s="59"/>
      <c r="FG152" s="59"/>
      <c r="FH152" s="59"/>
      <c r="FI152" s="59"/>
      <c r="FJ152" s="59"/>
      <c r="FK152" s="59"/>
      <c r="FL152" s="59"/>
      <c r="FM152" s="59"/>
      <c r="FN152" s="59"/>
      <c r="FO152" s="59"/>
      <c r="FP152" s="59"/>
      <c r="FQ152" s="59"/>
      <c r="FR152" s="59"/>
      <c r="FS152" s="59"/>
      <c r="FT152" s="59"/>
      <c r="FU152" s="59"/>
      <c r="FV152" s="59"/>
      <c r="FW152" s="59"/>
      <c r="FX152" s="59"/>
      <c r="FY152" s="59"/>
      <c r="FZ152" s="59"/>
      <c r="GA152" s="59"/>
      <c r="GB152" s="59"/>
      <c r="GC152" s="59"/>
      <c r="GD152" s="59"/>
      <c r="GE152" s="59"/>
      <c r="GF152" s="59"/>
      <c r="GG152" s="59"/>
      <c r="GH152" s="59"/>
      <c r="GI152" s="59"/>
      <c r="GJ152" s="59"/>
      <c r="GK152" s="59"/>
      <c r="GL152" s="59"/>
      <c r="GM152" s="59"/>
      <c r="GN152" s="59"/>
    </row>
    <row r="153" spans="1:196" x14ac:dyDescent="0.3">
      <c r="A153" s="59"/>
      <c r="B153" s="59"/>
      <c r="C153" s="59"/>
      <c r="D153" s="59"/>
      <c r="E153" s="59"/>
      <c r="F153" s="59"/>
      <c r="G153" s="59"/>
      <c r="H153" s="59"/>
      <c r="I153" s="59"/>
      <c r="J153" s="59"/>
      <c r="K153" s="59"/>
      <c r="L153" s="59"/>
      <c r="M153" s="59"/>
      <c r="N153" s="59"/>
      <c r="O153" s="59"/>
      <c r="P153" s="59"/>
      <c r="Q153" s="59"/>
      <c r="R153" s="59"/>
      <c r="S153" s="59"/>
      <c r="T153" s="59"/>
      <c r="U153" s="59"/>
      <c r="V153" s="59"/>
      <c r="W153" s="59"/>
      <c r="X153" s="59"/>
      <c r="Y153" s="59"/>
      <c r="Z153" s="59"/>
      <c r="AA153" s="59"/>
      <c r="AB153" s="59"/>
      <c r="AC153" s="59"/>
      <c r="AD153" s="59"/>
      <c r="AE153" s="59"/>
      <c r="AF153" s="59"/>
      <c r="AG153" s="59"/>
      <c r="AH153" s="59"/>
      <c r="AI153" s="59"/>
      <c r="AJ153" s="59"/>
      <c r="AK153" s="59"/>
      <c r="AL153" s="59"/>
      <c r="AM153" s="59"/>
      <c r="AN153" s="59"/>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c r="BU153" s="59"/>
      <c r="BV153" s="59"/>
      <c r="BW153" s="59"/>
      <c r="BX153" s="59"/>
      <c r="BY153" s="59"/>
      <c r="BZ153" s="59"/>
      <c r="CA153" s="59"/>
      <c r="CB153" s="59"/>
      <c r="CC153" s="59"/>
      <c r="CD153" s="59"/>
      <c r="CE153" s="59"/>
      <c r="CF153" s="59"/>
      <c r="CG153" s="59"/>
      <c r="CH153" s="59"/>
      <c r="CI153" s="59"/>
      <c r="CJ153" s="59"/>
      <c r="CK153" s="59"/>
      <c r="CL153" s="59"/>
      <c r="CM153" s="59"/>
      <c r="CN153" s="59"/>
      <c r="CO153" s="59"/>
      <c r="CP153" s="59"/>
      <c r="CQ153" s="59"/>
      <c r="CR153" s="59"/>
      <c r="CS153" s="59"/>
      <c r="CT153" s="59"/>
      <c r="CU153" s="59"/>
      <c r="CV153" s="59"/>
      <c r="CW153" s="59"/>
      <c r="CX153" s="59"/>
      <c r="CY153" s="59"/>
      <c r="CZ153" s="59"/>
      <c r="DA153" s="59"/>
      <c r="DB153" s="59"/>
      <c r="DC153" s="59"/>
      <c r="DD153" s="59"/>
      <c r="DE153" s="59"/>
      <c r="DF153" s="59"/>
      <c r="DG153" s="59"/>
      <c r="DH153" s="59"/>
      <c r="DI153" s="59"/>
      <c r="DJ153" s="59"/>
      <c r="DK153" s="59"/>
      <c r="DL153" s="59"/>
      <c r="DM153" s="59"/>
      <c r="DN153" s="59"/>
      <c r="DO153" s="59"/>
      <c r="DP153" s="59"/>
      <c r="DQ153" s="59"/>
      <c r="DR153" s="59"/>
      <c r="DS153" s="59"/>
      <c r="DT153" s="59"/>
      <c r="DU153" s="59"/>
      <c r="DV153" s="59"/>
      <c r="DW153" s="59"/>
      <c r="DX153" s="59"/>
      <c r="DY153" s="59"/>
      <c r="DZ153" s="59"/>
      <c r="EA153" s="59"/>
      <c r="EB153" s="59"/>
      <c r="EC153" s="59"/>
      <c r="ED153" s="59"/>
      <c r="EE153" s="59"/>
      <c r="EF153" s="59"/>
      <c r="EG153" s="59"/>
      <c r="EH153" s="59"/>
      <c r="EI153" s="59"/>
      <c r="EJ153" s="59"/>
      <c r="EK153" s="59"/>
      <c r="EL153" s="59"/>
      <c r="EM153" s="59"/>
      <c r="EN153" s="59"/>
      <c r="EO153" s="59"/>
      <c r="EP153" s="59"/>
      <c r="EQ153" s="59"/>
      <c r="ER153" s="59"/>
      <c r="ES153" s="59"/>
      <c r="ET153" s="59"/>
      <c r="EU153" s="59"/>
      <c r="EV153" s="59"/>
      <c r="EW153" s="59"/>
      <c r="EX153" s="59"/>
      <c r="EY153" s="59"/>
      <c r="EZ153" s="59"/>
      <c r="FA153" s="59"/>
      <c r="FB153" s="59"/>
      <c r="FC153" s="59"/>
      <c r="FD153" s="59"/>
      <c r="FE153" s="59"/>
      <c r="FF153" s="59"/>
      <c r="FG153" s="59"/>
      <c r="FH153" s="59"/>
      <c r="FI153" s="59"/>
      <c r="FJ153" s="59"/>
      <c r="FK153" s="59"/>
      <c r="FL153" s="59"/>
      <c r="FM153" s="59"/>
      <c r="FN153" s="59"/>
      <c r="FO153" s="59"/>
      <c r="FP153" s="59"/>
      <c r="FQ153" s="59"/>
      <c r="FR153" s="59"/>
      <c r="FS153" s="59"/>
      <c r="FT153" s="59"/>
      <c r="FU153" s="59"/>
      <c r="FV153" s="59"/>
      <c r="FW153" s="59"/>
      <c r="FX153" s="59"/>
      <c r="FY153" s="59"/>
      <c r="FZ153" s="59"/>
      <c r="GA153" s="59"/>
      <c r="GB153" s="59"/>
      <c r="GC153" s="59"/>
      <c r="GD153" s="59"/>
      <c r="GE153" s="59"/>
      <c r="GF153" s="59"/>
      <c r="GG153" s="59"/>
      <c r="GH153" s="59"/>
      <c r="GI153" s="59"/>
      <c r="GJ153" s="59"/>
      <c r="GK153" s="59"/>
      <c r="GL153" s="59"/>
      <c r="GM153" s="59"/>
      <c r="GN153" s="59"/>
    </row>
    <row r="154" spans="1:196" x14ac:dyDescent="0.3">
      <c r="A154" s="59"/>
      <c r="B154" s="59"/>
      <c r="C154" s="59"/>
      <c r="D154" s="59"/>
      <c r="E154" s="59"/>
      <c r="F154" s="59"/>
      <c r="G154" s="59"/>
      <c r="H154" s="59"/>
      <c r="I154" s="59"/>
      <c r="J154" s="59"/>
      <c r="K154" s="59"/>
      <c r="L154" s="59"/>
      <c r="M154" s="59"/>
      <c r="N154" s="59"/>
      <c r="O154" s="59"/>
      <c r="P154" s="59"/>
      <c r="Q154" s="59"/>
      <c r="R154" s="59"/>
      <c r="S154" s="59"/>
      <c r="T154" s="59"/>
      <c r="U154" s="59"/>
      <c r="V154" s="59"/>
      <c r="W154" s="59"/>
      <c r="X154" s="59"/>
      <c r="Y154" s="59"/>
      <c r="Z154" s="59"/>
      <c r="AA154" s="59"/>
      <c r="AB154" s="59"/>
      <c r="AC154" s="59"/>
      <c r="AD154" s="59"/>
      <c r="AE154" s="59"/>
      <c r="AF154" s="59"/>
      <c r="AG154" s="59"/>
      <c r="AH154" s="59"/>
      <c r="AI154" s="59"/>
      <c r="AJ154" s="59"/>
      <c r="AK154" s="59"/>
      <c r="AL154" s="59"/>
      <c r="AM154" s="59"/>
      <c r="AN154" s="59"/>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c r="BU154" s="59"/>
      <c r="BV154" s="59"/>
      <c r="BW154" s="59"/>
      <c r="BX154" s="59"/>
      <c r="BY154" s="59"/>
      <c r="BZ154" s="59"/>
      <c r="CA154" s="59"/>
      <c r="CB154" s="59"/>
      <c r="CC154" s="59"/>
      <c r="CD154" s="59"/>
      <c r="CE154" s="59"/>
      <c r="CF154" s="59"/>
      <c r="CG154" s="59"/>
      <c r="CH154" s="59"/>
      <c r="CI154" s="59"/>
      <c r="CJ154" s="59"/>
      <c r="CK154" s="59"/>
      <c r="CL154" s="59"/>
      <c r="CM154" s="59"/>
      <c r="CN154" s="59"/>
      <c r="CO154" s="59"/>
      <c r="CP154" s="59"/>
      <c r="CQ154" s="59"/>
      <c r="CR154" s="59"/>
      <c r="CS154" s="59"/>
      <c r="CT154" s="59"/>
      <c r="CU154" s="59"/>
      <c r="CV154" s="59"/>
      <c r="CW154" s="59"/>
      <c r="CX154" s="59"/>
      <c r="CY154" s="59"/>
      <c r="CZ154" s="59"/>
      <c r="DA154" s="59"/>
      <c r="DB154" s="59"/>
      <c r="DC154" s="59"/>
      <c r="DD154" s="59"/>
      <c r="DE154" s="59"/>
      <c r="DF154" s="59"/>
      <c r="DG154" s="59"/>
      <c r="DH154" s="59"/>
      <c r="DI154" s="59"/>
      <c r="DJ154" s="59"/>
      <c r="DK154" s="59"/>
      <c r="DL154" s="59"/>
      <c r="DM154" s="59"/>
      <c r="DN154" s="59"/>
      <c r="DO154" s="59"/>
      <c r="DP154" s="59"/>
      <c r="DQ154" s="59"/>
      <c r="DR154" s="59"/>
      <c r="DS154" s="59"/>
      <c r="DT154" s="59"/>
      <c r="DU154" s="59"/>
      <c r="DV154" s="59"/>
      <c r="DW154" s="59"/>
      <c r="DX154" s="59"/>
      <c r="DY154" s="59"/>
      <c r="DZ154" s="59"/>
      <c r="EA154" s="59"/>
      <c r="EB154" s="59"/>
      <c r="EC154" s="59"/>
      <c r="ED154" s="59"/>
      <c r="EE154" s="59"/>
      <c r="EF154" s="59"/>
      <c r="EG154" s="59"/>
      <c r="EH154" s="59"/>
      <c r="EI154" s="59"/>
      <c r="EJ154" s="59"/>
      <c r="EK154" s="59"/>
      <c r="EL154" s="59"/>
      <c r="EM154" s="59"/>
      <c r="EN154" s="59"/>
      <c r="EO154" s="59"/>
      <c r="EP154" s="59"/>
      <c r="EQ154" s="59"/>
      <c r="ER154" s="59"/>
      <c r="ES154" s="59"/>
      <c r="ET154" s="59"/>
      <c r="EU154" s="59"/>
      <c r="EV154" s="59"/>
      <c r="EW154" s="59"/>
      <c r="EX154" s="59"/>
      <c r="EY154" s="59"/>
      <c r="EZ154" s="59"/>
      <c r="FA154" s="59"/>
      <c r="FB154" s="59"/>
      <c r="FC154" s="59"/>
      <c r="FD154" s="59"/>
      <c r="FE154" s="59"/>
      <c r="FF154" s="59"/>
      <c r="FG154" s="59"/>
      <c r="FH154" s="59"/>
      <c r="FI154" s="59"/>
      <c r="FJ154" s="59"/>
      <c r="FK154" s="59"/>
      <c r="FL154" s="59"/>
      <c r="FM154" s="59"/>
      <c r="FN154" s="59"/>
      <c r="FO154" s="59"/>
      <c r="FP154" s="59"/>
      <c r="FQ154" s="59"/>
      <c r="FR154" s="59"/>
      <c r="FS154" s="59"/>
      <c r="FT154" s="59"/>
      <c r="FU154" s="59"/>
      <c r="FV154" s="59"/>
      <c r="FW154" s="59"/>
      <c r="FX154" s="59"/>
      <c r="FY154" s="59"/>
      <c r="FZ154" s="59"/>
      <c r="GA154" s="59"/>
      <c r="GB154" s="59"/>
      <c r="GC154" s="59"/>
      <c r="GD154" s="59"/>
      <c r="GE154" s="59"/>
      <c r="GF154" s="59"/>
      <c r="GG154" s="59"/>
      <c r="GH154" s="59"/>
      <c r="GI154" s="59"/>
      <c r="GJ154" s="59"/>
      <c r="GK154" s="59"/>
      <c r="GL154" s="59"/>
      <c r="GM154" s="59"/>
      <c r="GN154" s="59"/>
    </row>
    <row r="155" spans="1:196" x14ac:dyDescent="0.3">
      <c r="A155" s="59"/>
      <c r="B155" s="59"/>
      <c r="C155" s="59"/>
      <c r="D155" s="59"/>
      <c r="E155" s="59"/>
      <c r="F155" s="59"/>
      <c r="G155" s="59"/>
      <c r="H155" s="59"/>
      <c r="I155" s="59"/>
      <c r="J155" s="59"/>
      <c r="K155" s="59"/>
      <c r="L155" s="59"/>
      <c r="M155" s="59"/>
      <c r="N155" s="59"/>
      <c r="O155" s="59"/>
      <c r="P155" s="59"/>
      <c r="Q155" s="59"/>
      <c r="R155" s="59"/>
      <c r="S155" s="59"/>
      <c r="T155" s="59"/>
      <c r="U155" s="59"/>
      <c r="V155" s="59"/>
      <c r="W155" s="59"/>
      <c r="X155" s="59"/>
      <c r="Y155" s="59"/>
      <c r="Z155" s="59"/>
      <c r="AA155" s="59"/>
      <c r="AB155" s="59"/>
      <c r="AC155" s="59"/>
      <c r="AD155" s="59"/>
      <c r="AE155" s="59"/>
      <c r="AF155" s="59"/>
      <c r="AG155" s="59"/>
      <c r="AH155" s="59"/>
      <c r="AI155" s="59"/>
      <c r="AJ155" s="59"/>
      <c r="AK155" s="59"/>
      <c r="AL155" s="59"/>
      <c r="AM155" s="59"/>
      <c r="AN155" s="59"/>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c r="BU155" s="59"/>
      <c r="BV155" s="59"/>
      <c r="BW155" s="59"/>
      <c r="BX155" s="59"/>
      <c r="BY155" s="59"/>
      <c r="BZ155" s="59"/>
      <c r="CA155" s="59"/>
      <c r="CB155" s="59"/>
      <c r="CC155" s="59"/>
      <c r="CD155" s="59"/>
      <c r="CE155" s="59"/>
      <c r="CF155" s="59"/>
      <c r="CG155" s="59"/>
      <c r="CH155" s="59"/>
      <c r="CI155" s="59"/>
      <c r="CJ155" s="59"/>
      <c r="CK155" s="59"/>
      <c r="CL155" s="59"/>
      <c r="CM155" s="59"/>
      <c r="CN155" s="59"/>
      <c r="CO155" s="59"/>
      <c r="CP155" s="59"/>
      <c r="CQ155" s="59"/>
      <c r="CR155" s="59"/>
      <c r="CS155" s="59"/>
      <c r="CT155" s="59"/>
      <c r="CU155" s="59"/>
      <c r="CV155" s="59"/>
      <c r="CW155" s="59"/>
      <c r="CX155" s="59"/>
      <c r="CY155" s="59"/>
      <c r="CZ155" s="59"/>
      <c r="DA155" s="59"/>
      <c r="DB155" s="59"/>
      <c r="DC155" s="59"/>
      <c r="DD155" s="59"/>
      <c r="DE155" s="59"/>
      <c r="DF155" s="59"/>
      <c r="DG155" s="59"/>
      <c r="DH155" s="59"/>
      <c r="DI155" s="59"/>
      <c r="DJ155" s="59"/>
      <c r="DK155" s="59"/>
      <c r="DL155" s="59"/>
      <c r="DM155" s="59"/>
      <c r="DN155" s="59"/>
      <c r="DO155" s="59"/>
      <c r="DP155" s="59"/>
      <c r="DQ155" s="59"/>
      <c r="DR155" s="59"/>
      <c r="DS155" s="59"/>
      <c r="DT155" s="59"/>
      <c r="DU155" s="59"/>
      <c r="DV155" s="59"/>
      <c r="DW155" s="59"/>
      <c r="DX155" s="59"/>
      <c r="DY155" s="59"/>
      <c r="DZ155" s="59"/>
      <c r="EA155" s="59"/>
      <c r="EB155" s="59"/>
      <c r="EC155" s="59"/>
      <c r="ED155" s="59"/>
      <c r="EE155" s="59"/>
      <c r="EF155" s="59"/>
      <c r="EG155" s="59"/>
      <c r="EH155" s="59"/>
      <c r="EI155" s="59"/>
      <c r="EJ155" s="59"/>
      <c r="EK155" s="59"/>
      <c r="EL155" s="59"/>
      <c r="EM155" s="59"/>
      <c r="EN155" s="59"/>
      <c r="EO155" s="59"/>
      <c r="EP155" s="59"/>
      <c r="EQ155" s="59"/>
      <c r="ER155" s="59"/>
      <c r="ES155" s="59"/>
      <c r="ET155" s="59"/>
      <c r="EU155" s="59"/>
      <c r="EV155" s="59"/>
      <c r="EW155" s="59"/>
      <c r="EX155" s="59"/>
      <c r="EY155" s="59"/>
      <c r="EZ155" s="59"/>
      <c r="FA155" s="59"/>
      <c r="FB155" s="59"/>
      <c r="FC155" s="59"/>
      <c r="FD155" s="59"/>
      <c r="FE155" s="59"/>
      <c r="FF155" s="59"/>
      <c r="FG155" s="59"/>
      <c r="FH155" s="59"/>
      <c r="FI155" s="59"/>
      <c r="FJ155" s="59"/>
      <c r="FK155" s="59"/>
      <c r="FL155" s="59"/>
      <c r="FM155" s="59"/>
      <c r="FN155" s="59"/>
      <c r="FO155" s="59"/>
      <c r="FP155" s="59"/>
      <c r="FQ155" s="59"/>
      <c r="FR155" s="59"/>
      <c r="FS155" s="59"/>
      <c r="FT155" s="59"/>
      <c r="FU155" s="59"/>
      <c r="FV155" s="59"/>
      <c r="FW155" s="59"/>
      <c r="FX155" s="59"/>
      <c r="FY155" s="59"/>
      <c r="FZ155" s="59"/>
      <c r="GA155" s="59"/>
      <c r="GB155" s="59"/>
      <c r="GC155" s="59"/>
      <c r="GD155" s="59"/>
      <c r="GE155" s="59"/>
      <c r="GF155" s="59"/>
      <c r="GG155" s="59"/>
      <c r="GH155" s="59"/>
      <c r="GI155" s="59"/>
      <c r="GJ155" s="59"/>
      <c r="GK155" s="59"/>
      <c r="GL155" s="59"/>
      <c r="GM155" s="59"/>
      <c r="GN155" s="59"/>
    </row>
    <row r="156" spans="1:196" x14ac:dyDescent="0.3">
      <c r="A156" s="59"/>
      <c r="B156" s="59"/>
      <c r="C156" s="59"/>
      <c r="D156" s="59"/>
      <c r="E156" s="59"/>
      <c r="F156" s="59"/>
      <c r="G156" s="59"/>
      <c r="H156" s="59"/>
      <c r="I156" s="59"/>
      <c r="J156" s="59"/>
      <c r="K156" s="59"/>
      <c r="L156" s="59"/>
      <c r="M156" s="59"/>
      <c r="N156" s="59"/>
      <c r="O156" s="59"/>
      <c r="P156" s="59"/>
      <c r="Q156" s="59"/>
      <c r="R156" s="59"/>
      <c r="S156" s="59"/>
      <c r="T156" s="59"/>
      <c r="U156" s="59"/>
      <c r="V156" s="59"/>
      <c r="W156" s="59"/>
      <c r="X156" s="59"/>
      <c r="Y156" s="59"/>
      <c r="Z156" s="59"/>
      <c r="AA156" s="59"/>
      <c r="AB156" s="59"/>
      <c r="AC156" s="59"/>
      <c r="AD156" s="59"/>
      <c r="AE156" s="59"/>
      <c r="AF156" s="59"/>
      <c r="AG156" s="59"/>
      <c r="AH156" s="59"/>
      <c r="AI156" s="59"/>
      <c r="AJ156" s="59"/>
      <c r="AK156" s="59"/>
      <c r="AL156" s="59"/>
      <c r="AM156" s="59"/>
      <c r="AN156" s="59"/>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c r="BU156" s="59"/>
      <c r="BV156" s="59"/>
      <c r="BW156" s="59"/>
      <c r="BX156" s="59"/>
      <c r="BY156" s="59"/>
      <c r="BZ156" s="59"/>
      <c r="CA156" s="59"/>
      <c r="CB156" s="59"/>
      <c r="CC156" s="59"/>
      <c r="CD156" s="59"/>
      <c r="CE156" s="59"/>
      <c r="CF156" s="59"/>
      <c r="CG156" s="59"/>
      <c r="CH156" s="59"/>
      <c r="CI156" s="59"/>
      <c r="CJ156" s="59"/>
      <c r="CK156" s="59"/>
      <c r="CL156" s="59"/>
      <c r="CM156" s="59"/>
      <c r="CN156" s="59"/>
      <c r="CO156" s="59"/>
      <c r="CP156" s="59"/>
      <c r="CQ156" s="59"/>
      <c r="CR156" s="59"/>
      <c r="CS156" s="59"/>
      <c r="CT156" s="59"/>
      <c r="CU156" s="59"/>
      <c r="CV156" s="59"/>
      <c r="CW156" s="59"/>
      <c r="CX156" s="59"/>
      <c r="CY156" s="59"/>
      <c r="CZ156" s="59"/>
      <c r="DA156" s="59"/>
      <c r="DB156" s="59"/>
      <c r="DC156" s="59"/>
      <c r="DD156" s="59"/>
      <c r="DE156" s="59"/>
      <c r="DF156" s="59"/>
      <c r="DG156" s="59"/>
      <c r="DH156" s="59"/>
      <c r="DI156" s="59"/>
      <c r="DJ156" s="59"/>
      <c r="DK156" s="59"/>
      <c r="DL156" s="59"/>
      <c r="DM156" s="59"/>
      <c r="DN156" s="59"/>
      <c r="DO156" s="59"/>
      <c r="DP156" s="59"/>
      <c r="DQ156" s="59"/>
      <c r="DR156" s="59"/>
      <c r="DS156" s="59"/>
      <c r="DT156" s="59"/>
      <c r="DU156" s="59"/>
      <c r="DV156" s="59"/>
      <c r="DW156" s="59"/>
      <c r="DX156" s="59"/>
      <c r="DY156" s="59"/>
      <c r="DZ156" s="59"/>
      <c r="EA156" s="59"/>
      <c r="EB156" s="59"/>
      <c r="EC156" s="59"/>
      <c r="ED156" s="59"/>
      <c r="EE156" s="59"/>
      <c r="EF156" s="59"/>
      <c r="EG156" s="59"/>
      <c r="EH156" s="59"/>
      <c r="EI156" s="59"/>
      <c r="EJ156" s="59"/>
      <c r="EK156" s="59"/>
      <c r="EL156" s="59"/>
      <c r="EM156" s="59"/>
      <c r="EN156" s="59"/>
      <c r="EO156" s="59"/>
      <c r="EP156" s="59"/>
      <c r="EQ156" s="59"/>
      <c r="ER156" s="59"/>
      <c r="ES156" s="59"/>
      <c r="ET156" s="59"/>
      <c r="EU156" s="59"/>
      <c r="EV156" s="59"/>
      <c r="EW156" s="59"/>
      <c r="EX156" s="59"/>
      <c r="EY156" s="59"/>
      <c r="EZ156" s="59"/>
      <c r="FA156" s="59"/>
      <c r="FB156" s="59"/>
      <c r="FC156" s="59"/>
      <c r="FD156" s="59"/>
      <c r="FE156" s="59"/>
      <c r="FF156" s="59"/>
      <c r="FG156" s="59"/>
      <c r="FH156" s="59"/>
      <c r="FI156" s="59"/>
      <c r="FJ156" s="59"/>
      <c r="FK156" s="59"/>
      <c r="FL156" s="59"/>
      <c r="FM156" s="59"/>
      <c r="FN156" s="59"/>
      <c r="FO156" s="59"/>
      <c r="FP156" s="59"/>
      <c r="FQ156" s="59"/>
      <c r="FR156" s="59"/>
      <c r="FS156" s="59"/>
      <c r="FT156" s="59"/>
      <c r="FU156" s="59"/>
      <c r="FV156" s="59"/>
      <c r="FW156" s="59"/>
      <c r="FX156" s="59"/>
      <c r="FY156" s="59"/>
      <c r="FZ156" s="59"/>
      <c r="GA156" s="59"/>
      <c r="GB156" s="59"/>
      <c r="GC156" s="59"/>
      <c r="GD156" s="59"/>
      <c r="GE156" s="59"/>
      <c r="GF156" s="59"/>
      <c r="GG156" s="59"/>
      <c r="GH156" s="59"/>
      <c r="GI156" s="59"/>
      <c r="GJ156" s="59"/>
      <c r="GK156" s="59"/>
      <c r="GL156" s="59"/>
      <c r="GM156" s="59"/>
      <c r="GN156" s="59"/>
    </row>
    <row r="157" spans="1:196" x14ac:dyDescent="0.3">
      <c r="A157" s="59"/>
      <c r="B157" s="59"/>
      <c r="C157" s="59"/>
      <c r="D157" s="59"/>
      <c r="E157" s="59"/>
      <c r="F157" s="59"/>
      <c r="G157" s="59"/>
      <c r="H157" s="59"/>
      <c r="I157" s="59"/>
      <c r="J157" s="59"/>
      <c r="K157" s="59"/>
      <c r="L157" s="59"/>
      <c r="M157" s="59"/>
      <c r="N157" s="59"/>
      <c r="O157" s="59"/>
      <c r="P157" s="59"/>
      <c r="Q157" s="59"/>
      <c r="R157" s="59"/>
      <c r="S157" s="59"/>
      <c r="T157" s="59"/>
      <c r="U157" s="59"/>
      <c r="V157" s="59"/>
      <c r="W157" s="59"/>
      <c r="X157" s="59"/>
      <c r="Y157" s="59"/>
      <c r="Z157" s="59"/>
      <c r="AA157" s="59"/>
      <c r="AB157" s="59"/>
      <c r="AC157" s="59"/>
      <c r="AD157" s="59"/>
      <c r="AE157" s="59"/>
      <c r="AF157" s="59"/>
      <c r="AG157" s="59"/>
      <c r="AH157" s="59"/>
      <c r="AI157" s="59"/>
      <c r="AJ157" s="59"/>
      <c r="AK157" s="59"/>
      <c r="AL157" s="59"/>
      <c r="AM157" s="59"/>
      <c r="AN157" s="59"/>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c r="BU157" s="59"/>
      <c r="BV157" s="59"/>
      <c r="BW157" s="59"/>
      <c r="BX157" s="59"/>
      <c r="BY157" s="59"/>
      <c r="BZ157" s="59"/>
      <c r="CA157" s="59"/>
      <c r="CB157" s="59"/>
      <c r="CC157" s="59"/>
      <c r="CD157" s="59"/>
      <c r="CE157" s="59"/>
      <c r="CF157" s="59"/>
      <c r="CG157" s="59"/>
      <c r="CH157" s="59"/>
      <c r="CI157" s="59"/>
      <c r="CJ157" s="59"/>
      <c r="CK157" s="59"/>
      <c r="CL157" s="59"/>
      <c r="CM157" s="59"/>
      <c r="CN157" s="59"/>
      <c r="CO157" s="59"/>
      <c r="CP157" s="59"/>
      <c r="CQ157" s="59"/>
      <c r="CR157" s="59"/>
      <c r="CS157" s="59"/>
      <c r="CT157" s="59"/>
      <c r="CU157" s="59"/>
      <c r="CV157" s="59"/>
      <c r="CW157" s="59"/>
      <c r="CX157" s="59"/>
      <c r="CY157" s="59"/>
      <c r="CZ157" s="59"/>
      <c r="DA157" s="59"/>
      <c r="DB157" s="59"/>
      <c r="DC157" s="59"/>
      <c r="DD157" s="59"/>
      <c r="DE157" s="59"/>
      <c r="DF157" s="59"/>
      <c r="DG157" s="59"/>
      <c r="DH157" s="59"/>
      <c r="DI157" s="59"/>
      <c r="DJ157" s="59"/>
      <c r="DK157" s="59"/>
      <c r="DL157" s="59"/>
      <c r="DM157" s="59"/>
      <c r="DN157" s="59"/>
      <c r="DO157" s="59"/>
      <c r="DP157" s="59"/>
      <c r="DQ157" s="59"/>
      <c r="DR157" s="59"/>
      <c r="DS157" s="59"/>
      <c r="DT157" s="59"/>
      <c r="DU157" s="59"/>
      <c r="DV157" s="59"/>
      <c r="DW157" s="59"/>
      <c r="DX157" s="59"/>
      <c r="DY157" s="59"/>
      <c r="DZ157" s="59"/>
      <c r="EA157" s="59"/>
      <c r="EB157" s="59"/>
      <c r="EC157" s="59"/>
      <c r="ED157" s="59"/>
      <c r="EE157" s="59"/>
      <c r="EF157" s="59"/>
      <c r="EG157" s="59"/>
      <c r="EH157" s="59"/>
      <c r="EI157" s="59"/>
      <c r="EJ157" s="59"/>
      <c r="EK157" s="59"/>
      <c r="EL157" s="59"/>
      <c r="EM157" s="59"/>
      <c r="EN157" s="59"/>
      <c r="EO157" s="59"/>
      <c r="EP157" s="59"/>
      <c r="EQ157" s="59"/>
      <c r="ER157" s="59"/>
      <c r="ES157" s="59"/>
      <c r="ET157" s="59"/>
      <c r="EU157" s="59"/>
      <c r="EV157" s="59"/>
      <c r="EW157" s="59"/>
      <c r="EX157" s="59"/>
      <c r="EY157" s="59"/>
      <c r="EZ157" s="59"/>
      <c r="FA157" s="59"/>
      <c r="FB157" s="59"/>
      <c r="FC157" s="59"/>
      <c r="FD157" s="59"/>
      <c r="FE157" s="59"/>
      <c r="FF157" s="59"/>
      <c r="FG157" s="59"/>
      <c r="FH157" s="59"/>
      <c r="FI157" s="59"/>
      <c r="FJ157" s="59"/>
      <c r="FK157" s="59"/>
      <c r="FL157" s="59"/>
      <c r="FM157" s="59"/>
      <c r="FN157" s="59"/>
      <c r="FO157" s="59"/>
      <c r="FP157" s="59"/>
      <c r="FQ157" s="59"/>
      <c r="FR157" s="59"/>
      <c r="FS157" s="59"/>
      <c r="FT157" s="59"/>
      <c r="FU157" s="59"/>
      <c r="FV157" s="59"/>
      <c r="FW157" s="59"/>
      <c r="FX157" s="59"/>
      <c r="FY157" s="59"/>
      <c r="FZ157" s="59"/>
      <c r="GA157" s="59"/>
      <c r="GB157" s="59"/>
      <c r="GC157" s="59"/>
      <c r="GD157" s="59"/>
      <c r="GE157" s="59"/>
      <c r="GF157" s="59"/>
      <c r="GG157" s="59"/>
      <c r="GH157" s="59"/>
      <c r="GI157" s="59"/>
      <c r="GJ157" s="59"/>
      <c r="GK157" s="59"/>
      <c r="GL157" s="59"/>
      <c r="GM157" s="59"/>
      <c r="GN157" s="59"/>
    </row>
    <row r="158" spans="1:196" x14ac:dyDescent="0.3">
      <c r="A158" s="59"/>
      <c r="B158" s="59"/>
      <c r="C158" s="59"/>
      <c r="D158" s="59"/>
      <c r="E158" s="59"/>
      <c r="F158" s="59"/>
      <c r="G158" s="59"/>
      <c r="H158" s="59"/>
      <c r="I158" s="59"/>
      <c r="J158" s="59"/>
      <c r="K158" s="59"/>
      <c r="L158" s="59"/>
      <c r="M158" s="59"/>
      <c r="N158" s="59"/>
      <c r="O158" s="59"/>
      <c r="P158" s="59"/>
      <c r="Q158" s="59"/>
      <c r="R158" s="59"/>
      <c r="S158" s="59"/>
      <c r="T158" s="59"/>
      <c r="U158" s="59"/>
      <c r="V158" s="59"/>
      <c r="W158" s="59"/>
      <c r="X158" s="59"/>
      <c r="Y158" s="59"/>
      <c r="Z158" s="59"/>
      <c r="AA158" s="59"/>
      <c r="AB158" s="59"/>
      <c r="AC158" s="59"/>
      <c r="AD158" s="59"/>
      <c r="AE158" s="59"/>
      <c r="AF158" s="59"/>
      <c r="AG158" s="59"/>
      <c r="AH158" s="59"/>
      <c r="AI158" s="59"/>
      <c r="AJ158" s="59"/>
      <c r="AK158" s="59"/>
      <c r="AL158" s="59"/>
      <c r="AM158" s="59"/>
      <c r="AN158" s="59"/>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c r="BU158" s="59"/>
      <c r="BV158" s="59"/>
      <c r="BW158" s="59"/>
      <c r="BX158" s="59"/>
      <c r="BY158" s="59"/>
      <c r="BZ158" s="59"/>
      <c r="CA158" s="59"/>
      <c r="CB158" s="59"/>
      <c r="CC158" s="59"/>
      <c r="CD158" s="59"/>
      <c r="CE158" s="59"/>
      <c r="CF158" s="59"/>
      <c r="CG158" s="59"/>
      <c r="CH158" s="59"/>
      <c r="CI158" s="59"/>
      <c r="CJ158" s="59"/>
      <c r="CK158" s="59"/>
      <c r="CL158" s="59"/>
      <c r="CM158" s="59"/>
      <c r="CN158" s="59"/>
      <c r="CO158" s="59"/>
      <c r="CP158" s="59"/>
      <c r="CQ158" s="59"/>
      <c r="CR158" s="59"/>
      <c r="CS158" s="59"/>
      <c r="CT158" s="59"/>
      <c r="CU158" s="59"/>
      <c r="CV158" s="59"/>
      <c r="CW158" s="59"/>
      <c r="CX158" s="59"/>
      <c r="CY158" s="59"/>
      <c r="CZ158" s="59"/>
      <c r="DA158" s="59"/>
      <c r="DB158" s="59"/>
      <c r="DC158" s="59"/>
      <c r="DD158" s="59"/>
      <c r="DE158" s="59"/>
      <c r="DF158" s="59"/>
      <c r="DG158" s="59"/>
      <c r="DH158" s="59"/>
      <c r="DI158" s="59"/>
      <c r="DJ158" s="59"/>
      <c r="DK158" s="59"/>
      <c r="DL158" s="59"/>
      <c r="DM158" s="59"/>
      <c r="DN158" s="59"/>
      <c r="DO158" s="59"/>
      <c r="DP158" s="59"/>
      <c r="DQ158" s="59"/>
      <c r="DR158" s="59"/>
      <c r="DS158" s="59"/>
      <c r="DT158" s="59"/>
      <c r="DU158" s="59"/>
      <c r="DV158" s="59"/>
      <c r="DW158" s="59"/>
      <c r="DX158" s="59"/>
      <c r="DY158" s="59"/>
      <c r="DZ158" s="59"/>
      <c r="EA158" s="59"/>
      <c r="EB158" s="59"/>
      <c r="EC158" s="59"/>
      <c r="ED158" s="59"/>
      <c r="EE158" s="59"/>
      <c r="EF158" s="59"/>
      <c r="EG158" s="59"/>
      <c r="EH158" s="59"/>
      <c r="EI158" s="59"/>
      <c r="EJ158" s="59"/>
      <c r="EK158" s="59"/>
      <c r="EL158" s="59"/>
      <c r="EM158" s="59"/>
      <c r="EN158" s="59"/>
      <c r="EO158" s="59"/>
      <c r="EP158" s="59"/>
      <c r="EQ158" s="59"/>
      <c r="ER158" s="59"/>
      <c r="ES158" s="59"/>
      <c r="ET158" s="59"/>
      <c r="EU158" s="59"/>
      <c r="EV158" s="59"/>
      <c r="EW158" s="59"/>
      <c r="EX158" s="59"/>
      <c r="EY158" s="59"/>
      <c r="EZ158" s="59"/>
      <c r="FA158" s="59"/>
      <c r="FB158" s="59"/>
      <c r="FC158" s="59"/>
      <c r="FD158" s="59"/>
      <c r="FE158" s="59"/>
      <c r="FF158" s="59"/>
      <c r="FG158" s="59"/>
      <c r="FH158" s="59"/>
      <c r="FI158" s="59"/>
      <c r="FJ158" s="59"/>
      <c r="FK158" s="59"/>
      <c r="FL158" s="59"/>
      <c r="FM158" s="59"/>
      <c r="FN158" s="59"/>
      <c r="FO158" s="59"/>
      <c r="FP158" s="59"/>
      <c r="FQ158" s="59"/>
      <c r="FR158" s="59"/>
      <c r="FS158" s="59"/>
      <c r="FT158" s="59"/>
      <c r="FU158" s="59"/>
      <c r="FV158" s="59"/>
      <c r="FW158" s="59"/>
      <c r="FX158" s="59"/>
      <c r="FY158" s="59"/>
      <c r="FZ158" s="59"/>
      <c r="GA158" s="59"/>
      <c r="GB158" s="59"/>
      <c r="GC158" s="59"/>
      <c r="GD158" s="59"/>
      <c r="GE158" s="59"/>
      <c r="GF158" s="59"/>
      <c r="GG158" s="59"/>
      <c r="GH158" s="59"/>
      <c r="GI158" s="59"/>
      <c r="GJ158" s="59"/>
      <c r="GK158" s="59"/>
      <c r="GL158" s="59"/>
      <c r="GM158" s="59"/>
      <c r="GN158" s="59"/>
    </row>
    <row r="159" spans="1:196" x14ac:dyDescent="0.3">
      <c r="A159" s="59"/>
      <c r="B159" s="59"/>
      <c r="C159" s="59"/>
      <c r="D159" s="59"/>
      <c r="E159" s="59"/>
      <c r="F159" s="59"/>
      <c r="G159" s="59"/>
      <c r="H159" s="59"/>
      <c r="I159" s="59"/>
      <c r="J159" s="59"/>
      <c r="K159" s="59"/>
      <c r="L159" s="59"/>
      <c r="M159" s="59"/>
      <c r="N159" s="59"/>
      <c r="O159" s="59"/>
      <c r="P159" s="59"/>
      <c r="Q159" s="59"/>
      <c r="R159" s="59"/>
      <c r="S159" s="59"/>
      <c r="T159" s="59"/>
      <c r="U159" s="59"/>
      <c r="V159" s="59"/>
      <c r="W159" s="59"/>
      <c r="X159" s="59"/>
      <c r="Y159" s="59"/>
      <c r="Z159" s="59"/>
      <c r="AA159" s="59"/>
      <c r="AB159" s="59"/>
      <c r="AC159" s="59"/>
      <c r="AD159" s="59"/>
      <c r="AE159" s="59"/>
      <c r="AF159" s="59"/>
      <c r="AG159" s="59"/>
      <c r="AH159" s="59"/>
      <c r="AI159" s="59"/>
      <c r="AJ159" s="59"/>
      <c r="AK159" s="59"/>
      <c r="AL159" s="59"/>
      <c r="AM159" s="59"/>
      <c r="AN159" s="59"/>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c r="BU159" s="59"/>
      <c r="BV159" s="59"/>
      <c r="BW159" s="59"/>
      <c r="BX159" s="59"/>
      <c r="BY159" s="59"/>
      <c r="BZ159" s="59"/>
      <c r="CA159" s="59"/>
      <c r="CB159" s="59"/>
      <c r="CC159" s="59"/>
      <c r="CD159" s="59"/>
      <c r="CE159" s="59"/>
      <c r="CF159" s="59"/>
      <c r="CG159" s="59"/>
      <c r="CH159" s="59"/>
      <c r="CI159" s="59"/>
      <c r="CJ159" s="59"/>
      <c r="CK159" s="59"/>
      <c r="CL159" s="59"/>
      <c r="CM159" s="59"/>
      <c r="CN159" s="59"/>
      <c r="CO159" s="59"/>
      <c r="CP159" s="59"/>
      <c r="CQ159" s="59"/>
      <c r="CR159" s="59"/>
      <c r="CS159" s="59"/>
      <c r="CT159" s="59"/>
      <c r="CU159" s="59"/>
      <c r="CV159" s="59"/>
      <c r="CW159" s="59"/>
      <c r="CX159" s="59"/>
      <c r="CY159" s="59"/>
      <c r="CZ159" s="59"/>
      <c r="DA159" s="59"/>
      <c r="DB159" s="59"/>
      <c r="DC159" s="59"/>
      <c r="DD159" s="59"/>
      <c r="DE159" s="59"/>
      <c r="DF159" s="59"/>
      <c r="DG159" s="59"/>
      <c r="DH159" s="59"/>
      <c r="DI159" s="59"/>
      <c r="DJ159" s="59"/>
      <c r="DK159" s="59"/>
      <c r="DL159" s="59"/>
      <c r="DM159" s="59"/>
      <c r="DN159" s="59"/>
      <c r="DO159" s="59"/>
      <c r="DP159" s="59"/>
      <c r="DQ159" s="59"/>
      <c r="DR159" s="59"/>
      <c r="DS159" s="59"/>
      <c r="DT159" s="59"/>
      <c r="DU159" s="59"/>
      <c r="DV159" s="59"/>
      <c r="DW159" s="59"/>
      <c r="DX159" s="59"/>
      <c r="DY159" s="59"/>
      <c r="DZ159" s="59"/>
      <c r="EA159" s="59"/>
      <c r="EB159" s="59"/>
      <c r="EC159" s="59"/>
      <c r="ED159" s="59"/>
      <c r="EE159" s="59"/>
      <c r="EF159" s="59"/>
      <c r="EG159" s="59"/>
      <c r="EH159" s="59"/>
      <c r="EI159" s="59"/>
      <c r="EJ159" s="59"/>
      <c r="EK159" s="59"/>
      <c r="EL159" s="59"/>
      <c r="EM159" s="59"/>
      <c r="EN159" s="59"/>
      <c r="EO159" s="59"/>
      <c r="EP159" s="59"/>
      <c r="EQ159" s="59"/>
      <c r="ER159" s="59"/>
      <c r="ES159" s="59"/>
      <c r="ET159" s="59"/>
      <c r="EU159" s="59"/>
      <c r="EV159" s="59"/>
      <c r="EW159" s="59"/>
      <c r="EX159" s="59"/>
      <c r="EY159" s="59"/>
      <c r="EZ159" s="59"/>
      <c r="FA159" s="59"/>
      <c r="FB159" s="59"/>
      <c r="FC159" s="59"/>
      <c r="FD159" s="59"/>
      <c r="FE159" s="59"/>
      <c r="FF159" s="59"/>
      <c r="FG159" s="59"/>
      <c r="FH159" s="59"/>
      <c r="FI159" s="59"/>
      <c r="FJ159" s="59"/>
      <c r="FK159" s="59"/>
      <c r="FL159" s="59"/>
      <c r="FM159" s="59"/>
      <c r="FN159" s="59"/>
      <c r="FO159" s="59"/>
      <c r="FP159" s="59"/>
      <c r="FQ159" s="59"/>
      <c r="FR159" s="59"/>
      <c r="FS159" s="59"/>
      <c r="FT159" s="59"/>
      <c r="FU159" s="59"/>
      <c r="FV159" s="59"/>
      <c r="FW159" s="59"/>
      <c r="FX159" s="59"/>
      <c r="FY159" s="59"/>
      <c r="FZ159" s="59"/>
      <c r="GA159" s="59"/>
      <c r="GB159" s="59"/>
      <c r="GC159" s="59"/>
      <c r="GD159" s="59"/>
      <c r="GE159" s="59"/>
      <c r="GF159" s="59"/>
      <c r="GG159" s="59"/>
      <c r="GH159" s="59"/>
      <c r="GI159" s="59"/>
      <c r="GJ159" s="59"/>
      <c r="GK159" s="59"/>
      <c r="GL159" s="59"/>
      <c r="GM159" s="59"/>
      <c r="GN159" s="59"/>
    </row>
    <row r="160" spans="1:196" x14ac:dyDescent="0.3">
      <c r="A160" s="59"/>
      <c r="B160" s="59"/>
      <c r="C160" s="59"/>
      <c r="D160" s="59"/>
      <c r="E160" s="59"/>
      <c r="F160" s="59"/>
      <c r="G160" s="59"/>
      <c r="H160" s="59"/>
      <c r="I160" s="59"/>
      <c r="J160" s="59"/>
      <c r="K160" s="59"/>
      <c r="L160" s="59"/>
      <c r="M160" s="59"/>
      <c r="N160" s="59"/>
      <c r="O160" s="59"/>
      <c r="P160" s="59"/>
      <c r="Q160" s="59"/>
      <c r="R160" s="59"/>
      <c r="S160" s="59"/>
      <c r="T160" s="59"/>
      <c r="U160" s="59"/>
      <c r="V160" s="59"/>
      <c r="W160" s="59"/>
      <c r="X160" s="59"/>
      <c r="Y160" s="59"/>
      <c r="Z160" s="59"/>
      <c r="AA160" s="59"/>
      <c r="AB160" s="59"/>
      <c r="AC160" s="59"/>
      <c r="AD160" s="59"/>
      <c r="AE160" s="59"/>
      <c r="AF160" s="59"/>
      <c r="AG160" s="59"/>
      <c r="AH160" s="59"/>
      <c r="AI160" s="59"/>
      <c r="AJ160" s="59"/>
      <c r="AK160" s="59"/>
      <c r="AL160" s="59"/>
      <c r="AM160" s="59"/>
      <c r="AN160" s="59"/>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c r="BU160" s="59"/>
      <c r="BV160" s="59"/>
      <c r="BW160" s="59"/>
      <c r="BX160" s="59"/>
      <c r="BY160" s="59"/>
      <c r="BZ160" s="59"/>
      <c r="CA160" s="59"/>
      <c r="CB160" s="59"/>
      <c r="CC160" s="59"/>
      <c r="CD160" s="59"/>
      <c r="CE160" s="59"/>
      <c r="CF160" s="59"/>
      <c r="CG160" s="59"/>
      <c r="CH160" s="59"/>
      <c r="CI160" s="59"/>
      <c r="CJ160" s="59"/>
      <c r="CK160" s="59"/>
      <c r="CL160" s="59"/>
      <c r="CM160" s="59"/>
      <c r="CN160" s="59"/>
      <c r="CO160" s="59"/>
      <c r="CP160" s="59"/>
      <c r="CQ160" s="59"/>
      <c r="CR160" s="59"/>
      <c r="CS160" s="59"/>
      <c r="CT160" s="59"/>
      <c r="CU160" s="59"/>
      <c r="CV160" s="59"/>
      <c r="CW160" s="59"/>
      <c r="CX160" s="59"/>
      <c r="CY160" s="59"/>
      <c r="CZ160" s="59"/>
      <c r="DA160" s="59"/>
      <c r="DB160" s="59"/>
      <c r="DC160" s="59"/>
      <c r="DD160" s="59"/>
      <c r="DE160" s="59"/>
      <c r="DF160" s="59"/>
      <c r="DG160" s="59"/>
      <c r="DH160" s="59"/>
      <c r="DI160" s="59"/>
      <c r="DJ160" s="59"/>
      <c r="DK160" s="59"/>
      <c r="DL160" s="59"/>
      <c r="DM160" s="59"/>
      <c r="DN160" s="59"/>
      <c r="DO160" s="59"/>
      <c r="DP160" s="59"/>
      <c r="DQ160" s="59"/>
      <c r="DR160" s="59"/>
      <c r="DS160" s="59"/>
      <c r="DT160" s="59"/>
      <c r="DU160" s="59"/>
      <c r="DV160" s="59"/>
      <c r="DW160" s="59"/>
      <c r="DX160" s="59"/>
      <c r="DY160" s="59"/>
      <c r="DZ160" s="59"/>
      <c r="EA160" s="59"/>
      <c r="EB160" s="59"/>
      <c r="EC160" s="59"/>
      <c r="ED160" s="59"/>
      <c r="EE160" s="59"/>
      <c r="EF160" s="59"/>
      <c r="EG160" s="59"/>
      <c r="EH160" s="59"/>
      <c r="EI160" s="59"/>
      <c r="EJ160" s="59"/>
      <c r="EK160" s="59"/>
      <c r="EL160" s="59"/>
      <c r="EM160" s="59"/>
      <c r="EN160" s="59"/>
      <c r="EO160" s="59"/>
      <c r="EP160" s="59"/>
      <c r="EQ160" s="59"/>
      <c r="ER160" s="59"/>
      <c r="ES160" s="59"/>
      <c r="ET160" s="59"/>
      <c r="EU160" s="59"/>
      <c r="EV160" s="59"/>
      <c r="EW160" s="59"/>
      <c r="EX160" s="59"/>
      <c r="EY160" s="59"/>
      <c r="EZ160" s="59"/>
      <c r="FA160" s="59"/>
      <c r="FB160" s="59"/>
      <c r="FC160" s="59"/>
      <c r="FD160" s="59"/>
      <c r="FE160" s="59"/>
      <c r="FF160" s="59"/>
      <c r="FG160" s="59"/>
      <c r="FH160" s="59"/>
      <c r="FI160" s="59"/>
      <c r="FJ160" s="59"/>
      <c r="FK160" s="59"/>
      <c r="FL160" s="59"/>
      <c r="FM160" s="59"/>
      <c r="FN160" s="59"/>
      <c r="FO160" s="59"/>
      <c r="FP160" s="59"/>
      <c r="FQ160" s="59"/>
      <c r="FR160" s="59"/>
      <c r="FS160" s="59"/>
      <c r="FT160" s="59"/>
      <c r="FU160" s="59"/>
      <c r="FV160" s="59"/>
      <c r="FW160" s="59"/>
      <c r="FX160" s="59"/>
      <c r="FY160" s="59"/>
      <c r="FZ160" s="59"/>
      <c r="GA160" s="59"/>
      <c r="GB160" s="59"/>
      <c r="GC160" s="59"/>
      <c r="GD160" s="59"/>
      <c r="GE160" s="59"/>
      <c r="GF160" s="59"/>
      <c r="GG160" s="59"/>
      <c r="GH160" s="59"/>
      <c r="GI160" s="59"/>
      <c r="GJ160" s="59"/>
      <c r="GK160" s="59"/>
      <c r="GL160" s="59"/>
      <c r="GM160" s="59"/>
      <c r="GN160" s="59"/>
    </row>
    <row r="161" spans="1:196" x14ac:dyDescent="0.3">
      <c r="A161" s="59"/>
      <c r="B161" s="59"/>
      <c r="C161" s="59"/>
      <c r="D161" s="59"/>
      <c r="E161" s="59"/>
      <c r="F161" s="59"/>
      <c r="G161" s="59"/>
      <c r="H161" s="59"/>
      <c r="I161" s="59"/>
      <c r="J161" s="59"/>
      <c r="K161" s="59"/>
      <c r="L161" s="59"/>
      <c r="M161" s="59"/>
      <c r="N161" s="59"/>
      <c r="O161" s="59"/>
      <c r="P161" s="59"/>
      <c r="Q161" s="59"/>
      <c r="R161" s="59"/>
      <c r="S161" s="59"/>
      <c r="T161" s="59"/>
      <c r="U161" s="59"/>
      <c r="V161" s="59"/>
      <c r="W161" s="59"/>
      <c r="X161" s="59"/>
      <c r="Y161" s="59"/>
      <c r="Z161" s="59"/>
      <c r="AA161" s="59"/>
      <c r="AB161" s="59"/>
      <c r="AC161" s="59"/>
      <c r="AD161" s="59"/>
      <c r="AE161" s="59"/>
      <c r="AF161" s="59"/>
      <c r="AG161" s="59"/>
      <c r="AH161" s="59"/>
      <c r="AI161" s="59"/>
      <c r="AJ161" s="59"/>
      <c r="AK161" s="59"/>
      <c r="AL161" s="59"/>
      <c r="AM161" s="59"/>
      <c r="AN161" s="59"/>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c r="BU161" s="59"/>
      <c r="BV161" s="59"/>
      <c r="BW161" s="59"/>
      <c r="BX161" s="59"/>
      <c r="BY161" s="59"/>
      <c r="BZ161" s="59"/>
      <c r="CA161" s="59"/>
      <c r="CB161" s="59"/>
      <c r="CC161" s="59"/>
      <c r="CD161" s="59"/>
      <c r="CE161" s="59"/>
      <c r="CF161" s="59"/>
      <c r="CG161" s="59"/>
      <c r="CH161" s="59"/>
      <c r="CI161" s="59"/>
      <c r="CJ161" s="59"/>
      <c r="CK161" s="59"/>
      <c r="CL161" s="59"/>
      <c r="CM161" s="59"/>
      <c r="CN161" s="59"/>
      <c r="CO161" s="59"/>
      <c r="CP161" s="59"/>
      <c r="CQ161" s="59"/>
      <c r="CR161" s="59"/>
      <c r="CS161" s="59"/>
      <c r="CT161" s="59"/>
      <c r="CU161" s="59"/>
      <c r="CV161" s="59"/>
      <c r="CW161" s="59"/>
      <c r="CX161" s="59"/>
      <c r="CY161" s="59"/>
      <c r="CZ161" s="59"/>
      <c r="DA161" s="59"/>
      <c r="DB161" s="59"/>
      <c r="DC161" s="59"/>
      <c r="DD161" s="59"/>
      <c r="DE161" s="59"/>
      <c r="DF161" s="59"/>
      <c r="DG161" s="59"/>
      <c r="DH161" s="59"/>
      <c r="DI161" s="59"/>
      <c r="DJ161" s="59"/>
      <c r="DK161" s="59"/>
      <c r="DL161" s="59"/>
      <c r="DM161" s="59"/>
      <c r="DN161" s="59"/>
      <c r="DO161" s="59"/>
      <c r="DP161" s="59"/>
      <c r="DQ161" s="59"/>
      <c r="DR161" s="59"/>
      <c r="DS161" s="59"/>
      <c r="DT161" s="59"/>
      <c r="DU161" s="59"/>
      <c r="DV161" s="59"/>
      <c r="DW161" s="59"/>
      <c r="DX161" s="59"/>
      <c r="DY161" s="59"/>
      <c r="DZ161" s="59"/>
      <c r="EA161" s="59"/>
      <c r="EB161" s="59"/>
      <c r="EC161" s="59"/>
      <c r="ED161" s="59"/>
      <c r="EE161" s="59"/>
      <c r="EF161" s="59"/>
      <c r="EG161" s="59"/>
      <c r="EH161" s="59"/>
      <c r="EI161" s="59"/>
      <c r="EJ161" s="59"/>
      <c r="EK161" s="59"/>
      <c r="EL161" s="59"/>
      <c r="EM161" s="59"/>
      <c r="EN161" s="59"/>
      <c r="EO161" s="59"/>
      <c r="EP161" s="59"/>
      <c r="EQ161" s="59"/>
      <c r="ER161" s="59"/>
      <c r="ES161" s="59"/>
      <c r="ET161" s="59"/>
      <c r="EU161" s="59"/>
      <c r="EV161" s="59"/>
      <c r="EW161" s="59"/>
      <c r="EX161" s="59"/>
      <c r="EY161" s="59"/>
      <c r="EZ161" s="59"/>
      <c r="FA161" s="59"/>
      <c r="FB161" s="59"/>
      <c r="FC161" s="59"/>
      <c r="FD161" s="59"/>
      <c r="FE161" s="59"/>
      <c r="FF161" s="59"/>
      <c r="FG161" s="59"/>
      <c r="FH161" s="59"/>
      <c r="FI161" s="59"/>
      <c r="FJ161" s="59"/>
      <c r="FK161" s="59"/>
      <c r="FL161" s="59"/>
      <c r="FM161" s="59"/>
      <c r="FN161" s="59"/>
      <c r="FO161" s="59"/>
      <c r="FP161" s="59"/>
      <c r="FQ161" s="59"/>
      <c r="FR161" s="59"/>
      <c r="FS161" s="59"/>
      <c r="FT161" s="59"/>
      <c r="FU161" s="59"/>
      <c r="FV161" s="59"/>
      <c r="FW161" s="59"/>
      <c r="FX161" s="59"/>
      <c r="FY161" s="59"/>
      <c r="FZ161" s="59"/>
      <c r="GA161" s="59"/>
      <c r="GB161" s="59"/>
      <c r="GC161" s="59"/>
      <c r="GD161" s="59"/>
      <c r="GE161" s="59"/>
      <c r="GF161" s="59"/>
      <c r="GG161" s="59"/>
      <c r="GH161" s="59"/>
      <c r="GI161" s="59"/>
      <c r="GJ161" s="59"/>
      <c r="GK161" s="59"/>
      <c r="GL161" s="59"/>
      <c r="GM161" s="59"/>
      <c r="GN161" s="59"/>
    </row>
    <row r="162" spans="1:196" x14ac:dyDescent="0.3">
      <c r="A162" s="59"/>
      <c r="B162" s="59"/>
      <c r="C162" s="59"/>
      <c r="D162" s="59"/>
      <c r="E162" s="59"/>
      <c r="F162" s="59"/>
      <c r="G162" s="59"/>
      <c r="H162" s="59"/>
      <c r="I162" s="59"/>
      <c r="J162" s="59"/>
      <c r="K162" s="59"/>
      <c r="L162" s="59"/>
      <c r="M162" s="59"/>
      <c r="N162" s="59"/>
      <c r="O162" s="59"/>
      <c r="P162" s="59"/>
      <c r="Q162" s="59"/>
      <c r="R162" s="59"/>
      <c r="S162" s="59"/>
      <c r="T162" s="59"/>
      <c r="U162" s="59"/>
      <c r="V162" s="59"/>
      <c r="W162" s="59"/>
      <c r="X162" s="59"/>
      <c r="Y162" s="59"/>
      <c r="Z162" s="59"/>
      <c r="AA162" s="59"/>
      <c r="AB162" s="59"/>
      <c r="AC162" s="59"/>
      <c r="AD162" s="59"/>
      <c r="AE162" s="59"/>
      <c r="AF162" s="59"/>
      <c r="AG162" s="59"/>
      <c r="AH162" s="59"/>
      <c r="AI162" s="59"/>
      <c r="AJ162" s="59"/>
      <c r="AK162" s="59"/>
      <c r="AL162" s="59"/>
      <c r="AM162" s="59"/>
      <c r="AN162" s="59"/>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c r="BU162" s="59"/>
      <c r="BV162" s="59"/>
      <c r="BW162" s="59"/>
      <c r="BX162" s="59"/>
      <c r="BY162" s="59"/>
      <c r="BZ162" s="59"/>
      <c r="CA162" s="59"/>
      <c r="CB162" s="59"/>
      <c r="CC162" s="59"/>
      <c r="CD162" s="59"/>
      <c r="CE162" s="59"/>
      <c r="CF162" s="59"/>
      <c r="CG162" s="59"/>
      <c r="CH162" s="59"/>
      <c r="CI162" s="59"/>
      <c r="CJ162" s="59"/>
      <c r="CK162" s="59"/>
      <c r="CL162" s="59"/>
      <c r="CM162" s="59"/>
      <c r="CN162" s="59"/>
      <c r="CO162" s="59"/>
      <c r="CP162" s="59"/>
      <c r="CQ162" s="59"/>
      <c r="CR162" s="59"/>
      <c r="CS162" s="59"/>
      <c r="CT162" s="59"/>
      <c r="CU162" s="59"/>
      <c r="CV162" s="59"/>
      <c r="CW162" s="59"/>
      <c r="CX162" s="59"/>
      <c r="CY162" s="59"/>
      <c r="CZ162" s="59"/>
      <c r="DA162" s="59"/>
      <c r="DB162" s="59"/>
      <c r="DC162" s="59"/>
      <c r="DD162" s="59"/>
      <c r="DE162" s="59"/>
      <c r="DF162" s="59"/>
      <c r="DG162" s="59"/>
      <c r="DH162" s="59"/>
      <c r="DI162" s="59"/>
      <c r="DJ162" s="59"/>
      <c r="DK162" s="59"/>
      <c r="DL162" s="59"/>
      <c r="DM162" s="59"/>
      <c r="DN162" s="59"/>
      <c r="DO162" s="59"/>
      <c r="DP162" s="59"/>
      <c r="DQ162" s="59"/>
      <c r="DR162" s="59"/>
      <c r="DS162" s="59"/>
      <c r="DT162" s="59"/>
      <c r="DU162" s="59"/>
      <c r="DV162" s="59"/>
      <c r="DW162" s="59"/>
      <c r="DX162" s="59"/>
      <c r="DY162" s="59"/>
      <c r="DZ162" s="59"/>
      <c r="EA162" s="59"/>
      <c r="EB162" s="59"/>
      <c r="EC162" s="59"/>
      <c r="ED162" s="59"/>
      <c r="EE162" s="59"/>
      <c r="EF162" s="59"/>
      <c r="EG162" s="59"/>
      <c r="EH162" s="59"/>
      <c r="EI162" s="59"/>
      <c r="EJ162" s="59"/>
      <c r="EK162" s="59"/>
      <c r="EL162" s="59"/>
      <c r="EM162" s="59"/>
      <c r="EN162" s="59"/>
      <c r="EO162" s="59"/>
      <c r="EP162" s="59"/>
      <c r="EQ162" s="59"/>
      <c r="ER162" s="59"/>
      <c r="ES162" s="59"/>
      <c r="ET162" s="59"/>
      <c r="EU162" s="59"/>
      <c r="EV162" s="59"/>
      <c r="EW162" s="59"/>
      <c r="EX162" s="59"/>
      <c r="EY162" s="59"/>
      <c r="EZ162" s="59"/>
      <c r="FA162" s="59"/>
      <c r="FB162" s="59"/>
      <c r="FC162" s="59"/>
      <c r="FD162" s="59"/>
      <c r="FE162" s="59"/>
      <c r="FF162" s="59"/>
      <c r="FG162" s="59"/>
      <c r="FH162" s="59"/>
      <c r="FI162" s="59"/>
      <c r="FJ162" s="59"/>
      <c r="FK162" s="59"/>
      <c r="FL162" s="59"/>
      <c r="FM162" s="59"/>
      <c r="FN162" s="59"/>
      <c r="FO162" s="59"/>
      <c r="FP162" s="59"/>
      <c r="FQ162" s="59"/>
      <c r="FR162" s="59"/>
      <c r="FS162" s="59"/>
      <c r="FT162" s="59"/>
      <c r="FU162" s="59"/>
      <c r="FV162" s="59"/>
      <c r="FW162" s="59"/>
      <c r="FX162" s="59"/>
      <c r="FY162" s="59"/>
      <c r="FZ162" s="59"/>
      <c r="GA162" s="59"/>
      <c r="GB162" s="59"/>
      <c r="GC162" s="59"/>
      <c r="GD162" s="59"/>
      <c r="GE162" s="59"/>
      <c r="GF162" s="59"/>
      <c r="GG162" s="59"/>
      <c r="GH162" s="59"/>
      <c r="GI162" s="59"/>
      <c r="GJ162" s="59"/>
      <c r="GK162" s="59"/>
      <c r="GL162" s="59"/>
      <c r="GM162" s="59"/>
      <c r="GN162" s="59"/>
    </row>
    <row r="163" spans="1:196" x14ac:dyDescent="0.3">
      <c r="A163" s="59"/>
      <c r="B163" s="59"/>
      <c r="C163" s="59"/>
      <c r="D163" s="59"/>
      <c r="E163" s="59"/>
      <c r="F163" s="59"/>
      <c r="G163" s="59"/>
      <c r="H163" s="59"/>
      <c r="I163" s="59"/>
      <c r="J163" s="59"/>
      <c r="K163" s="59"/>
      <c r="L163" s="59"/>
      <c r="M163" s="59"/>
      <c r="N163" s="59"/>
      <c r="O163" s="59"/>
      <c r="P163" s="59"/>
      <c r="Q163" s="59"/>
      <c r="R163" s="59"/>
      <c r="S163" s="59"/>
      <c r="T163" s="59"/>
      <c r="U163" s="59"/>
      <c r="V163" s="59"/>
      <c r="W163" s="59"/>
      <c r="X163" s="59"/>
      <c r="Y163" s="59"/>
      <c r="Z163" s="59"/>
      <c r="AA163" s="59"/>
      <c r="AB163" s="59"/>
      <c r="AC163" s="59"/>
      <c r="AD163" s="59"/>
      <c r="AE163" s="59"/>
      <c r="AF163" s="59"/>
      <c r="AG163" s="59"/>
      <c r="AH163" s="59"/>
      <c r="AI163" s="59"/>
      <c r="AJ163" s="59"/>
      <c r="AK163" s="59"/>
      <c r="AL163" s="59"/>
      <c r="AM163" s="59"/>
      <c r="AN163" s="59"/>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c r="BU163" s="59"/>
      <c r="BV163" s="59"/>
      <c r="BW163" s="59"/>
      <c r="BX163" s="59"/>
      <c r="BY163" s="59"/>
      <c r="BZ163" s="59"/>
      <c r="CA163" s="59"/>
      <c r="CB163" s="59"/>
      <c r="CC163" s="59"/>
      <c r="CD163" s="59"/>
      <c r="CE163" s="59"/>
      <c r="CF163" s="59"/>
      <c r="CG163" s="59"/>
      <c r="CH163" s="59"/>
      <c r="CI163" s="59"/>
      <c r="CJ163" s="59"/>
      <c r="CK163" s="59"/>
      <c r="CL163" s="59"/>
      <c r="CM163" s="59"/>
      <c r="CN163" s="59"/>
      <c r="CO163" s="59"/>
      <c r="CP163" s="59"/>
      <c r="CQ163" s="59"/>
      <c r="CR163" s="59"/>
      <c r="CS163" s="59"/>
      <c r="CT163" s="59"/>
      <c r="CU163" s="59"/>
      <c r="CV163" s="59"/>
      <c r="CW163" s="59"/>
      <c r="CX163" s="59"/>
      <c r="CY163" s="59"/>
      <c r="CZ163" s="59"/>
      <c r="DA163" s="59"/>
      <c r="DB163" s="59"/>
      <c r="DC163" s="59"/>
      <c r="DD163" s="59"/>
      <c r="DE163" s="59"/>
      <c r="DF163" s="59"/>
      <c r="DG163" s="59"/>
      <c r="DH163" s="59"/>
      <c r="DI163" s="59"/>
      <c r="DJ163" s="59"/>
      <c r="DK163" s="59"/>
      <c r="DL163" s="59"/>
      <c r="DM163" s="59"/>
      <c r="DN163" s="59"/>
      <c r="DO163" s="59"/>
      <c r="DP163" s="59"/>
      <c r="DQ163" s="59"/>
      <c r="DR163" s="59"/>
      <c r="DS163" s="59"/>
      <c r="DT163" s="59"/>
      <c r="DU163" s="59"/>
      <c r="DV163" s="59"/>
      <c r="DW163" s="59"/>
      <c r="DX163" s="59"/>
      <c r="DY163" s="59"/>
      <c r="DZ163" s="59"/>
      <c r="EA163" s="59"/>
      <c r="EB163" s="59"/>
      <c r="EC163" s="59"/>
      <c r="ED163" s="59"/>
      <c r="EE163" s="59"/>
      <c r="EF163" s="59"/>
      <c r="EG163" s="59"/>
      <c r="EH163" s="59"/>
      <c r="EI163" s="59"/>
      <c r="EJ163" s="59"/>
      <c r="EK163" s="59"/>
      <c r="EL163" s="59"/>
      <c r="EM163" s="59"/>
      <c r="EN163" s="59"/>
      <c r="EO163" s="59"/>
      <c r="EP163" s="59"/>
      <c r="EQ163" s="59"/>
      <c r="ER163" s="59"/>
      <c r="ES163" s="59"/>
      <c r="ET163" s="59"/>
      <c r="EU163" s="59"/>
      <c r="EV163" s="59"/>
      <c r="EW163" s="59"/>
      <c r="EX163" s="59"/>
      <c r="EY163" s="59"/>
      <c r="EZ163" s="59"/>
      <c r="FA163" s="59"/>
      <c r="FB163" s="59"/>
      <c r="FC163" s="59"/>
      <c r="FD163" s="59"/>
      <c r="FE163" s="59"/>
      <c r="FF163" s="59"/>
      <c r="FG163" s="59"/>
      <c r="FH163" s="59"/>
      <c r="FI163" s="59"/>
      <c r="FJ163" s="59"/>
      <c r="FK163" s="59"/>
      <c r="FL163" s="59"/>
      <c r="FM163" s="59"/>
      <c r="FN163" s="59"/>
      <c r="FO163" s="59"/>
      <c r="FP163" s="59"/>
      <c r="FQ163" s="59"/>
      <c r="FR163" s="59"/>
      <c r="FS163" s="59"/>
      <c r="FT163" s="59"/>
      <c r="FU163" s="59"/>
      <c r="FV163" s="59"/>
      <c r="FW163" s="59"/>
      <c r="FX163" s="59"/>
      <c r="FY163" s="59"/>
      <c r="FZ163" s="59"/>
      <c r="GA163" s="59"/>
      <c r="GB163" s="59"/>
      <c r="GC163" s="59"/>
      <c r="GD163" s="59"/>
      <c r="GE163" s="59"/>
      <c r="GF163" s="59"/>
      <c r="GG163" s="59"/>
      <c r="GH163" s="59"/>
      <c r="GI163" s="59"/>
      <c r="GJ163" s="59"/>
      <c r="GK163" s="59"/>
      <c r="GL163" s="59"/>
      <c r="GM163" s="59"/>
      <c r="GN163" s="59"/>
    </row>
    <row r="164" spans="1:196" x14ac:dyDescent="0.3">
      <c r="A164" s="59"/>
      <c r="B164" s="59"/>
      <c r="C164" s="59"/>
      <c r="D164" s="59"/>
      <c r="E164" s="59"/>
      <c r="F164" s="59"/>
      <c r="G164" s="59"/>
      <c r="H164" s="59"/>
      <c r="I164" s="59"/>
      <c r="J164" s="59"/>
      <c r="K164" s="59"/>
      <c r="L164" s="59"/>
      <c r="M164" s="59"/>
      <c r="N164" s="59"/>
      <c r="O164" s="59"/>
      <c r="P164" s="59"/>
      <c r="Q164" s="59"/>
      <c r="R164" s="59"/>
      <c r="S164" s="59"/>
      <c r="T164" s="59"/>
      <c r="U164" s="59"/>
      <c r="V164" s="59"/>
      <c r="W164" s="59"/>
      <c r="X164" s="59"/>
      <c r="Y164" s="59"/>
      <c r="Z164" s="59"/>
      <c r="AA164" s="59"/>
      <c r="AB164" s="59"/>
      <c r="AC164" s="59"/>
      <c r="AD164" s="59"/>
      <c r="AE164" s="59"/>
      <c r="AF164" s="59"/>
      <c r="AG164" s="59"/>
      <c r="AH164" s="59"/>
      <c r="AI164" s="59"/>
      <c r="AJ164" s="59"/>
      <c r="AK164" s="59"/>
      <c r="AL164" s="59"/>
      <c r="AM164" s="59"/>
      <c r="AN164" s="59"/>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c r="BU164" s="59"/>
      <c r="BV164" s="59"/>
      <c r="BW164" s="59"/>
      <c r="BX164" s="59"/>
      <c r="BY164" s="59"/>
      <c r="BZ164" s="59"/>
      <c r="CA164" s="59"/>
      <c r="CB164" s="59"/>
      <c r="CC164" s="59"/>
      <c r="CD164" s="59"/>
      <c r="CE164" s="59"/>
      <c r="CF164" s="59"/>
      <c r="CG164" s="59"/>
      <c r="CH164" s="59"/>
      <c r="CI164" s="59"/>
      <c r="CJ164" s="59"/>
      <c r="CK164" s="59"/>
      <c r="CL164" s="59"/>
      <c r="CM164" s="59"/>
      <c r="CN164" s="59"/>
      <c r="CO164" s="59"/>
      <c r="CP164" s="59"/>
      <c r="CQ164" s="59"/>
      <c r="CR164" s="59"/>
      <c r="CS164" s="59"/>
      <c r="CT164" s="59"/>
      <c r="CU164" s="59"/>
      <c r="CV164" s="59"/>
      <c r="CW164" s="59"/>
      <c r="CX164" s="59"/>
      <c r="CY164" s="59"/>
      <c r="CZ164" s="59"/>
      <c r="DA164" s="59"/>
      <c r="DB164" s="59"/>
      <c r="DC164" s="59"/>
      <c r="DD164" s="59"/>
      <c r="DE164" s="59"/>
      <c r="DF164" s="59"/>
      <c r="DG164" s="59"/>
      <c r="DH164" s="59"/>
      <c r="DI164" s="59"/>
      <c r="DJ164" s="59"/>
      <c r="DK164" s="59"/>
      <c r="DL164" s="59"/>
      <c r="DM164" s="59"/>
      <c r="DN164" s="59"/>
      <c r="DO164" s="59"/>
      <c r="DP164" s="59"/>
      <c r="DQ164" s="59"/>
      <c r="DR164" s="59"/>
      <c r="DS164" s="59"/>
      <c r="DT164" s="59"/>
      <c r="DU164" s="59"/>
      <c r="DV164" s="59"/>
      <c r="DW164" s="59"/>
      <c r="DX164" s="59"/>
      <c r="DY164" s="59"/>
      <c r="DZ164" s="59"/>
      <c r="EA164" s="59"/>
      <c r="EB164" s="59"/>
      <c r="EC164" s="59"/>
      <c r="ED164" s="59"/>
      <c r="EE164" s="59"/>
      <c r="EF164" s="59"/>
      <c r="EG164" s="59"/>
      <c r="EH164" s="59"/>
      <c r="EI164" s="59"/>
      <c r="EJ164" s="59"/>
      <c r="EK164" s="59"/>
      <c r="EL164" s="59"/>
      <c r="EM164" s="59"/>
      <c r="EN164" s="59"/>
      <c r="EO164" s="59"/>
      <c r="EP164" s="59"/>
      <c r="EQ164" s="59"/>
      <c r="ER164" s="59"/>
      <c r="ES164" s="59"/>
      <c r="ET164" s="59"/>
      <c r="EU164" s="59"/>
      <c r="EV164" s="59"/>
      <c r="EW164" s="59"/>
      <c r="EX164" s="59"/>
      <c r="EY164" s="59"/>
      <c r="EZ164" s="59"/>
      <c r="FA164" s="59"/>
      <c r="FB164" s="59"/>
      <c r="FC164" s="59"/>
      <c r="FD164" s="59"/>
      <c r="FE164" s="59"/>
      <c r="FF164" s="59"/>
      <c r="FG164" s="59"/>
      <c r="FH164" s="59"/>
      <c r="FI164" s="59"/>
      <c r="FJ164" s="59"/>
      <c r="FK164" s="59"/>
      <c r="FL164" s="59"/>
      <c r="FM164" s="59"/>
      <c r="FN164" s="59"/>
      <c r="FO164" s="59"/>
      <c r="FP164" s="59"/>
      <c r="FQ164" s="59"/>
      <c r="FR164" s="59"/>
      <c r="FS164" s="59"/>
      <c r="FT164" s="59"/>
      <c r="FU164" s="59"/>
      <c r="FV164" s="59"/>
      <c r="FW164" s="59"/>
      <c r="FX164" s="59"/>
      <c r="FY164" s="59"/>
      <c r="FZ164" s="59"/>
      <c r="GA164" s="59"/>
      <c r="GB164" s="59"/>
      <c r="GC164" s="59"/>
      <c r="GD164" s="59"/>
      <c r="GE164" s="59"/>
      <c r="GF164" s="59"/>
      <c r="GG164" s="59"/>
      <c r="GH164" s="59"/>
      <c r="GI164" s="59"/>
      <c r="GJ164" s="59"/>
      <c r="GK164" s="59"/>
      <c r="GL164" s="59"/>
      <c r="GM164" s="59"/>
      <c r="GN164" s="59"/>
    </row>
    <row r="165" spans="1:196" x14ac:dyDescent="0.3">
      <c r="A165" s="59"/>
      <c r="B165" s="59"/>
      <c r="C165" s="59"/>
      <c r="D165" s="59"/>
      <c r="E165" s="59"/>
      <c r="F165" s="59"/>
      <c r="G165" s="59"/>
      <c r="H165" s="59"/>
      <c r="I165" s="59"/>
      <c r="J165" s="59"/>
      <c r="K165" s="59"/>
      <c r="L165" s="59"/>
      <c r="M165" s="59"/>
      <c r="N165" s="59"/>
      <c r="O165" s="59"/>
      <c r="P165" s="59"/>
      <c r="Q165" s="59"/>
      <c r="R165" s="59"/>
      <c r="S165" s="59"/>
      <c r="T165" s="59"/>
      <c r="U165" s="59"/>
      <c r="V165" s="59"/>
      <c r="W165" s="59"/>
      <c r="X165" s="59"/>
      <c r="Y165" s="59"/>
      <c r="Z165" s="59"/>
      <c r="AA165" s="59"/>
      <c r="AB165" s="59"/>
      <c r="AC165" s="59"/>
      <c r="AD165" s="59"/>
      <c r="AE165" s="59"/>
      <c r="AF165" s="59"/>
      <c r="AG165" s="59"/>
      <c r="AH165" s="59"/>
      <c r="AI165" s="59"/>
      <c r="AJ165" s="59"/>
      <c r="AK165" s="59"/>
      <c r="AL165" s="59"/>
      <c r="AM165" s="59"/>
      <c r="AN165" s="59"/>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c r="BU165" s="59"/>
      <c r="BV165" s="59"/>
      <c r="BW165" s="59"/>
      <c r="BX165" s="59"/>
      <c r="BY165" s="59"/>
      <c r="BZ165" s="59"/>
      <c r="CA165" s="59"/>
      <c r="CB165" s="59"/>
      <c r="CC165" s="59"/>
      <c r="CD165" s="59"/>
      <c r="CE165" s="59"/>
      <c r="CF165" s="59"/>
      <c r="CG165" s="59"/>
      <c r="CH165" s="59"/>
      <c r="CI165" s="59"/>
      <c r="CJ165" s="59"/>
      <c r="CK165" s="59"/>
      <c r="CL165" s="59"/>
      <c r="CM165" s="59"/>
      <c r="CN165" s="59"/>
      <c r="CO165" s="59"/>
      <c r="CP165" s="59"/>
      <c r="CQ165" s="59"/>
      <c r="CR165" s="59"/>
      <c r="CS165" s="59"/>
      <c r="CT165" s="59"/>
      <c r="CU165" s="59"/>
      <c r="CV165" s="59"/>
      <c r="CW165" s="59"/>
      <c r="CX165" s="59"/>
      <c r="CY165" s="59"/>
      <c r="CZ165" s="59"/>
      <c r="DA165" s="59"/>
      <c r="DB165" s="59"/>
      <c r="DC165" s="59"/>
      <c r="DD165" s="59"/>
      <c r="DE165" s="59"/>
      <c r="DF165" s="59"/>
      <c r="DG165" s="59"/>
      <c r="DH165" s="59"/>
      <c r="DI165" s="59"/>
      <c r="DJ165" s="59"/>
      <c r="DK165" s="59"/>
      <c r="DL165" s="59"/>
      <c r="DM165" s="59"/>
      <c r="DN165" s="59"/>
      <c r="DO165" s="59"/>
      <c r="DP165" s="59"/>
      <c r="DQ165" s="59"/>
      <c r="DR165" s="59"/>
      <c r="DS165" s="59"/>
      <c r="DT165" s="59"/>
      <c r="DU165" s="59"/>
      <c r="DV165" s="59"/>
      <c r="DW165" s="59"/>
      <c r="DX165" s="59"/>
      <c r="DY165" s="59"/>
      <c r="DZ165" s="59"/>
      <c r="EA165" s="59"/>
      <c r="EB165" s="59"/>
      <c r="EC165" s="59"/>
      <c r="ED165" s="59"/>
      <c r="EE165" s="59"/>
      <c r="EF165" s="59"/>
      <c r="EG165" s="59"/>
      <c r="EH165" s="59"/>
      <c r="EI165" s="59"/>
      <c r="EJ165" s="59"/>
      <c r="EK165" s="59"/>
      <c r="EL165" s="59"/>
      <c r="EM165" s="59"/>
      <c r="EN165" s="59"/>
      <c r="EO165" s="59"/>
      <c r="EP165" s="59"/>
      <c r="EQ165" s="59"/>
      <c r="ER165" s="59"/>
      <c r="ES165" s="59"/>
      <c r="ET165" s="59"/>
      <c r="EU165" s="59"/>
      <c r="EV165" s="59"/>
      <c r="EW165" s="59"/>
      <c r="EX165" s="59"/>
      <c r="EY165" s="59"/>
      <c r="EZ165" s="59"/>
      <c r="FA165" s="59"/>
      <c r="FB165" s="59"/>
      <c r="FC165" s="59"/>
      <c r="FD165" s="59"/>
      <c r="FE165" s="59"/>
      <c r="FF165" s="59"/>
      <c r="FG165" s="59"/>
      <c r="FH165" s="59"/>
      <c r="FI165" s="59"/>
      <c r="FJ165" s="59"/>
      <c r="FK165" s="59"/>
      <c r="FL165" s="59"/>
      <c r="FM165" s="59"/>
      <c r="FN165" s="59"/>
      <c r="FO165" s="59"/>
      <c r="FP165" s="59"/>
      <c r="FQ165" s="59"/>
      <c r="FR165" s="59"/>
      <c r="FS165" s="59"/>
      <c r="FT165" s="59"/>
      <c r="FU165" s="59"/>
      <c r="FV165" s="59"/>
      <c r="FW165" s="59"/>
      <c r="FX165" s="59"/>
      <c r="FY165" s="59"/>
      <c r="FZ165" s="59"/>
      <c r="GA165" s="59"/>
      <c r="GB165" s="59"/>
      <c r="GC165" s="59"/>
      <c r="GD165" s="59"/>
      <c r="GE165" s="59"/>
      <c r="GF165" s="59"/>
      <c r="GG165" s="59"/>
      <c r="GH165" s="59"/>
      <c r="GI165" s="59"/>
      <c r="GJ165" s="59"/>
      <c r="GK165" s="59"/>
      <c r="GL165" s="59"/>
      <c r="GM165" s="59"/>
      <c r="GN165" s="59"/>
    </row>
    <row r="166" spans="1:196" x14ac:dyDescent="0.3">
      <c r="A166" s="59"/>
      <c r="B166" s="59"/>
      <c r="C166" s="59"/>
      <c r="D166" s="59"/>
      <c r="E166" s="59"/>
      <c r="F166" s="59"/>
      <c r="G166" s="59"/>
      <c r="H166" s="59"/>
      <c r="I166" s="59"/>
      <c r="J166" s="59"/>
      <c r="K166" s="59"/>
      <c r="L166" s="59"/>
      <c r="M166" s="59"/>
      <c r="N166" s="59"/>
      <c r="O166" s="59"/>
      <c r="P166" s="59"/>
      <c r="Q166" s="59"/>
      <c r="R166" s="59"/>
      <c r="S166" s="59"/>
      <c r="T166" s="59"/>
      <c r="U166" s="59"/>
      <c r="V166" s="59"/>
      <c r="W166" s="59"/>
      <c r="X166" s="59"/>
      <c r="Y166" s="59"/>
      <c r="Z166" s="59"/>
      <c r="AA166" s="59"/>
      <c r="AB166" s="59"/>
      <c r="AC166" s="59"/>
      <c r="AD166" s="59"/>
      <c r="AE166" s="59"/>
      <c r="AF166" s="59"/>
      <c r="AG166" s="59"/>
      <c r="AH166" s="59"/>
      <c r="AI166" s="59"/>
      <c r="AJ166" s="59"/>
      <c r="AK166" s="59"/>
      <c r="AL166" s="59"/>
      <c r="AM166" s="59"/>
      <c r="AN166" s="59"/>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c r="BU166" s="59"/>
      <c r="BV166" s="59"/>
      <c r="BW166" s="59"/>
      <c r="BX166" s="59"/>
      <c r="BY166" s="59"/>
      <c r="BZ166" s="59"/>
      <c r="CA166" s="59"/>
      <c r="CB166" s="59"/>
      <c r="CC166" s="59"/>
      <c r="CD166" s="59"/>
      <c r="CE166" s="59"/>
      <c r="CF166" s="59"/>
      <c r="CG166" s="59"/>
      <c r="CH166" s="59"/>
      <c r="CI166" s="59"/>
      <c r="CJ166" s="59"/>
      <c r="CK166" s="59"/>
      <c r="CL166" s="59"/>
      <c r="CM166" s="59"/>
      <c r="CN166" s="59"/>
      <c r="CO166" s="59"/>
      <c r="CP166" s="59"/>
      <c r="CQ166" s="59"/>
      <c r="CR166" s="59"/>
      <c r="CS166" s="59"/>
      <c r="CT166" s="59"/>
      <c r="CU166" s="59"/>
      <c r="CV166" s="59"/>
      <c r="CW166" s="59"/>
      <c r="CX166" s="59"/>
      <c r="CY166" s="59"/>
      <c r="CZ166" s="59"/>
      <c r="DA166" s="59"/>
      <c r="DB166" s="59"/>
      <c r="DC166" s="59"/>
      <c r="DD166" s="59"/>
      <c r="DE166" s="59"/>
      <c r="DF166" s="59"/>
      <c r="DG166" s="59"/>
      <c r="DH166" s="59"/>
      <c r="DI166" s="59"/>
      <c r="DJ166" s="59"/>
      <c r="DK166" s="59"/>
      <c r="DL166" s="59"/>
      <c r="DM166" s="59"/>
      <c r="DN166" s="59"/>
      <c r="DO166" s="59"/>
      <c r="DP166" s="59"/>
      <c r="DQ166" s="59"/>
      <c r="DR166" s="59"/>
      <c r="DS166" s="59"/>
      <c r="DT166" s="59"/>
      <c r="DU166" s="59"/>
      <c r="DV166" s="59"/>
      <c r="DW166" s="59"/>
      <c r="DX166" s="59"/>
      <c r="DY166" s="59"/>
      <c r="DZ166" s="59"/>
      <c r="EA166" s="59"/>
      <c r="EB166" s="59"/>
      <c r="EC166" s="59"/>
      <c r="ED166" s="59"/>
      <c r="EE166" s="59"/>
      <c r="EF166" s="59"/>
      <c r="EG166" s="59"/>
      <c r="EH166" s="59"/>
      <c r="EI166" s="59"/>
      <c r="EJ166" s="59"/>
      <c r="EK166" s="59"/>
      <c r="EL166" s="59"/>
      <c r="EM166" s="59"/>
      <c r="EN166" s="59"/>
      <c r="EO166" s="59"/>
      <c r="EP166" s="59"/>
      <c r="EQ166" s="59"/>
      <c r="ER166" s="59"/>
      <c r="ES166" s="59"/>
      <c r="ET166" s="59"/>
      <c r="EU166" s="59"/>
      <c r="EV166" s="59"/>
      <c r="EW166" s="59"/>
      <c r="EX166" s="59"/>
      <c r="EY166" s="59"/>
      <c r="EZ166" s="59"/>
      <c r="FA166" s="59"/>
      <c r="FB166" s="59"/>
      <c r="FC166" s="59"/>
      <c r="FD166" s="59"/>
      <c r="FE166" s="59"/>
      <c r="FF166" s="59"/>
      <c r="FG166" s="59"/>
      <c r="FH166" s="59"/>
      <c r="FI166" s="59"/>
      <c r="FJ166" s="59"/>
      <c r="FK166" s="59"/>
      <c r="FL166" s="59"/>
      <c r="FM166" s="59"/>
      <c r="FN166" s="59"/>
      <c r="FO166" s="59"/>
      <c r="FP166" s="59"/>
      <c r="FQ166" s="59"/>
      <c r="FR166" s="59"/>
      <c r="FS166" s="59"/>
      <c r="FT166" s="59"/>
      <c r="FU166" s="59"/>
      <c r="FV166" s="59"/>
      <c r="FW166" s="59"/>
      <c r="FX166" s="59"/>
      <c r="FY166" s="59"/>
      <c r="FZ166" s="59"/>
      <c r="GA166" s="59"/>
      <c r="GB166" s="59"/>
      <c r="GC166" s="59"/>
      <c r="GD166" s="59"/>
      <c r="GE166" s="59"/>
      <c r="GF166" s="59"/>
      <c r="GG166" s="59"/>
      <c r="GH166" s="59"/>
      <c r="GI166" s="59"/>
      <c r="GJ166" s="59"/>
      <c r="GK166" s="59"/>
      <c r="GL166" s="59"/>
      <c r="GM166" s="59"/>
      <c r="GN166" s="59"/>
    </row>
    <row r="167" spans="1:196" x14ac:dyDescent="0.3">
      <c r="A167" s="59"/>
      <c r="B167" s="59"/>
      <c r="C167" s="59"/>
      <c r="D167" s="59"/>
      <c r="E167" s="59"/>
      <c r="F167" s="59"/>
      <c r="G167" s="59"/>
      <c r="H167" s="59"/>
      <c r="I167" s="59"/>
      <c r="J167" s="59"/>
      <c r="K167" s="59"/>
      <c r="L167" s="59"/>
      <c r="M167" s="59"/>
      <c r="N167" s="59"/>
      <c r="O167" s="59"/>
      <c r="P167" s="59"/>
      <c r="Q167" s="59"/>
      <c r="R167" s="59"/>
      <c r="S167" s="59"/>
      <c r="T167" s="59"/>
      <c r="U167" s="59"/>
      <c r="V167" s="59"/>
      <c r="W167" s="59"/>
      <c r="X167" s="59"/>
      <c r="Y167" s="59"/>
      <c r="Z167" s="59"/>
      <c r="AA167" s="59"/>
      <c r="AB167" s="59"/>
      <c r="AC167" s="59"/>
      <c r="AD167" s="59"/>
      <c r="AE167" s="59"/>
      <c r="AF167" s="59"/>
      <c r="AG167" s="59"/>
      <c r="AH167" s="59"/>
      <c r="AI167" s="59"/>
      <c r="AJ167" s="59"/>
      <c r="AK167" s="59"/>
      <c r="AL167" s="59"/>
      <c r="AM167" s="59"/>
      <c r="AN167" s="59"/>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c r="BU167" s="59"/>
      <c r="BV167" s="59"/>
      <c r="BW167" s="59"/>
      <c r="BX167" s="59"/>
      <c r="BY167" s="59"/>
      <c r="BZ167" s="59"/>
      <c r="CA167" s="59"/>
      <c r="CB167" s="59"/>
      <c r="CC167" s="59"/>
      <c r="CD167" s="59"/>
      <c r="CE167" s="59"/>
      <c r="CF167" s="59"/>
      <c r="CG167" s="59"/>
      <c r="CH167" s="59"/>
      <c r="CI167" s="59"/>
      <c r="CJ167" s="59"/>
      <c r="CK167" s="59"/>
      <c r="CL167" s="59"/>
      <c r="CM167" s="59"/>
      <c r="CN167" s="59"/>
      <c r="CO167" s="59"/>
      <c r="CP167" s="59"/>
      <c r="CQ167" s="59"/>
      <c r="CR167" s="59"/>
      <c r="CS167" s="59"/>
      <c r="CT167" s="59"/>
      <c r="CU167" s="59"/>
      <c r="CV167" s="59"/>
      <c r="CW167" s="59"/>
      <c r="CX167" s="59"/>
      <c r="CY167" s="59"/>
      <c r="CZ167" s="59"/>
      <c r="DA167" s="59"/>
      <c r="DB167" s="59"/>
      <c r="DC167" s="59"/>
      <c r="DD167" s="59"/>
      <c r="DE167" s="59"/>
      <c r="DF167" s="59"/>
      <c r="DG167" s="59"/>
      <c r="DH167" s="59"/>
      <c r="DI167" s="59"/>
      <c r="DJ167" s="59"/>
      <c r="DK167" s="59"/>
      <c r="DL167" s="59"/>
      <c r="DM167" s="59"/>
      <c r="DN167" s="59"/>
      <c r="DO167" s="59"/>
      <c r="DP167" s="59"/>
      <c r="DQ167" s="59"/>
      <c r="DR167" s="59"/>
      <c r="DS167" s="59"/>
      <c r="DT167" s="59"/>
      <c r="DU167" s="59"/>
      <c r="DV167" s="59"/>
      <c r="DW167" s="59"/>
      <c r="DX167" s="59"/>
      <c r="DY167" s="59"/>
      <c r="DZ167" s="59"/>
      <c r="EA167" s="59"/>
      <c r="EB167" s="59"/>
      <c r="EC167" s="59"/>
      <c r="ED167" s="59"/>
      <c r="EE167" s="59"/>
      <c r="EF167" s="59"/>
      <c r="EG167" s="59"/>
      <c r="EH167" s="59"/>
      <c r="EI167" s="59"/>
      <c r="EJ167" s="59"/>
      <c r="EK167" s="59"/>
      <c r="EL167" s="59"/>
      <c r="EM167" s="59"/>
      <c r="EN167" s="59"/>
      <c r="EO167" s="59"/>
      <c r="EP167" s="59"/>
      <c r="EQ167" s="59"/>
      <c r="ER167" s="59"/>
      <c r="ES167" s="59"/>
      <c r="ET167" s="59"/>
      <c r="EU167" s="59"/>
      <c r="EV167" s="59"/>
      <c r="EW167" s="59"/>
      <c r="EX167" s="59"/>
      <c r="EY167" s="59"/>
      <c r="EZ167" s="59"/>
      <c r="FA167" s="59"/>
      <c r="FB167" s="59"/>
      <c r="FC167" s="59"/>
      <c r="FD167" s="59"/>
      <c r="FE167" s="59"/>
      <c r="FF167" s="59"/>
      <c r="FG167" s="59"/>
      <c r="FH167" s="59"/>
      <c r="FI167" s="59"/>
      <c r="FJ167" s="59"/>
      <c r="FK167" s="59"/>
      <c r="FL167" s="59"/>
      <c r="FM167" s="59"/>
      <c r="FN167" s="59"/>
      <c r="FO167" s="59"/>
      <c r="FP167" s="59"/>
      <c r="FQ167" s="59"/>
      <c r="FR167" s="59"/>
      <c r="FS167" s="59"/>
      <c r="FT167" s="59"/>
      <c r="FU167" s="59"/>
      <c r="FV167" s="59"/>
      <c r="FW167" s="59"/>
      <c r="FX167" s="59"/>
      <c r="FY167" s="59"/>
      <c r="FZ167" s="59"/>
      <c r="GA167" s="59"/>
      <c r="GB167" s="59"/>
      <c r="GC167" s="59"/>
      <c r="GD167" s="59"/>
      <c r="GE167" s="59"/>
      <c r="GF167" s="59"/>
      <c r="GG167" s="59"/>
      <c r="GH167" s="59"/>
      <c r="GI167" s="59"/>
      <c r="GJ167" s="59"/>
      <c r="GK167" s="59"/>
      <c r="GL167" s="59"/>
      <c r="GM167" s="59"/>
      <c r="GN167" s="59"/>
    </row>
    <row r="168" spans="1:196" x14ac:dyDescent="0.3">
      <c r="A168" s="59"/>
      <c r="B168" s="59"/>
      <c r="C168" s="59"/>
      <c r="D168" s="59"/>
      <c r="E168" s="59"/>
      <c r="F168" s="59"/>
      <c r="G168" s="59"/>
      <c r="H168" s="59"/>
      <c r="I168" s="59"/>
      <c r="J168" s="59"/>
      <c r="K168" s="59"/>
      <c r="L168" s="59"/>
      <c r="M168" s="59"/>
      <c r="N168" s="59"/>
      <c r="O168" s="59"/>
      <c r="P168" s="59"/>
      <c r="Q168" s="59"/>
      <c r="R168" s="59"/>
      <c r="S168" s="59"/>
      <c r="T168" s="59"/>
      <c r="U168" s="59"/>
      <c r="V168" s="59"/>
      <c r="W168" s="59"/>
      <c r="X168" s="59"/>
      <c r="Y168" s="59"/>
      <c r="Z168" s="59"/>
      <c r="AA168" s="59"/>
      <c r="AB168" s="59"/>
      <c r="AC168" s="59"/>
      <c r="AD168" s="59"/>
      <c r="AE168" s="59"/>
      <c r="AF168" s="59"/>
      <c r="AG168" s="59"/>
      <c r="AH168" s="59"/>
      <c r="AI168" s="59"/>
      <c r="AJ168" s="59"/>
      <c r="AK168" s="59"/>
      <c r="AL168" s="59"/>
      <c r="AM168" s="59"/>
      <c r="AN168" s="59"/>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c r="BU168" s="59"/>
      <c r="BV168" s="59"/>
      <c r="BW168" s="59"/>
      <c r="BX168" s="59"/>
      <c r="BY168" s="59"/>
      <c r="BZ168" s="59"/>
      <c r="CA168" s="59"/>
      <c r="CB168" s="59"/>
      <c r="CC168" s="59"/>
      <c r="CD168" s="59"/>
      <c r="CE168" s="59"/>
      <c r="CF168" s="59"/>
      <c r="CG168" s="59"/>
      <c r="CH168" s="59"/>
      <c r="CI168" s="59"/>
      <c r="CJ168" s="59"/>
      <c r="CK168" s="59"/>
      <c r="CL168" s="59"/>
      <c r="CM168" s="59"/>
      <c r="CN168" s="59"/>
      <c r="CO168" s="59"/>
      <c r="CP168" s="59"/>
      <c r="CQ168" s="59"/>
      <c r="CR168" s="59"/>
      <c r="CS168" s="59"/>
      <c r="CT168" s="59"/>
      <c r="CU168" s="59"/>
      <c r="CV168" s="59"/>
      <c r="CW168" s="59"/>
      <c r="CX168" s="59"/>
      <c r="CY168" s="59"/>
      <c r="CZ168" s="59"/>
      <c r="DA168" s="59"/>
      <c r="DB168" s="59"/>
      <c r="DC168" s="59"/>
      <c r="DD168" s="59"/>
      <c r="DE168" s="59"/>
      <c r="DF168" s="59"/>
      <c r="DG168" s="59"/>
      <c r="DH168" s="59"/>
      <c r="DI168" s="59"/>
      <c r="DJ168" s="59"/>
      <c r="DK168" s="59"/>
      <c r="DL168" s="59"/>
      <c r="DM168" s="59"/>
      <c r="DN168" s="59"/>
      <c r="DO168" s="59"/>
      <c r="DP168" s="59"/>
      <c r="DQ168" s="59"/>
      <c r="DR168" s="59"/>
      <c r="DS168" s="59"/>
      <c r="DT168" s="59"/>
      <c r="DU168" s="59"/>
      <c r="DV168" s="59"/>
      <c r="DW168" s="59"/>
      <c r="DX168" s="59"/>
      <c r="DY168" s="59"/>
      <c r="DZ168" s="59"/>
      <c r="EA168" s="59"/>
      <c r="EB168" s="59"/>
      <c r="EC168" s="59"/>
      <c r="ED168" s="59"/>
      <c r="EE168" s="59"/>
      <c r="EF168" s="59"/>
      <c r="EG168" s="59"/>
      <c r="EH168" s="59"/>
      <c r="EI168" s="59"/>
      <c r="EJ168" s="59"/>
      <c r="EK168" s="59"/>
      <c r="EL168" s="59"/>
      <c r="EM168" s="59"/>
      <c r="EN168" s="59"/>
      <c r="EO168" s="59"/>
      <c r="EP168" s="59"/>
      <c r="EQ168" s="59"/>
      <c r="ER168" s="59"/>
      <c r="ES168" s="59"/>
      <c r="ET168" s="59"/>
      <c r="EU168" s="59"/>
      <c r="EV168" s="59"/>
      <c r="EW168" s="59"/>
      <c r="EX168" s="59"/>
      <c r="EY168" s="59"/>
      <c r="EZ168" s="59"/>
      <c r="FA168" s="59"/>
      <c r="FB168" s="59"/>
      <c r="FC168" s="59"/>
      <c r="FD168" s="59"/>
      <c r="FE168" s="59"/>
      <c r="FF168" s="59"/>
      <c r="FG168" s="59"/>
      <c r="FH168" s="59"/>
      <c r="FI168" s="59"/>
      <c r="FJ168" s="59"/>
      <c r="FK168" s="59"/>
      <c r="FL168" s="59"/>
      <c r="FM168" s="59"/>
      <c r="FN168" s="59"/>
      <c r="FO168" s="59"/>
      <c r="FP168" s="59"/>
      <c r="FQ168" s="59"/>
      <c r="FR168" s="59"/>
      <c r="FS168" s="59"/>
      <c r="FT168" s="59"/>
      <c r="FU168" s="59"/>
      <c r="FV168" s="59"/>
      <c r="FW168" s="59"/>
      <c r="FX168" s="59"/>
      <c r="FY168" s="59"/>
      <c r="FZ168" s="59"/>
      <c r="GA168" s="59"/>
      <c r="GB168" s="59"/>
      <c r="GC168" s="59"/>
      <c r="GD168" s="59"/>
      <c r="GE168" s="59"/>
      <c r="GF168" s="59"/>
      <c r="GG168" s="59"/>
      <c r="GH168" s="59"/>
      <c r="GI168" s="59"/>
      <c r="GJ168" s="59"/>
      <c r="GK168" s="59"/>
      <c r="GL168" s="59"/>
      <c r="GM168" s="59"/>
      <c r="GN168" s="59"/>
    </row>
    <row r="169" spans="1:196" x14ac:dyDescent="0.3">
      <c r="A169" s="59"/>
      <c r="B169" s="59"/>
      <c r="C169" s="59"/>
      <c r="D169" s="59"/>
      <c r="E169" s="59"/>
      <c r="F169" s="59"/>
      <c r="G169" s="59"/>
      <c r="H169" s="59"/>
      <c r="I169" s="59"/>
      <c r="J169" s="59"/>
      <c r="K169" s="59"/>
      <c r="L169" s="59"/>
      <c r="M169" s="59"/>
      <c r="N169" s="59"/>
      <c r="O169" s="59"/>
      <c r="P169" s="59"/>
      <c r="Q169" s="59"/>
      <c r="R169" s="59"/>
      <c r="S169" s="59"/>
      <c r="T169" s="59"/>
      <c r="U169" s="59"/>
      <c r="V169" s="59"/>
      <c r="W169" s="59"/>
      <c r="X169" s="59"/>
      <c r="Y169" s="59"/>
      <c r="Z169" s="59"/>
      <c r="AA169" s="59"/>
      <c r="AB169" s="59"/>
      <c r="AC169" s="59"/>
      <c r="AD169" s="59"/>
      <c r="AE169" s="59"/>
      <c r="AF169" s="59"/>
      <c r="AG169" s="59"/>
      <c r="AH169" s="59"/>
      <c r="AI169" s="59"/>
      <c r="AJ169" s="59"/>
      <c r="AK169" s="59"/>
      <c r="AL169" s="59"/>
      <c r="AM169" s="59"/>
      <c r="AN169" s="59"/>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c r="BU169" s="59"/>
      <c r="BV169" s="59"/>
      <c r="BW169" s="59"/>
      <c r="BX169" s="59"/>
      <c r="BY169" s="59"/>
      <c r="BZ169" s="59"/>
      <c r="CA169" s="59"/>
      <c r="CB169" s="59"/>
      <c r="CC169" s="59"/>
      <c r="CD169" s="59"/>
      <c r="CE169" s="59"/>
      <c r="CF169" s="59"/>
      <c r="CG169" s="59"/>
      <c r="CH169" s="59"/>
      <c r="CI169" s="59"/>
      <c r="CJ169" s="59"/>
      <c r="CK169" s="59"/>
      <c r="CL169" s="59"/>
      <c r="CM169" s="59"/>
      <c r="CN169" s="59"/>
      <c r="CO169" s="59"/>
      <c r="CP169" s="59"/>
      <c r="CQ169" s="59"/>
      <c r="CR169" s="59"/>
      <c r="CS169" s="59"/>
      <c r="CT169" s="59"/>
      <c r="CU169" s="59"/>
      <c r="CV169" s="59"/>
      <c r="CW169" s="59"/>
      <c r="CX169" s="59"/>
      <c r="CY169" s="59"/>
      <c r="CZ169" s="59"/>
      <c r="DA169" s="59"/>
      <c r="DB169" s="59"/>
      <c r="DC169" s="59"/>
      <c r="DD169" s="59"/>
      <c r="DE169" s="59"/>
      <c r="DF169" s="59"/>
      <c r="DG169" s="59"/>
      <c r="DH169" s="59"/>
      <c r="DI169" s="59"/>
      <c r="DJ169" s="59"/>
      <c r="DK169" s="59"/>
      <c r="DL169" s="59"/>
      <c r="DM169" s="59"/>
      <c r="DN169" s="59"/>
      <c r="DO169" s="59"/>
      <c r="DP169" s="59"/>
      <c r="DQ169" s="59"/>
      <c r="DR169" s="59"/>
      <c r="DS169" s="59"/>
      <c r="DT169" s="59"/>
      <c r="DU169" s="59"/>
      <c r="DV169" s="59"/>
      <c r="DW169" s="59"/>
      <c r="DX169" s="59"/>
      <c r="DY169" s="59"/>
      <c r="DZ169" s="59"/>
      <c r="EA169" s="59"/>
      <c r="EB169" s="59"/>
      <c r="EC169" s="59"/>
      <c r="ED169" s="59"/>
      <c r="EE169" s="59"/>
      <c r="EF169" s="59"/>
      <c r="EG169" s="59"/>
      <c r="EH169" s="59"/>
      <c r="EI169" s="59"/>
      <c r="EJ169" s="59"/>
      <c r="EK169" s="59"/>
      <c r="EL169" s="59"/>
      <c r="EM169" s="59"/>
      <c r="EN169" s="59"/>
      <c r="EO169" s="59"/>
      <c r="EP169" s="59"/>
      <c r="EQ169" s="59"/>
      <c r="ER169" s="59"/>
      <c r="ES169" s="59"/>
      <c r="ET169" s="59"/>
      <c r="EU169" s="59"/>
      <c r="EV169" s="59"/>
      <c r="EW169" s="59"/>
      <c r="EX169" s="59"/>
      <c r="EY169" s="59"/>
      <c r="EZ169" s="59"/>
      <c r="FA169" s="59"/>
      <c r="FB169" s="59"/>
      <c r="FC169" s="59"/>
      <c r="FD169" s="59"/>
      <c r="FE169" s="59"/>
      <c r="FF169" s="59"/>
      <c r="FG169" s="59"/>
      <c r="FH169" s="59"/>
      <c r="FI169" s="59"/>
      <c r="FJ169" s="59"/>
      <c r="FK169" s="59"/>
      <c r="FL169" s="59"/>
      <c r="FM169" s="59"/>
      <c r="FN169" s="59"/>
      <c r="FO169" s="59"/>
      <c r="FP169" s="59"/>
      <c r="FQ169" s="59"/>
      <c r="FR169" s="59"/>
      <c r="FS169" s="59"/>
      <c r="FT169" s="59"/>
      <c r="FU169" s="59"/>
      <c r="FV169" s="59"/>
      <c r="FW169" s="59"/>
      <c r="FX169" s="59"/>
      <c r="FY169" s="59"/>
      <c r="FZ169" s="59"/>
      <c r="GA169" s="59"/>
      <c r="GB169" s="59"/>
      <c r="GC169" s="59"/>
      <c r="GD169" s="59"/>
      <c r="GE169" s="59"/>
      <c r="GF169" s="59"/>
      <c r="GG169" s="59"/>
      <c r="GH169" s="59"/>
      <c r="GI169" s="59"/>
      <c r="GJ169" s="59"/>
      <c r="GK169" s="59"/>
      <c r="GL169" s="59"/>
      <c r="GM169" s="59"/>
      <c r="GN169" s="59"/>
    </row>
    <row r="170" spans="1:196" x14ac:dyDescent="0.3">
      <c r="A170" s="59"/>
      <c r="B170" s="59"/>
      <c r="C170" s="59"/>
      <c r="D170" s="59"/>
      <c r="E170" s="59"/>
      <c r="F170" s="59"/>
      <c r="G170" s="59"/>
      <c r="H170" s="59"/>
      <c r="I170" s="59"/>
      <c r="J170" s="59"/>
      <c r="K170" s="59"/>
      <c r="L170" s="59"/>
      <c r="M170" s="59"/>
      <c r="N170" s="59"/>
      <c r="O170" s="59"/>
      <c r="P170" s="59"/>
      <c r="Q170" s="59"/>
      <c r="R170" s="59"/>
      <c r="S170" s="59"/>
      <c r="T170" s="59"/>
      <c r="U170" s="59"/>
      <c r="V170" s="59"/>
      <c r="W170" s="59"/>
      <c r="X170" s="59"/>
      <c r="Y170" s="59"/>
      <c r="Z170" s="59"/>
      <c r="AA170" s="59"/>
      <c r="AB170" s="59"/>
      <c r="AC170" s="59"/>
      <c r="AD170" s="59"/>
      <c r="AE170" s="59"/>
      <c r="AF170" s="59"/>
      <c r="AG170" s="59"/>
      <c r="AH170" s="59"/>
      <c r="AI170" s="59"/>
      <c r="AJ170" s="59"/>
      <c r="AK170" s="59"/>
      <c r="AL170" s="59"/>
      <c r="AM170" s="59"/>
      <c r="AN170" s="59"/>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c r="BU170" s="59"/>
      <c r="BV170" s="59"/>
      <c r="BW170" s="59"/>
      <c r="BX170" s="59"/>
      <c r="BY170" s="59"/>
      <c r="BZ170" s="59"/>
      <c r="CA170" s="59"/>
      <c r="CB170" s="59"/>
      <c r="CC170" s="59"/>
      <c r="CD170" s="59"/>
      <c r="CE170" s="59"/>
      <c r="CF170" s="59"/>
      <c r="CG170" s="59"/>
      <c r="CH170" s="59"/>
      <c r="CI170" s="59"/>
      <c r="CJ170" s="59"/>
      <c r="CK170" s="59"/>
      <c r="CL170" s="59"/>
      <c r="CM170" s="59"/>
      <c r="CN170" s="59"/>
      <c r="CO170" s="59"/>
      <c r="CP170" s="59"/>
      <c r="CQ170" s="59"/>
      <c r="CR170" s="59"/>
      <c r="CS170" s="59"/>
      <c r="CT170" s="59"/>
      <c r="CU170" s="59"/>
      <c r="CV170" s="59"/>
      <c r="CW170" s="59"/>
      <c r="CX170" s="59"/>
      <c r="CY170" s="59"/>
      <c r="CZ170" s="59"/>
      <c r="DA170" s="59"/>
      <c r="DB170" s="59"/>
      <c r="DC170" s="59"/>
      <c r="DD170" s="59"/>
      <c r="DE170" s="59"/>
      <c r="DF170" s="59"/>
      <c r="DG170" s="59"/>
      <c r="DH170" s="59"/>
      <c r="DI170" s="59"/>
      <c r="DJ170" s="59"/>
      <c r="DK170" s="59"/>
      <c r="DL170" s="59"/>
      <c r="DM170" s="59"/>
      <c r="DN170" s="59"/>
      <c r="DO170" s="59"/>
      <c r="DP170" s="59"/>
      <c r="DQ170" s="59"/>
      <c r="DR170" s="59"/>
      <c r="DS170" s="59"/>
      <c r="DT170" s="59"/>
      <c r="DU170" s="59"/>
      <c r="DV170" s="59"/>
      <c r="DW170" s="59"/>
      <c r="DX170" s="59"/>
      <c r="DY170" s="59"/>
      <c r="DZ170" s="59"/>
      <c r="EA170" s="59"/>
      <c r="EB170" s="59"/>
      <c r="EC170" s="59"/>
      <c r="ED170" s="59"/>
      <c r="EE170" s="59"/>
      <c r="EF170" s="59"/>
      <c r="EG170" s="59"/>
      <c r="EH170" s="59"/>
      <c r="EI170" s="59"/>
      <c r="EJ170" s="59"/>
      <c r="EK170" s="59"/>
      <c r="EL170" s="59"/>
      <c r="EM170" s="59"/>
      <c r="EN170" s="59"/>
      <c r="EO170" s="59"/>
      <c r="EP170" s="59"/>
      <c r="EQ170" s="59"/>
      <c r="ER170" s="59"/>
      <c r="ES170" s="59"/>
      <c r="ET170" s="59"/>
      <c r="EU170" s="59"/>
      <c r="EV170" s="59"/>
      <c r="EW170" s="59"/>
      <c r="EX170" s="59"/>
      <c r="EY170" s="59"/>
      <c r="EZ170" s="59"/>
      <c r="FA170" s="59"/>
      <c r="FB170" s="59"/>
      <c r="FC170" s="59"/>
      <c r="FD170" s="59"/>
      <c r="FE170" s="59"/>
      <c r="FF170" s="59"/>
      <c r="FG170" s="59"/>
      <c r="FH170" s="59"/>
      <c r="FI170" s="59"/>
      <c r="FJ170" s="59"/>
      <c r="FK170" s="59"/>
      <c r="FL170" s="59"/>
      <c r="FM170" s="59"/>
      <c r="FN170" s="59"/>
      <c r="FO170" s="59"/>
      <c r="FP170" s="59"/>
      <c r="FQ170" s="59"/>
      <c r="FR170" s="59"/>
      <c r="FS170" s="59"/>
      <c r="FT170" s="59"/>
      <c r="FU170" s="59"/>
      <c r="FV170" s="59"/>
      <c r="FW170" s="59"/>
      <c r="FX170" s="59"/>
      <c r="FY170" s="59"/>
      <c r="FZ170" s="59"/>
      <c r="GA170" s="59"/>
      <c r="GB170" s="59"/>
      <c r="GC170" s="59"/>
      <c r="GD170" s="59"/>
      <c r="GE170" s="59"/>
      <c r="GF170" s="59"/>
      <c r="GG170" s="59"/>
      <c r="GH170" s="59"/>
      <c r="GI170" s="59"/>
      <c r="GJ170" s="59"/>
      <c r="GK170" s="59"/>
      <c r="GL170" s="59"/>
      <c r="GM170" s="59"/>
      <c r="GN170" s="59"/>
    </row>
    <row r="171" spans="1:196" x14ac:dyDescent="0.3">
      <c r="A171" s="59"/>
      <c r="B171" s="59"/>
      <c r="C171" s="59"/>
      <c r="D171" s="59"/>
      <c r="E171" s="59"/>
      <c r="F171" s="59"/>
      <c r="G171" s="59"/>
      <c r="H171" s="59"/>
      <c r="I171" s="59"/>
      <c r="J171" s="59"/>
      <c r="K171" s="59"/>
      <c r="L171" s="59"/>
      <c r="M171" s="59"/>
      <c r="N171" s="59"/>
      <c r="O171" s="59"/>
      <c r="P171" s="59"/>
      <c r="Q171" s="59"/>
      <c r="R171" s="59"/>
      <c r="S171" s="59"/>
      <c r="T171" s="59"/>
      <c r="U171" s="59"/>
      <c r="V171" s="59"/>
      <c r="W171" s="59"/>
      <c r="X171" s="59"/>
      <c r="Y171" s="59"/>
      <c r="Z171" s="59"/>
      <c r="AA171" s="59"/>
      <c r="AB171" s="59"/>
      <c r="AC171" s="59"/>
      <c r="AD171" s="59"/>
      <c r="AE171" s="59"/>
      <c r="AF171" s="59"/>
      <c r="AG171" s="59"/>
      <c r="AH171" s="59"/>
      <c r="AI171" s="59"/>
      <c r="AJ171" s="59"/>
      <c r="AK171" s="59"/>
      <c r="AL171" s="59"/>
      <c r="AM171" s="59"/>
      <c r="AN171" s="59"/>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c r="BU171" s="59"/>
      <c r="BV171" s="59"/>
      <c r="BW171" s="59"/>
      <c r="BX171" s="59"/>
      <c r="BY171" s="59"/>
      <c r="BZ171" s="59"/>
      <c r="CA171" s="59"/>
      <c r="CB171" s="59"/>
      <c r="CC171" s="59"/>
      <c r="CD171" s="59"/>
      <c r="CE171" s="59"/>
      <c r="CF171" s="59"/>
      <c r="CG171" s="59"/>
      <c r="CH171" s="59"/>
      <c r="CI171" s="59"/>
      <c r="CJ171" s="59"/>
      <c r="CK171" s="59"/>
      <c r="CL171" s="59"/>
      <c r="CM171" s="59"/>
      <c r="CN171" s="59"/>
      <c r="CO171" s="59"/>
      <c r="CP171" s="59"/>
      <c r="CQ171" s="59"/>
      <c r="CR171" s="59"/>
      <c r="CS171" s="59"/>
      <c r="CT171" s="59"/>
      <c r="CU171" s="59"/>
      <c r="CV171" s="59"/>
      <c r="CW171" s="59"/>
      <c r="CX171" s="59"/>
      <c r="CY171" s="59"/>
      <c r="CZ171" s="59"/>
      <c r="DA171" s="59"/>
      <c r="DB171" s="59"/>
      <c r="DC171" s="59"/>
      <c r="DD171" s="59"/>
      <c r="DE171" s="59"/>
      <c r="DF171" s="59"/>
      <c r="DG171" s="59"/>
      <c r="DH171" s="59"/>
      <c r="DI171" s="59"/>
      <c r="DJ171" s="59"/>
      <c r="DK171" s="59"/>
      <c r="DL171" s="59"/>
      <c r="DM171" s="59"/>
      <c r="DN171" s="59"/>
      <c r="DO171" s="59"/>
      <c r="DP171" s="59"/>
      <c r="DQ171" s="59"/>
      <c r="DR171" s="59"/>
      <c r="DS171" s="59"/>
      <c r="DT171" s="59"/>
      <c r="DU171" s="59"/>
      <c r="DV171" s="59"/>
      <c r="DW171" s="59"/>
      <c r="DX171" s="59"/>
      <c r="DY171" s="59"/>
      <c r="DZ171" s="59"/>
      <c r="EA171" s="59"/>
      <c r="EB171" s="59"/>
      <c r="EC171" s="59"/>
      <c r="ED171" s="59"/>
      <c r="EE171" s="59"/>
      <c r="EF171" s="59"/>
      <c r="EG171" s="59"/>
      <c r="EH171" s="59"/>
      <c r="EI171" s="59"/>
      <c r="EJ171" s="59"/>
      <c r="EK171" s="59"/>
      <c r="EL171" s="59"/>
      <c r="EM171" s="59"/>
      <c r="EN171" s="59"/>
      <c r="EO171" s="59"/>
      <c r="EP171" s="59"/>
      <c r="EQ171" s="59"/>
      <c r="ER171" s="59"/>
      <c r="ES171" s="59"/>
      <c r="ET171" s="59"/>
      <c r="EU171" s="59"/>
      <c r="EV171" s="59"/>
      <c r="EW171" s="59"/>
      <c r="EX171" s="59"/>
      <c r="EY171" s="59"/>
      <c r="EZ171" s="59"/>
      <c r="FA171" s="59"/>
      <c r="FB171" s="59"/>
      <c r="FC171" s="59"/>
      <c r="FD171" s="59"/>
      <c r="FE171" s="59"/>
      <c r="FF171" s="59"/>
      <c r="FG171" s="59"/>
      <c r="FH171" s="59"/>
      <c r="FI171" s="59"/>
      <c r="FJ171" s="59"/>
      <c r="FK171" s="59"/>
      <c r="FL171" s="59"/>
      <c r="FM171" s="59"/>
      <c r="FN171" s="59"/>
      <c r="FO171" s="59"/>
      <c r="FP171" s="59"/>
      <c r="FQ171" s="59"/>
      <c r="FR171" s="59"/>
      <c r="FS171" s="59"/>
      <c r="FT171" s="59"/>
      <c r="FU171" s="59"/>
      <c r="FV171" s="59"/>
      <c r="FW171" s="59"/>
      <c r="FX171" s="59"/>
      <c r="FY171" s="59"/>
      <c r="FZ171" s="59"/>
      <c r="GA171" s="59"/>
      <c r="GB171" s="59"/>
      <c r="GC171" s="59"/>
      <c r="GD171" s="59"/>
      <c r="GE171" s="59"/>
      <c r="GF171" s="59"/>
      <c r="GG171" s="59"/>
      <c r="GH171" s="59"/>
      <c r="GI171" s="59"/>
      <c r="GJ171" s="59"/>
      <c r="GK171" s="59"/>
      <c r="GL171" s="59"/>
      <c r="GM171" s="59"/>
      <c r="GN171" s="59"/>
    </row>
    <row r="172" spans="1:196" x14ac:dyDescent="0.3">
      <c r="A172" s="59"/>
      <c r="B172" s="59"/>
      <c r="C172" s="59"/>
      <c r="D172" s="59"/>
      <c r="E172" s="59"/>
      <c r="F172" s="59"/>
      <c r="G172" s="59"/>
      <c r="H172" s="59"/>
      <c r="I172" s="59"/>
      <c r="J172" s="59"/>
      <c r="K172" s="59"/>
      <c r="L172" s="59"/>
      <c r="M172" s="59"/>
      <c r="N172" s="59"/>
      <c r="O172" s="59"/>
      <c r="P172" s="59"/>
      <c r="Q172" s="59"/>
      <c r="R172" s="59"/>
      <c r="S172" s="59"/>
      <c r="T172" s="59"/>
      <c r="U172" s="59"/>
      <c r="V172" s="59"/>
      <c r="W172" s="59"/>
      <c r="X172" s="59"/>
      <c r="Y172" s="59"/>
      <c r="Z172" s="59"/>
      <c r="AA172" s="59"/>
      <c r="AB172" s="59"/>
      <c r="AC172" s="59"/>
      <c r="AD172" s="59"/>
      <c r="AE172" s="59"/>
      <c r="AF172" s="59"/>
      <c r="AG172" s="59"/>
      <c r="AH172" s="59"/>
      <c r="AI172" s="59"/>
      <c r="AJ172" s="59"/>
      <c r="AK172" s="59"/>
      <c r="AL172" s="59"/>
      <c r="AM172" s="59"/>
      <c r="AN172" s="59"/>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c r="BU172" s="59"/>
      <c r="BV172" s="59"/>
      <c r="BW172" s="59"/>
      <c r="BX172" s="59"/>
      <c r="BY172" s="59"/>
      <c r="BZ172" s="59"/>
      <c r="CA172" s="59"/>
      <c r="CB172" s="59"/>
      <c r="CC172" s="59"/>
      <c r="CD172" s="59"/>
      <c r="CE172" s="59"/>
      <c r="CF172" s="59"/>
      <c r="CG172" s="59"/>
      <c r="CH172" s="59"/>
      <c r="CI172" s="59"/>
      <c r="CJ172" s="59"/>
      <c r="CK172" s="59"/>
      <c r="CL172" s="59"/>
      <c r="CM172" s="59"/>
      <c r="CN172" s="59"/>
      <c r="CO172" s="59"/>
      <c r="CP172" s="59"/>
      <c r="CQ172" s="59"/>
      <c r="CR172" s="59"/>
      <c r="CS172" s="59"/>
      <c r="CT172" s="59"/>
      <c r="CU172" s="59"/>
      <c r="CV172" s="59"/>
      <c r="CW172" s="59"/>
      <c r="CX172" s="59"/>
      <c r="CY172" s="59"/>
      <c r="CZ172" s="59"/>
      <c r="DA172" s="59"/>
      <c r="DB172" s="59"/>
      <c r="DC172" s="59"/>
      <c r="DD172" s="59"/>
      <c r="DE172" s="59"/>
      <c r="DF172" s="59"/>
      <c r="DG172" s="59"/>
      <c r="DH172" s="59"/>
      <c r="DI172" s="59"/>
      <c r="DJ172" s="59"/>
      <c r="DK172" s="59"/>
      <c r="DL172" s="59"/>
      <c r="DM172" s="59"/>
      <c r="DN172" s="59"/>
      <c r="DO172" s="59"/>
      <c r="DP172" s="59"/>
      <c r="DQ172" s="59"/>
      <c r="DR172" s="59"/>
      <c r="DS172" s="59"/>
      <c r="DT172" s="59"/>
      <c r="DU172" s="59"/>
      <c r="DV172" s="59"/>
      <c r="DW172" s="59"/>
      <c r="DX172" s="59"/>
      <c r="DY172" s="59"/>
      <c r="DZ172" s="59"/>
      <c r="EA172" s="59"/>
      <c r="EB172" s="59"/>
      <c r="EC172" s="59"/>
      <c r="ED172" s="59"/>
      <c r="EE172" s="59"/>
      <c r="EF172" s="59"/>
      <c r="EG172" s="59"/>
      <c r="EH172" s="59"/>
      <c r="EI172" s="59"/>
      <c r="EJ172" s="59"/>
      <c r="EK172" s="59"/>
      <c r="EL172" s="59"/>
      <c r="EM172" s="59"/>
      <c r="EN172" s="59"/>
      <c r="EO172" s="59"/>
      <c r="EP172" s="59"/>
      <c r="EQ172" s="59"/>
      <c r="ER172" s="59"/>
      <c r="ES172" s="59"/>
      <c r="ET172" s="59"/>
      <c r="EU172" s="59"/>
      <c r="EV172" s="59"/>
      <c r="EW172" s="59"/>
      <c r="EX172" s="59"/>
      <c r="EY172" s="59"/>
      <c r="EZ172" s="59"/>
      <c r="FA172" s="59"/>
      <c r="FB172" s="59"/>
      <c r="FC172" s="59"/>
      <c r="FD172" s="59"/>
      <c r="FE172" s="59"/>
      <c r="FF172" s="59"/>
      <c r="FG172" s="59"/>
      <c r="FH172" s="59"/>
      <c r="FI172" s="59"/>
      <c r="FJ172" s="59"/>
      <c r="FK172" s="59"/>
      <c r="FL172" s="59"/>
      <c r="FM172" s="59"/>
      <c r="FN172" s="59"/>
      <c r="FO172" s="59"/>
      <c r="FP172" s="59"/>
      <c r="FQ172" s="59"/>
      <c r="FR172" s="59"/>
      <c r="FS172" s="59"/>
      <c r="FT172" s="59"/>
      <c r="FU172" s="59"/>
      <c r="FV172" s="59"/>
      <c r="FW172" s="59"/>
      <c r="FX172" s="59"/>
      <c r="FY172" s="59"/>
      <c r="FZ172" s="59"/>
      <c r="GA172" s="59"/>
      <c r="GB172" s="59"/>
      <c r="GC172" s="59"/>
      <c r="GD172" s="59"/>
      <c r="GE172" s="59"/>
      <c r="GF172" s="59"/>
      <c r="GG172" s="59"/>
      <c r="GH172" s="59"/>
      <c r="GI172" s="59"/>
      <c r="GJ172" s="59"/>
      <c r="GK172" s="59"/>
      <c r="GL172" s="59"/>
      <c r="GM172" s="59"/>
      <c r="GN172" s="59"/>
    </row>
    <row r="173" spans="1:196" x14ac:dyDescent="0.3">
      <c r="A173" s="59"/>
      <c r="B173" s="59"/>
      <c r="C173" s="59"/>
      <c r="D173" s="59"/>
      <c r="E173" s="59"/>
      <c r="F173" s="59"/>
      <c r="G173" s="59"/>
      <c r="H173" s="59"/>
      <c r="I173" s="59"/>
      <c r="J173" s="59"/>
      <c r="K173" s="59"/>
      <c r="L173" s="59"/>
      <c r="M173" s="59"/>
      <c r="N173" s="59"/>
      <c r="O173" s="59"/>
      <c r="P173" s="59"/>
      <c r="Q173" s="59"/>
      <c r="R173" s="59"/>
      <c r="S173" s="59"/>
      <c r="T173" s="59"/>
      <c r="U173" s="59"/>
      <c r="V173" s="59"/>
      <c r="W173" s="59"/>
      <c r="X173" s="59"/>
      <c r="Y173" s="59"/>
      <c r="Z173" s="59"/>
      <c r="AA173" s="59"/>
      <c r="AB173" s="59"/>
      <c r="AC173" s="59"/>
      <c r="AD173" s="59"/>
      <c r="AE173" s="59"/>
      <c r="AF173" s="59"/>
      <c r="AG173" s="59"/>
      <c r="AH173" s="59"/>
      <c r="AI173" s="59"/>
      <c r="AJ173" s="59"/>
      <c r="AK173" s="59"/>
      <c r="AL173" s="59"/>
      <c r="AM173" s="59"/>
      <c r="AN173" s="59"/>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c r="BU173" s="59"/>
      <c r="BV173" s="59"/>
      <c r="BW173" s="59"/>
      <c r="BX173" s="59"/>
      <c r="BY173" s="59"/>
      <c r="BZ173" s="59"/>
      <c r="CA173" s="59"/>
      <c r="CB173" s="59"/>
      <c r="CC173" s="59"/>
      <c r="CD173" s="59"/>
      <c r="CE173" s="59"/>
      <c r="CF173" s="59"/>
      <c r="CG173" s="59"/>
      <c r="CH173" s="59"/>
      <c r="CI173" s="59"/>
      <c r="CJ173" s="59"/>
      <c r="CK173" s="59"/>
      <c r="CL173" s="59"/>
      <c r="CM173" s="59"/>
      <c r="CN173" s="59"/>
      <c r="CO173" s="59"/>
      <c r="CP173" s="59"/>
      <c r="CQ173" s="59"/>
      <c r="CR173" s="59"/>
      <c r="CS173" s="59"/>
      <c r="CT173" s="59"/>
      <c r="CU173" s="59"/>
      <c r="CV173" s="59"/>
      <c r="CW173" s="59"/>
      <c r="CX173" s="59"/>
      <c r="CY173" s="59"/>
      <c r="CZ173" s="59"/>
      <c r="DA173" s="59"/>
      <c r="DB173" s="59"/>
      <c r="DC173" s="59"/>
      <c r="DD173" s="59"/>
      <c r="DE173" s="59"/>
      <c r="DF173" s="59"/>
      <c r="DG173" s="59"/>
      <c r="DH173" s="59"/>
      <c r="DI173" s="59"/>
      <c r="DJ173" s="59"/>
      <c r="DK173" s="59"/>
      <c r="DL173" s="59"/>
      <c r="DM173" s="59"/>
      <c r="DN173" s="59"/>
      <c r="DO173" s="59"/>
      <c r="DP173" s="59"/>
      <c r="DQ173" s="59"/>
      <c r="DR173" s="59"/>
      <c r="DS173" s="59"/>
      <c r="DT173" s="59"/>
      <c r="DU173" s="59"/>
      <c r="DV173" s="59"/>
      <c r="DW173" s="59"/>
      <c r="DX173" s="59"/>
      <c r="DY173" s="59"/>
      <c r="DZ173" s="59"/>
      <c r="EA173" s="59"/>
      <c r="EB173" s="59"/>
      <c r="EC173" s="59"/>
      <c r="ED173" s="59"/>
      <c r="EE173" s="59"/>
      <c r="EF173" s="59"/>
      <c r="EG173" s="59"/>
      <c r="EH173" s="59"/>
      <c r="EI173" s="59"/>
      <c r="EJ173" s="59"/>
      <c r="EK173" s="59"/>
      <c r="EL173" s="59"/>
      <c r="EM173" s="59"/>
      <c r="EN173" s="59"/>
      <c r="EO173" s="59"/>
      <c r="EP173" s="59"/>
      <c r="EQ173" s="59"/>
      <c r="ER173" s="59"/>
      <c r="ES173" s="59"/>
      <c r="ET173" s="59"/>
      <c r="EU173" s="59"/>
      <c r="EV173" s="59"/>
      <c r="EW173" s="59"/>
      <c r="EX173" s="59"/>
      <c r="EY173" s="59"/>
      <c r="EZ173" s="59"/>
      <c r="FA173" s="59"/>
      <c r="FB173" s="59"/>
      <c r="FC173" s="59"/>
      <c r="FD173" s="59"/>
      <c r="FE173" s="59"/>
      <c r="FF173" s="59"/>
      <c r="FG173" s="59"/>
      <c r="FH173" s="59"/>
      <c r="FI173" s="59"/>
      <c r="FJ173" s="59"/>
      <c r="FK173" s="59"/>
      <c r="FL173" s="59"/>
      <c r="FM173" s="59"/>
      <c r="FN173" s="59"/>
      <c r="FO173" s="59"/>
      <c r="FP173" s="59"/>
      <c r="FQ173" s="59"/>
      <c r="FR173" s="59"/>
      <c r="FS173" s="59"/>
      <c r="FT173" s="59"/>
      <c r="FU173" s="59"/>
      <c r="FV173" s="59"/>
      <c r="FW173" s="59"/>
      <c r="FX173" s="59"/>
      <c r="FY173" s="59"/>
      <c r="FZ173" s="59"/>
      <c r="GA173" s="59"/>
      <c r="GB173" s="59"/>
      <c r="GC173" s="59"/>
      <c r="GD173" s="59"/>
      <c r="GE173" s="59"/>
      <c r="GF173" s="59"/>
      <c r="GG173" s="59"/>
      <c r="GH173" s="59"/>
      <c r="GI173" s="59"/>
      <c r="GJ173" s="59"/>
      <c r="GK173" s="59"/>
      <c r="GL173" s="59"/>
      <c r="GM173" s="59"/>
      <c r="GN173" s="59"/>
    </row>
    <row r="174" spans="1:196" x14ac:dyDescent="0.3">
      <c r="A174" s="59"/>
      <c r="B174" s="59"/>
      <c r="C174" s="59"/>
      <c r="D174" s="59"/>
      <c r="E174" s="59"/>
      <c r="F174" s="59"/>
      <c r="G174" s="59"/>
      <c r="H174" s="59"/>
      <c r="I174" s="59"/>
      <c r="J174" s="59"/>
      <c r="K174" s="59"/>
      <c r="L174" s="59"/>
      <c r="M174" s="59"/>
      <c r="N174" s="59"/>
      <c r="O174" s="59"/>
      <c r="P174" s="59"/>
      <c r="Q174" s="59"/>
      <c r="R174" s="59"/>
      <c r="S174" s="59"/>
      <c r="T174" s="59"/>
      <c r="U174" s="59"/>
      <c r="V174" s="59"/>
      <c r="W174" s="59"/>
      <c r="X174" s="59"/>
      <c r="Y174" s="59"/>
      <c r="Z174" s="59"/>
      <c r="AA174" s="59"/>
      <c r="AB174" s="59"/>
      <c r="AC174" s="59"/>
      <c r="AD174" s="59"/>
      <c r="AE174" s="59"/>
      <c r="AF174" s="59"/>
      <c r="AG174" s="59"/>
      <c r="AH174" s="59"/>
      <c r="AI174" s="59"/>
      <c r="AJ174" s="59"/>
      <c r="AK174" s="59"/>
      <c r="AL174" s="59"/>
      <c r="AM174" s="59"/>
      <c r="AN174" s="59"/>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c r="BU174" s="59"/>
      <c r="BV174" s="59"/>
      <c r="BW174" s="59"/>
      <c r="BX174" s="59"/>
      <c r="BY174" s="59"/>
      <c r="BZ174" s="59"/>
      <c r="CA174" s="59"/>
      <c r="CB174" s="59"/>
      <c r="CC174" s="59"/>
      <c r="CD174" s="59"/>
      <c r="CE174" s="59"/>
      <c r="CF174" s="59"/>
      <c r="CG174" s="59"/>
      <c r="CH174" s="59"/>
      <c r="CI174" s="59"/>
      <c r="CJ174" s="59"/>
      <c r="CK174" s="59"/>
      <c r="CL174" s="59"/>
      <c r="CM174" s="59"/>
      <c r="CN174" s="59"/>
      <c r="CO174" s="59"/>
      <c r="CP174" s="59"/>
      <c r="CQ174" s="59"/>
      <c r="CR174" s="59"/>
      <c r="CS174" s="59"/>
      <c r="CT174" s="59"/>
      <c r="CU174" s="59"/>
      <c r="CV174" s="59"/>
      <c r="CW174" s="59"/>
      <c r="CX174" s="59"/>
      <c r="CY174" s="59"/>
      <c r="CZ174" s="59"/>
      <c r="DA174" s="59"/>
      <c r="DB174" s="59"/>
      <c r="DC174" s="59"/>
      <c r="DD174" s="59"/>
      <c r="DE174" s="59"/>
      <c r="DF174" s="59"/>
      <c r="DG174" s="59"/>
      <c r="DH174" s="59"/>
      <c r="DI174" s="59"/>
      <c r="DJ174" s="59"/>
      <c r="DK174" s="59"/>
      <c r="DL174" s="59"/>
      <c r="DM174" s="59"/>
      <c r="DN174" s="59"/>
      <c r="DO174" s="59"/>
      <c r="DP174" s="59"/>
      <c r="DQ174" s="59"/>
      <c r="DR174" s="59"/>
      <c r="DS174" s="59"/>
      <c r="DT174" s="59"/>
      <c r="DU174" s="59"/>
      <c r="DV174" s="59"/>
      <c r="DW174" s="59"/>
      <c r="DX174" s="59"/>
      <c r="DY174" s="59"/>
      <c r="DZ174" s="59"/>
      <c r="EA174" s="59"/>
      <c r="EB174" s="59"/>
      <c r="EC174" s="59"/>
      <c r="ED174" s="59"/>
      <c r="EE174" s="59"/>
      <c r="EF174" s="59"/>
      <c r="EG174" s="59"/>
      <c r="EH174" s="59"/>
      <c r="EI174" s="59"/>
      <c r="EJ174" s="59"/>
      <c r="EK174" s="59"/>
      <c r="EL174" s="59"/>
      <c r="EM174" s="59"/>
      <c r="EN174" s="59"/>
      <c r="EO174" s="59"/>
      <c r="EP174" s="59"/>
      <c r="EQ174" s="59"/>
      <c r="ER174" s="59"/>
      <c r="ES174" s="59"/>
      <c r="ET174" s="59"/>
      <c r="EU174" s="59"/>
      <c r="EV174" s="59"/>
      <c r="EW174" s="59"/>
      <c r="EX174" s="59"/>
      <c r="EY174" s="59"/>
      <c r="EZ174" s="59"/>
      <c r="FA174" s="59"/>
      <c r="FB174" s="59"/>
      <c r="FC174" s="59"/>
      <c r="FD174" s="59"/>
      <c r="FE174" s="59"/>
      <c r="FF174" s="59"/>
      <c r="FG174" s="59"/>
      <c r="FH174" s="59"/>
      <c r="FI174" s="59"/>
      <c r="FJ174" s="59"/>
      <c r="FK174" s="59"/>
      <c r="FL174" s="59"/>
      <c r="FM174" s="59"/>
      <c r="FN174" s="59"/>
      <c r="FO174" s="59"/>
      <c r="FP174" s="59"/>
      <c r="FQ174" s="59"/>
      <c r="FR174" s="59"/>
      <c r="FS174" s="59"/>
      <c r="FT174" s="59"/>
      <c r="FU174" s="59"/>
      <c r="FV174" s="59"/>
      <c r="FW174" s="59"/>
      <c r="FX174" s="59"/>
      <c r="FY174" s="59"/>
      <c r="FZ174" s="59"/>
      <c r="GA174" s="59"/>
      <c r="GB174" s="59"/>
      <c r="GC174" s="59"/>
      <c r="GD174" s="59"/>
      <c r="GE174" s="59"/>
      <c r="GF174" s="59"/>
      <c r="GG174" s="59"/>
      <c r="GH174" s="59"/>
      <c r="GI174" s="59"/>
      <c r="GJ174" s="59"/>
      <c r="GK174" s="59"/>
      <c r="GL174" s="59"/>
      <c r="GM174" s="59"/>
      <c r="GN174" s="59"/>
    </row>
    <row r="175" spans="1:196" x14ac:dyDescent="0.3">
      <c r="A175" s="59"/>
      <c r="B175" s="59"/>
      <c r="C175" s="59"/>
      <c r="D175" s="59"/>
      <c r="E175" s="59"/>
      <c r="F175" s="59"/>
      <c r="G175" s="59"/>
      <c r="H175" s="59"/>
      <c r="I175" s="59"/>
      <c r="J175" s="59"/>
      <c r="K175" s="59"/>
      <c r="L175" s="59"/>
      <c r="M175" s="59"/>
      <c r="N175" s="59"/>
      <c r="O175" s="59"/>
      <c r="P175" s="59"/>
      <c r="Q175" s="59"/>
      <c r="R175" s="59"/>
      <c r="S175" s="59"/>
      <c r="T175" s="59"/>
      <c r="U175" s="59"/>
      <c r="V175" s="59"/>
      <c r="W175" s="59"/>
      <c r="X175" s="59"/>
      <c r="Y175" s="59"/>
      <c r="Z175" s="59"/>
      <c r="AA175" s="59"/>
      <c r="AB175" s="59"/>
      <c r="AC175" s="59"/>
      <c r="AD175" s="59"/>
      <c r="AE175" s="59"/>
      <c r="AF175" s="59"/>
      <c r="AG175" s="59"/>
      <c r="AH175" s="59"/>
      <c r="AI175" s="59"/>
      <c r="AJ175" s="59"/>
      <c r="AK175" s="59"/>
      <c r="AL175" s="59"/>
      <c r="AM175" s="59"/>
      <c r="AN175" s="59"/>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c r="BU175" s="59"/>
      <c r="BV175" s="59"/>
      <c r="BW175" s="59"/>
      <c r="BX175" s="59"/>
      <c r="BY175" s="59"/>
      <c r="BZ175" s="59"/>
      <c r="CA175" s="59"/>
      <c r="CB175" s="59"/>
      <c r="CC175" s="59"/>
      <c r="CD175" s="59"/>
      <c r="CE175" s="59"/>
      <c r="CF175" s="59"/>
      <c r="CG175" s="59"/>
      <c r="CH175" s="59"/>
      <c r="CI175" s="59"/>
      <c r="CJ175" s="59"/>
      <c r="CK175" s="59"/>
      <c r="CL175" s="59"/>
      <c r="CM175" s="59"/>
      <c r="CN175" s="59"/>
      <c r="CO175" s="59"/>
      <c r="CP175" s="59"/>
      <c r="CQ175" s="59"/>
      <c r="CR175" s="59"/>
      <c r="CS175" s="59"/>
      <c r="CT175" s="59"/>
      <c r="CU175" s="59"/>
      <c r="CV175" s="59"/>
      <c r="CW175" s="59"/>
      <c r="CX175" s="59"/>
      <c r="CY175" s="59"/>
      <c r="CZ175" s="59"/>
      <c r="DA175" s="59"/>
      <c r="DB175" s="59"/>
      <c r="DC175" s="59"/>
      <c r="DD175" s="59"/>
      <c r="DE175" s="59"/>
      <c r="DF175" s="59"/>
      <c r="DG175" s="59"/>
      <c r="DH175" s="59"/>
      <c r="DI175" s="59"/>
      <c r="DJ175" s="59"/>
      <c r="DK175" s="59"/>
      <c r="DL175" s="59"/>
      <c r="DM175" s="59"/>
      <c r="DN175" s="59"/>
      <c r="DO175" s="59"/>
      <c r="DP175" s="59"/>
      <c r="DQ175" s="59"/>
      <c r="DR175" s="59"/>
      <c r="DS175" s="59"/>
      <c r="DT175" s="59"/>
      <c r="DU175" s="59"/>
      <c r="DV175" s="59"/>
      <c r="DW175" s="59"/>
      <c r="DX175" s="59"/>
      <c r="DY175" s="59"/>
      <c r="DZ175" s="59"/>
      <c r="EA175" s="59"/>
      <c r="EB175" s="59"/>
      <c r="EC175" s="59"/>
      <c r="ED175" s="59"/>
      <c r="EE175" s="59"/>
      <c r="EF175" s="59"/>
      <c r="EG175" s="59"/>
      <c r="EH175" s="59"/>
      <c r="EI175" s="59"/>
      <c r="EJ175" s="59"/>
      <c r="EK175" s="59"/>
      <c r="EL175" s="59"/>
      <c r="EM175" s="59"/>
      <c r="EN175" s="59"/>
      <c r="EO175" s="59"/>
      <c r="EP175" s="59"/>
      <c r="EQ175" s="59"/>
      <c r="ER175" s="59"/>
      <c r="ES175" s="59"/>
      <c r="ET175" s="59"/>
      <c r="EU175" s="59"/>
      <c r="EV175" s="59"/>
      <c r="EW175" s="59"/>
      <c r="EX175" s="59"/>
      <c r="EY175" s="59"/>
      <c r="EZ175" s="59"/>
      <c r="FA175" s="59"/>
      <c r="FB175" s="59"/>
      <c r="FC175" s="59"/>
      <c r="FD175" s="59"/>
      <c r="FE175" s="59"/>
      <c r="FF175" s="59"/>
      <c r="FG175" s="59"/>
      <c r="FH175" s="59"/>
      <c r="FI175" s="59"/>
      <c r="FJ175" s="59"/>
      <c r="FK175" s="59"/>
      <c r="FL175" s="59"/>
      <c r="FM175" s="59"/>
      <c r="FN175" s="59"/>
      <c r="FO175" s="59"/>
      <c r="FP175" s="59"/>
      <c r="FQ175" s="59"/>
      <c r="FR175" s="59"/>
      <c r="FS175" s="59"/>
      <c r="FT175" s="59"/>
      <c r="FU175" s="59"/>
      <c r="FV175" s="59"/>
      <c r="FW175" s="59"/>
      <c r="FX175" s="59"/>
      <c r="FY175" s="59"/>
      <c r="FZ175" s="59"/>
      <c r="GA175" s="59"/>
      <c r="GB175" s="59"/>
      <c r="GC175" s="59"/>
      <c r="GD175" s="59"/>
      <c r="GE175" s="59"/>
      <c r="GF175" s="59"/>
      <c r="GG175" s="59"/>
      <c r="GH175" s="59"/>
      <c r="GI175" s="59"/>
      <c r="GJ175" s="59"/>
      <c r="GK175" s="59"/>
      <c r="GL175" s="59"/>
      <c r="GM175" s="59"/>
      <c r="GN175" s="59"/>
    </row>
    <row r="176" spans="1:196" x14ac:dyDescent="0.3">
      <c r="A176" s="59"/>
      <c r="B176" s="59"/>
      <c r="C176" s="59"/>
      <c r="D176" s="59"/>
      <c r="E176" s="59"/>
      <c r="F176" s="59"/>
      <c r="G176" s="59"/>
      <c r="H176" s="59"/>
      <c r="I176" s="59"/>
      <c r="J176" s="59"/>
      <c r="K176" s="59"/>
      <c r="L176" s="59"/>
      <c r="M176" s="59"/>
      <c r="N176" s="59"/>
      <c r="O176" s="59"/>
      <c r="P176" s="59"/>
      <c r="Q176" s="59"/>
      <c r="R176" s="59"/>
      <c r="S176" s="59"/>
      <c r="T176" s="59"/>
      <c r="U176" s="59"/>
      <c r="V176" s="59"/>
      <c r="W176" s="59"/>
      <c r="X176" s="59"/>
      <c r="Y176" s="59"/>
      <c r="Z176" s="59"/>
      <c r="AA176" s="59"/>
      <c r="AB176" s="59"/>
      <c r="AC176" s="59"/>
      <c r="AD176" s="59"/>
      <c r="AE176" s="59"/>
      <c r="AF176" s="59"/>
      <c r="AG176" s="59"/>
      <c r="AH176" s="59"/>
      <c r="AI176" s="59"/>
      <c r="AJ176" s="59"/>
      <c r="AK176" s="59"/>
      <c r="AL176" s="59"/>
      <c r="AM176" s="59"/>
      <c r="AN176" s="59"/>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c r="BU176" s="59"/>
      <c r="BV176" s="59"/>
      <c r="BW176" s="59"/>
      <c r="BX176" s="59"/>
      <c r="BY176" s="59"/>
      <c r="BZ176" s="59"/>
      <c r="CA176" s="59"/>
      <c r="CB176" s="59"/>
      <c r="CC176" s="59"/>
      <c r="CD176" s="59"/>
      <c r="CE176" s="59"/>
      <c r="CF176" s="59"/>
      <c r="CG176" s="59"/>
      <c r="CH176" s="59"/>
      <c r="CI176" s="59"/>
      <c r="CJ176" s="59"/>
      <c r="CK176" s="59"/>
      <c r="CL176" s="59"/>
      <c r="CM176" s="59"/>
      <c r="CN176" s="59"/>
      <c r="CO176" s="59"/>
      <c r="CP176" s="59"/>
      <c r="CQ176" s="59"/>
      <c r="CR176" s="59"/>
      <c r="CS176" s="59"/>
      <c r="CT176" s="59"/>
      <c r="CU176" s="59"/>
      <c r="CV176" s="59"/>
      <c r="CW176" s="59"/>
      <c r="CX176" s="59"/>
      <c r="CY176" s="59"/>
      <c r="CZ176" s="59"/>
      <c r="DA176" s="59"/>
      <c r="DB176" s="59"/>
      <c r="DC176" s="59"/>
      <c r="DD176" s="59"/>
      <c r="DE176" s="59"/>
      <c r="DF176" s="59"/>
      <c r="DG176" s="59"/>
      <c r="DH176" s="59"/>
      <c r="DI176" s="59"/>
      <c r="DJ176" s="59"/>
      <c r="DK176" s="59"/>
      <c r="DL176" s="59"/>
      <c r="DM176" s="59"/>
      <c r="DN176" s="59"/>
      <c r="DO176" s="59"/>
      <c r="DP176" s="59"/>
      <c r="DQ176" s="59"/>
      <c r="DR176" s="59"/>
      <c r="DS176" s="59"/>
      <c r="DT176" s="59"/>
      <c r="DU176" s="59"/>
      <c r="DV176" s="59"/>
      <c r="DW176" s="59"/>
      <c r="DX176" s="59"/>
      <c r="DY176" s="59"/>
      <c r="DZ176" s="59"/>
      <c r="EA176" s="59"/>
      <c r="EB176" s="59"/>
      <c r="EC176" s="59"/>
      <c r="ED176" s="59"/>
      <c r="EE176" s="59"/>
      <c r="EF176" s="59"/>
      <c r="EG176" s="59"/>
      <c r="EH176" s="59"/>
      <c r="EI176" s="59"/>
      <c r="EJ176" s="59"/>
      <c r="EK176" s="59"/>
      <c r="EL176" s="59"/>
      <c r="EM176" s="59"/>
      <c r="EN176" s="59"/>
      <c r="EO176" s="59"/>
      <c r="EP176" s="59"/>
      <c r="EQ176" s="59"/>
      <c r="ER176" s="59"/>
      <c r="ES176" s="59"/>
      <c r="ET176" s="59"/>
      <c r="EU176" s="59"/>
      <c r="EV176" s="59"/>
      <c r="EW176" s="59"/>
      <c r="EX176" s="59"/>
      <c r="EY176" s="59"/>
      <c r="EZ176" s="59"/>
      <c r="FA176" s="59"/>
      <c r="FB176" s="59"/>
      <c r="FC176" s="59"/>
      <c r="FD176" s="59"/>
      <c r="FE176" s="59"/>
      <c r="FF176" s="59"/>
      <c r="FG176" s="59"/>
      <c r="FH176" s="59"/>
      <c r="FI176" s="59"/>
      <c r="FJ176" s="59"/>
      <c r="FK176" s="59"/>
      <c r="FL176" s="59"/>
      <c r="FM176" s="59"/>
      <c r="FN176" s="59"/>
      <c r="FO176" s="59"/>
      <c r="FP176" s="59"/>
      <c r="FQ176" s="59"/>
      <c r="FR176" s="59"/>
      <c r="FS176" s="59"/>
      <c r="FT176" s="59"/>
      <c r="FU176" s="59"/>
      <c r="FV176" s="59"/>
      <c r="FW176" s="59"/>
      <c r="FX176" s="59"/>
      <c r="FY176" s="59"/>
      <c r="FZ176" s="59"/>
      <c r="GA176" s="59"/>
      <c r="GB176" s="59"/>
      <c r="GC176" s="59"/>
      <c r="GD176" s="59"/>
      <c r="GE176" s="59"/>
      <c r="GF176" s="59"/>
      <c r="GG176" s="59"/>
      <c r="GH176" s="59"/>
      <c r="GI176" s="59"/>
      <c r="GJ176" s="59"/>
      <c r="GK176" s="59"/>
      <c r="GL176" s="59"/>
      <c r="GM176" s="59"/>
      <c r="GN176" s="59"/>
    </row>
    <row r="177" spans="1:196" x14ac:dyDescent="0.3">
      <c r="A177" s="59"/>
      <c r="B177" s="59"/>
      <c r="C177" s="59"/>
      <c r="D177" s="59"/>
      <c r="E177" s="59"/>
      <c r="F177" s="59"/>
      <c r="G177" s="59"/>
      <c r="H177" s="59"/>
      <c r="I177" s="59"/>
      <c r="J177" s="59"/>
      <c r="K177" s="59"/>
      <c r="L177" s="59"/>
      <c r="M177" s="59"/>
      <c r="N177" s="59"/>
      <c r="O177" s="59"/>
      <c r="P177" s="59"/>
      <c r="Q177" s="59"/>
      <c r="R177" s="59"/>
      <c r="S177" s="59"/>
      <c r="T177" s="59"/>
      <c r="U177" s="59"/>
      <c r="V177" s="59"/>
      <c r="W177" s="59"/>
      <c r="X177" s="59"/>
      <c r="Y177" s="59"/>
      <c r="Z177" s="59"/>
      <c r="AA177" s="59"/>
      <c r="AB177" s="59"/>
      <c r="AC177" s="59"/>
      <c r="AD177" s="59"/>
      <c r="AE177" s="59"/>
      <c r="AF177" s="59"/>
      <c r="AG177" s="59"/>
      <c r="AH177" s="59"/>
      <c r="AI177" s="59"/>
      <c r="AJ177" s="59"/>
      <c r="AK177" s="59"/>
      <c r="AL177" s="59"/>
      <c r="AM177" s="59"/>
      <c r="AN177" s="59"/>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c r="BU177" s="59"/>
      <c r="BV177" s="59"/>
      <c r="BW177" s="59"/>
      <c r="BX177" s="59"/>
      <c r="BY177" s="59"/>
      <c r="BZ177" s="59"/>
      <c r="CA177" s="59"/>
      <c r="CB177" s="59"/>
      <c r="CC177" s="59"/>
      <c r="CD177" s="59"/>
      <c r="CE177" s="59"/>
      <c r="CF177" s="59"/>
      <c r="CG177" s="59"/>
      <c r="CH177" s="59"/>
      <c r="CI177" s="59"/>
      <c r="CJ177" s="59"/>
      <c r="CK177" s="59"/>
      <c r="CL177" s="59"/>
      <c r="CM177" s="59"/>
      <c r="CN177" s="59"/>
      <c r="CO177" s="59"/>
      <c r="CP177" s="59"/>
      <c r="CQ177" s="59"/>
      <c r="CR177" s="59"/>
      <c r="CS177" s="59"/>
      <c r="CT177" s="59"/>
      <c r="CU177" s="59"/>
      <c r="CV177" s="59"/>
      <c r="CW177" s="59"/>
      <c r="CX177" s="59"/>
      <c r="CY177" s="59"/>
      <c r="CZ177" s="59"/>
      <c r="DA177" s="59"/>
      <c r="DB177" s="59"/>
      <c r="DC177" s="59"/>
      <c r="DD177" s="59"/>
      <c r="DE177" s="59"/>
      <c r="DF177" s="59"/>
      <c r="DG177" s="59"/>
      <c r="DH177" s="59"/>
      <c r="DI177" s="59"/>
      <c r="DJ177" s="59"/>
      <c r="DK177" s="59"/>
      <c r="DL177" s="59"/>
      <c r="DM177" s="59"/>
      <c r="DN177" s="59"/>
      <c r="DO177" s="59"/>
      <c r="DP177" s="59"/>
      <c r="DQ177" s="59"/>
      <c r="DR177" s="59"/>
      <c r="DS177" s="59"/>
      <c r="DT177" s="59"/>
      <c r="DU177" s="59"/>
      <c r="DV177" s="59"/>
      <c r="DW177" s="59"/>
      <c r="DX177" s="59"/>
      <c r="DY177" s="59"/>
      <c r="DZ177" s="59"/>
      <c r="EA177" s="59"/>
      <c r="EB177" s="59"/>
      <c r="EC177" s="59"/>
      <c r="ED177" s="59"/>
      <c r="EE177" s="59"/>
      <c r="EF177" s="59"/>
      <c r="EG177" s="59"/>
      <c r="EH177" s="59"/>
      <c r="EI177" s="59"/>
      <c r="EJ177" s="59"/>
      <c r="EK177" s="59"/>
      <c r="EL177" s="59"/>
      <c r="EM177" s="59"/>
      <c r="EN177" s="59"/>
      <c r="EO177" s="59"/>
      <c r="EP177" s="59"/>
      <c r="EQ177" s="59"/>
      <c r="ER177" s="59"/>
      <c r="ES177" s="59"/>
      <c r="ET177" s="59"/>
      <c r="EU177" s="59"/>
      <c r="EV177" s="59"/>
      <c r="EW177" s="59"/>
      <c r="EX177" s="59"/>
      <c r="EY177" s="59"/>
      <c r="EZ177" s="59"/>
      <c r="FA177" s="59"/>
      <c r="FB177" s="59"/>
      <c r="FC177" s="59"/>
      <c r="FD177" s="59"/>
      <c r="FE177" s="59"/>
      <c r="FF177" s="59"/>
      <c r="FG177" s="59"/>
      <c r="FH177" s="59"/>
      <c r="FI177" s="59"/>
      <c r="FJ177" s="59"/>
      <c r="FK177" s="59"/>
      <c r="FL177" s="59"/>
      <c r="FM177" s="59"/>
      <c r="FN177" s="59"/>
      <c r="FO177" s="59"/>
      <c r="FP177" s="59"/>
      <c r="FQ177" s="59"/>
      <c r="FR177" s="59"/>
      <c r="FS177" s="59"/>
      <c r="FT177" s="59"/>
      <c r="FU177" s="59"/>
      <c r="FV177" s="59"/>
      <c r="FW177" s="59"/>
      <c r="FX177" s="59"/>
      <c r="FY177" s="59"/>
      <c r="FZ177" s="59"/>
      <c r="GA177" s="59"/>
      <c r="GB177" s="59"/>
      <c r="GC177" s="59"/>
      <c r="GD177" s="59"/>
      <c r="GE177" s="59"/>
      <c r="GF177" s="59"/>
      <c r="GG177" s="59"/>
      <c r="GH177" s="59"/>
      <c r="GI177" s="59"/>
      <c r="GJ177" s="59"/>
      <c r="GK177" s="59"/>
      <c r="GL177" s="59"/>
      <c r="GM177" s="59"/>
      <c r="GN177" s="59"/>
    </row>
    <row r="178" spans="1:196" x14ac:dyDescent="0.3">
      <c r="A178" s="59"/>
      <c r="B178" s="59"/>
      <c r="C178" s="59"/>
      <c r="D178" s="59"/>
      <c r="E178" s="59"/>
      <c r="F178" s="59"/>
      <c r="G178" s="59"/>
      <c r="H178" s="59"/>
      <c r="I178" s="59"/>
      <c r="J178" s="59"/>
      <c r="K178" s="59"/>
      <c r="L178" s="59"/>
      <c r="M178" s="59"/>
      <c r="N178" s="59"/>
      <c r="O178" s="59"/>
      <c r="P178" s="59"/>
      <c r="Q178" s="59"/>
      <c r="R178" s="59"/>
      <c r="S178" s="59"/>
      <c r="T178" s="59"/>
      <c r="U178" s="59"/>
      <c r="V178" s="59"/>
      <c r="W178" s="59"/>
      <c r="X178" s="59"/>
      <c r="Y178" s="59"/>
      <c r="Z178" s="59"/>
      <c r="AA178" s="59"/>
      <c r="AB178" s="59"/>
      <c r="AC178" s="59"/>
      <c r="AD178" s="59"/>
      <c r="AE178" s="59"/>
      <c r="AF178" s="59"/>
      <c r="AG178" s="59"/>
      <c r="AH178" s="59"/>
      <c r="AI178" s="59"/>
      <c r="AJ178" s="59"/>
      <c r="AK178" s="59"/>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c r="BU178" s="59"/>
      <c r="BV178" s="59"/>
      <c r="BW178" s="59"/>
      <c r="BX178" s="59"/>
      <c r="BY178" s="59"/>
      <c r="BZ178" s="59"/>
      <c r="CA178" s="59"/>
      <c r="CB178" s="59"/>
      <c r="CC178" s="59"/>
      <c r="CD178" s="59"/>
      <c r="CE178" s="59"/>
      <c r="CF178" s="59"/>
      <c r="CG178" s="59"/>
      <c r="CH178" s="59"/>
      <c r="CI178" s="59"/>
      <c r="CJ178" s="59"/>
      <c r="CK178" s="59"/>
      <c r="CL178" s="59"/>
      <c r="CM178" s="59"/>
      <c r="CN178" s="59"/>
      <c r="CO178" s="59"/>
      <c r="CP178" s="59"/>
      <c r="CQ178" s="59"/>
      <c r="CR178" s="59"/>
      <c r="CS178" s="59"/>
      <c r="CT178" s="59"/>
      <c r="CU178" s="59"/>
      <c r="CV178" s="59"/>
      <c r="CW178" s="59"/>
      <c r="CX178" s="59"/>
      <c r="CY178" s="59"/>
      <c r="CZ178" s="59"/>
      <c r="DA178" s="59"/>
      <c r="DB178" s="59"/>
      <c r="DC178" s="59"/>
      <c r="DD178" s="59"/>
      <c r="DE178" s="59"/>
      <c r="DF178" s="59"/>
      <c r="DG178" s="59"/>
      <c r="DH178" s="59"/>
      <c r="DI178" s="59"/>
      <c r="DJ178" s="59"/>
      <c r="DK178" s="59"/>
      <c r="DL178" s="59"/>
      <c r="DM178" s="59"/>
      <c r="DN178" s="59"/>
      <c r="DO178" s="59"/>
      <c r="DP178" s="59"/>
      <c r="DQ178" s="59"/>
      <c r="DR178" s="59"/>
      <c r="DS178" s="59"/>
      <c r="DT178" s="59"/>
      <c r="DU178" s="59"/>
      <c r="DV178" s="59"/>
      <c r="DW178" s="59"/>
      <c r="DX178" s="59"/>
      <c r="DY178" s="59"/>
      <c r="DZ178" s="59"/>
      <c r="EA178" s="59"/>
      <c r="EB178" s="59"/>
      <c r="EC178" s="59"/>
      <c r="ED178" s="59"/>
      <c r="EE178" s="59"/>
      <c r="EF178" s="59"/>
      <c r="EG178" s="59"/>
      <c r="EH178" s="59"/>
      <c r="EI178" s="59"/>
      <c r="EJ178" s="59"/>
      <c r="EK178" s="59"/>
      <c r="EL178" s="59"/>
      <c r="EM178" s="59"/>
      <c r="EN178" s="59"/>
      <c r="EO178" s="59"/>
      <c r="EP178" s="59"/>
      <c r="EQ178" s="59"/>
      <c r="ER178" s="59"/>
      <c r="ES178" s="59"/>
      <c r="ET178" s="59"/>
      <c r="EU178" s="59"/>
      <c r="EV178" s="59"/>
      <c r="EW178" s="59"/>
      <c r="EX178" s="59"/>
      <c r="EY178" s="59"/>
      <c r="EZ178" s="59"/>
      <c r="FA178" s="59"/>
      <c r="FB178" s="59"/>
      <c r="FC178" s="59"/>
      <c r="FD178" s="59"/>
      <c r="FE178" s="59"/>
      <c r="FF178" s="59"/>
      <c r="FG178" s="59"/>
      <c r="FH178" s="59"/>
      <c r="FI178" s="59"/>
      <c r="FJ178" s="59"/>
      <c r="FK178" s="59"/>
      <c r="FL178" s="59"/>
      <c r="FM178" s="59"/>
      <c r="FN178" s="59"/>
      <c r="FO178" s="59"/>
      <c r="FP178" s="59"/>
      <c r="FQ178" s="59"/>
      <c r="FR178" s="59"/>
      <c r="FS178" s="59"/>
      <c r="FT178" s="59"/>
      <c r="FU178" s="59"/>
      <c r="FV178" s="59"/>
      <c r="FW178" s="59"/>
      <c r="FX178" s="59"/>
      <c r="FY178" s="59"/>
      <c r="FZ178" s="59"/>
      <c r="GA178" s="59"/>
      <c r="GB178" s="59"/>
      <c r="GC178" s="59"/>
      <c r="GD178" s="59"/>
      <c r="GE178" s="59"/>
      <c r="GF178" s="59"/>
      <c r="GG178" s="59"/>
      <c r="GH178" s="59"/>
      <c r="GI178" s="59"/>
      <c r="GJ178" s="59"/>
      <c r="GK178" s="59"/>
      <c r="GL178" s="59"/>
      <c r="GM178" s="59"/>
      <c r="GN178" s="59"/>
    </row>
    <row r="179" spans="1:196" x14ac:dyDescent="0.3">
      <c r="A179" s="59"/>
      <c r="B179" s="59"/>
      <c r="C179" s="59"/>
      <c r="D179" s="59"/>
      <c r="E179" s="59"/>
      <c r="F179" s="59"/>
      <c r="G179" s="59"/>
      <c r="H179" s="59"/>
      <c r="I179" s="59"/>
      <c r="J179" s="59"/>
      <c r="K179" s="59"/>
      <c r="L179" s="59"/>
      <c r="M179" s="59"/>
      <c r="N179" s="59"/>
      <c r="O179" s="59"/>
      <c r="P179" s="59"/>
      <c r="Q179" s="59"/>
      <c r="R179" s="59"/>
      <c r="S179" s="59"/>
      <c r="T179" s="59"/>
      <c r="U179" s="59"/>
      <c r="V179" s="59"/>
      <c r="W179" s="59"/>
      <c r="X179" s="59"/>
      <c r="Y179" s="59"/>
      <c r="Z179" s="59"/>
      <c r="AA179" s="59"/>
      <c r="AB179" s="59"/>
      <c r="AC179" s="59"/>
      <c r="AD179" s="59"/>
      <c r="AE179" s="59"/>
      <c r="AF179" s="59"/>
      <c r="AG179" s="59"/>
      <c r="AH179" s="59"/>
      <c r="AI179" s="59"/>
      <c r="AJ179" s="59"/>
      <c r="AK179" s="59"/>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c r="BU179" s="59"/>
      <c r="BV179" s="59"/>
      <c r="BW179" s="59"/>
      <c r="BX179" s="59"/>
      <c r="BY179" s="59"/>
      <c r="BZ179" s="59"/>
      <c r="CA179" s="59"/>
      <c r="CB179" s="59"/>
      <c r="CC179" s="59"/>
      <c r="CD179" s="59"/>
      <c r="CE179" s="59"/>
      <c r="CF179" s="59"/>
      <c r="CG179" s="59"/>
      <c r="CH179" s="59"/>
      <c r="CI179" s="59"/>
      <c r="CJ179" s="59"/>
      <c r="CK179" s="59"/>
      <c r="CL179" s="59"/>
      <c r="CM179" s="59"/>
      <c r="CN179" s="59"/>
      <c r="CO179" s="59"/>
      <c r="CP179" s="59"/>
      <c r="CQ179" s="59"/>
      <c r="CR179" s="59"/>
      <c r="CS179" s="59"/>
      <c r="CT179" s="59"/>
      <c r="CU179" s="59"/>
      <c r="CV179" s="59"/>
      <c r="CW179" s="59"/>
      <c r="CX179" s="59"/>
      <c r="CY179" s="59"/>
      <c r="CZ179" s="59"/>
      <c r="DA179" s="59"/>
      <c r="DB179" s="59"/>
      <c r="DC179" s="59"/>
      <c r="DD179" s="59"/>
      <c r="DE179" s="59"/>
      <c r="DF179" s="59"/>
      <c r="DG179" s="59"/>
      <c r="DH179" s="59"/>
      <c r="DI179" s="59"/>
      <c r="DJ179" s="59"/>
      <c r="DK179" s="59"/>
      <c r="DL179" s="59"/>
      <c r="DM179" s="59"/>
      <c r="DN179" s="59"/>
      <c r="DO179" s="59"/>
      <c r="DP179" s="59"/>
      <c r="DQ179" s="59"/>
      <c r="DR179" s="59"/>
      <c r="DS179" s="59"/>
      <c r="DT179" s="59"/>
      <c r="DU179" s="59"/>
      <c r="DV179" s="59"/>
      <c r="DW179" s="59"/>
      <c r="DX179" s="59"/>
      <c r="DY179" s="59"/>
      <c r="DZ179" s="59"/>
      <c r="EA179" s="59"/>
      <c r="EB179" s="59"/>
      <c r="EC179" s="59"/>
      <c r="ED179" s="59"/>
      <c r="EE179" s="59"/>
      <c r="EF179" s="59"/>
      <c r="EG179" s="59"/>
      <c r="EH179" s="59"/>
      <c r="EI179" s="59"/>
      <c r="EJ179" s="59"/>
      <c r="EK179" s="59"/>
      <c r="EL179" s="59"/>
      <c r="EM179" s="59"/>
      <c r="EN179" s="59"/>
      <c r="EO179" s="59"/>
      <c r="EP179" s="59"/>
      <c r="EQ179" s="59"/>
      <c r="ER179" s="59"/>
      <c r="ES179" s="59"/>
      <c r="ET179" s="59"/>
      <c r="EU179" s="59"/>
      <c r="EV179" s="59"/>
      <c r="EW179" s="59"/>
      <c r="EX179" s="59"/>
      <c r="EY179" s="59"/>
      <c r="EZ179" s="59"/>
      <c r="FA179" s="59"/>
      <c r="FB179" s="59"/>
      <c r="FC179" s="59"/>
      <c r="FD179" s="59"/>
      <c r="FE179" s="59"/>
      <c r="FF179" s="59"/>
      <c r="FG179" s="59"/>
      <c r="FH179" s="59"/>
      <c r="FI179" s="59"/>
      <c r="FJ179" s="59"/>
      <c r="FK179" s="59"/>
      <c r="FL179" s="59"/>
      <c r="FM179" s="59"/>
      <c r="FN179" s="59"/>
      <c r="FO179" s="59"/>
      <c r="FP179" s="59"/>
      <c r="FQ179" s="59"/>
      <c r="FR179" s="59"/>
      <c r="FS179" s="59"/>
      <c r="FT179" s="59"/>
      <c r="FU179" s="59"/>
      <c r="FV179" s="59"/>
      <c r="FW179" s="59"/>
      <c r="FX179" s="59"/>
      <c r="FY179" s="59"/>
      <c r="FZ179" s="59"/>
      <c r="GA179" s="59"/>
      <c r="GB179" s="59"/>
      <c r="GC179" s="59"/>
      <c r="GD179" s="59"/>
      <c r="GE179" s="59"/>
      <c r="GF179" s="59"/>
      <c r="GG179" s="59"/>
      <c r="GH179" s="59"/>
      <c r="GI179" s="59"/>
      <c r="GJ179" s="59"/>
      <c r="GK179" s="59"/>
      <c r="GL179" s="59"/>
      <c r="GM179" s="59"/>
      <c r="GN179" s="59"/>
    </row>
    <row r="180" spans="1:196" x14ac:dyDescent="0.3">
      <c r="A180" s="59"/>
      <c r="B180" s="59"/>
      <c r="C180" s="59"/>
      <c r="D180" s="59"/>
      <c r="E180" s="59"/>
      <c r="F180" s="59"/>
      <c r="G180" s="59"/>
      <c r="H180" s="59"/>
      <c r="I180" s="59"/>
      <c r="J180" s="59"/>
      <c r="K180" s="59"/>
      <c r="L180" s="59"/>
      <c r="M180" s="59"/>
      <c r="N180" s="59"/>
      <c r="O180" s="59"/>
      <c r="P180" s="59"/>
      <c r="Q180" s="59"/>
      <c r="R180" s="59"/>
      <c r="S180" s="59"/>
      <c r="T180" s="59"/>
      <c r="U180" s="59"/>
      <c r="V180" s="59"/>
      <c r="W180" s="59"/>
      <c r="X180" s="59"/>
      <c r="Y180" s="59"/>
      <c r="Z180" s="59"/>
      <c r="AA180" s="59"/>
      <c r="AB180" s="59"/>
      <c r="AC180" s="59"/>
      <c r="AD180" s="59"/>
      <c r="AE180" s="59"/>
      <c r="AF180" s="59"/>
      <c r="AG180" s="59"/>
      <c r="AH180" s="59"/>
      <c r="AI180" s="59"/>
      <c r="AJ180" s="59"/>
      <c r="AK180" s="59"/>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c r="BU180" s="59"/>
      <c r="BV180" s="59"/>
      <c r="BW180" s="59"/>
      <c r="BX180" s="59"/>
      <c r="BY180" s="59"/>
      <c r="BZ180" s="59"/>
      <c r="CA180" s="59"/>
      <c r="CB180" s="59"/>
      <c r="CC180" s="59"/>
      <c r="CD180" s="59"/>
      <c r="CE180" s="59"/>
      <c r="CF180" s="59"/>
      <c r="CG180" s="59"/>
      <c r="CH180" s="59"/>
      <c r="CI180" s="59"/>
      <c r="CJ180" s="59"/>
      <c r="CK180" s="59"/>
      <c r="CL180" s="59"/>
      <c r="CM180" s="59"/>
      <c r="CN180" s="59"/>
      <c r="CO180" s="59"/>
      <c r="CP180" s="59"/>
      <c r="CQ180" s="59"/>
      <c r="CR180" s="59"/>
      <c r="CS180" s="59"/>
      <c r="CT180" s="59"/>
      <c r="CU180" s="59"/>
      <c r="CV180" s="59"/>
      <c r="CW180" s="59"/>
      <c r="CX180" s="59"/>
      <c r="CY180" s="59"/>
      <c r="CZ180" s="59"/>
      <c r="DA180" s="59"/>
      <c r="DB180" s="59"/>
      <c r="DC180" s="59"/>
      <c r="DD180" s="59"/>
      <c r="DE180" s="59"/>
      <c r="DF180" s="59"/>
      <c r="DG180" s="59"/>
      <c r="DH180" s="59"/>
      <c r="DI180" s="59"/>
      <c r="DJ180" s="59"/>
      <c r="DK180" s="59"/>
      <c r="DL180" s="59"/>
      <c r="DM180" s="59"/>
      <c r="DN180" s="59"/>
      <c r="DO180" s="59"/>
      <c r="DP180" s="59"/>
      <c r="DQ180" s="59"/>
      <c r="DR180" s="59"/>
      <c r="DS180" s="59"/>
      <c r="DT180" s="59"/>
      <c r="DU180" s="59"/>
      <c r="DV180" s="59"/>
      <c r="DW180" s="59"/>
      <c r="DX180" s="59"/>
      <c r="DY180" s="59"/>
      <c r="DZ180" s="59"/>
      <c r="EA180" s="59"/>
      <c r="EB180" s="59"/>
      <c r="EC180" s="59"/>
      <c r="ED180" s="59"/>
      <c r="EE180" s="59"/>
      <c r="EF180" s="59"/>
      <c r="EG180" s="59"/>
      <c r="EH180" s="59"/>
      <c r="EI180" s="59"/>
      <c r="EJ180" s="59"/>
      <c r="EK180" s="59"/>
      <c r="EL180" s="59"/>
      <c r="EM180" s="59"/>
      <c r="EN180" s="59"/>
      <c r="EO180" s="59"/>
      <c r="EP180" s="59"/>
      <c r="EQ180" s="59"/>
      <c r="ER180" s="59"/>
      <c r="ES180" s="59"/>
      <c r="ET180" s="59"/>
      <c r="EU180" s="59"/>
      <c r="EV180" s="59"/>
      <c r="EW180" s="59"/>
      <c r="EX180" s="59"/>
      <c r="EY180" s="59"/>
      <c r="EZ180" s="59"/>
      <c r="FA180" s="59"/>
      <c r="FB180" s="59"/>
      <c r="FC180" s="59"/>
      <c r="FD180" s="59"/>
      <c r="FE180" s="59"/>
      <c r="FF180" s="59"/>
      <c r="FG180" s="59"/>
      <c r="FH180" s="59"/>
      <c r="FI180" s="59"/>
      <c r="FJ180" s="59"/>
      <c r="FK180" s="59"/>
      <c r="FL180" s="59"/>
      <c r="FM180" s="59"/>
      <c r="FN180" s="59"/>
      <c r="FO180" s="59"/>
      <c r="FP180" s="59"/>
      <c r="FQ180" s="59"/>
      <c r="FR180" s="59"/>
      <c r="FS180" s="59"/>
      <c r="FT180" s="59"/>
      <c r="FU180" s="59"/>
      <c r="FV180" s="59"/>
      <c r="FW180" s="59"/>
      <c r="FX180" s="59"/>
      <c r="FY180" s="59"/>
      <c r="FZ180" s="59"/>
      <c r="GA180" s="59"/>
      <c r="GB180" s="59"/>
      <c r="GC180" s="59"/>
      <c r="GD180" s="59"/>
      <c r="GE180" s="59"/>
      <c r="GF180" s="59"/>
      <c r="GG180" s="59"/>
      <c r="GH180" s="59"/>
      <c r="GI180" s="59"/>
      <c r="GJ180" s="59"/>
      <c r="GK180" s="59"/>
      <c r="GL180" s="59"/>
      <c r="GM180" s="59"/>
      <c r="GN180" s="59"/>
    </row>
    <row r="181" spans="1:196" x14ac:dyDescent="0.3">
      <c r="A181" s="59"/>
      <c r="B181" s="59"/>
      <c r="C181" s="59"/>
      <c r="D181" s="59"/>
      <c r="E181" s="59"/>
      <c r="F181" s="59"/>
      <c r="G181" s="59"/>
      <c r="H181" s="59"/>
      <c r="I181" s="59"/>
      <c r="J181" s="59"/>
      <c r="K181" s="59"/>
      <c r="L181" s="59"/>
      <c r="M181" s="59"/>
      <c r="N181" s="59"/>
      <c r="O181" s="59"/>
      <c r="P181" s="59"/>
      <c r="Q181" s="59"/>
      <c r="R181" s="59"/>
      <c r="S181" s="59"/>
      <c r="T181" s="59"/>
      <c r="U181" s="59"/>
      <c r="V181" s="59"/>
      <c r="W181" s="59"/>
      <c r="X181" s="59"/>
      <c r="Y181" s="59"/>
      <c r="Z181" s="59"/>
      <c r="AA181" s="59"/>
      <c r="AB181" s="59"/>
      <c r="AC181" s="59"/>
      <c r="AD181" s="59"/>
      <c r="AE181" s="59"/>
      <c r="AF181" s="59"/>
      <c r="AG181" s="59"/>
      <c r="AH181" s="59"/>
      <c r="AI181" s="59"/>
      <c r="AJ181" s="59"/>
      <c r="AK181" s="59"/>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c r="BU181" s="59"/>
      <c r="BV181" s="59"/>
      <c r="BW181" s="59"/>
      <c r="BX181" s="59"/>
      <c r="BY181" s="59"/>
      <c r="BZ181" s="59"/>
      <c r="CA181" s="59"/>
      <c r="CB181" s="59"/>
      <c r="CC181" s="59"/>
      <c r="CD181" s="59"/>
      <c r="CE181" s="59"/>
      <c r="CF181" s="59"/>
      <c r="CG181" s="59"/>
      <c r="CH181" s="59"/>
      <c r="CI181" s="59"/>
      <c r="CJ181" s="59"/>
      <c r="CK181" s="59"/>
      <c r="CL181" s="59"/>
      <c r="CM181" s="59"/>
      <c r="CN181" s="59"/>
      <c r="CO181" s="59"/>
      <c r="CP181" s="59"/>
      <c r="CQ181" s="59"/>
      <c r="CR181" s="59"/>
      <c r="CS181" s="59"/>
      <c r="CT181" s="59"/>
      <c r="CU181" s="59"/>
      <c r="CV181" s="59"/>
      <c r="CW181" s="59"/>
      <c r="CX181" s="59"/>
      <c r="CY181" s="59"/>
      <c r="CZ181" s="59"/>
      <c r="DA181" s="59"/>
      <c r="DB181" s="59"/>
      <c r="DC181" s="59"/>
      <c r="DD181" s="59"/>
      <c r="DE181" s="59"/>
      <c r="DF181" s="59"/>
      <c r="DG181" s="59"/>
      <c r="DH181" s="59"/>
      <c r="DI181" s="59"/>
      <c r="DJ181" s="59"/>
      <c r="DK181" s="59"/>
      <c r="DL181" s="59"/>
      <c r="DM181" s="59"/>
      <c r="DN181" s="59"/>
      <c r="DO181" s="59"/>
      <c r="DP181" s="59"/>
      <c r="DQ181" s="59"/>
      <c r="DR181" s="59"/>
      <c r="DS181" s="59"/>
      <c r="DT181" s="59"/>
      <c r="DU181" s="59"/>
      <c r="DV181" s="59"/>
      <c r="DW181" s="59"/>
      <c r="DX181" s="59"/>
      <c r="DY181" s="59"/>
      <c r="DZ181" s="59"/>
      <c r="EA181" s="59"/>
      <c r="EB181" s="59"/>
      <c r="EC181" s="59"/>
      <c r="ED181" s="59"/>
      <c r="EE181" s="59"/>
      <c r="EF181" s="59"/>
      <c r="EG181" s="59"/>
      <c r="EH181" s="59"/>
      <c r="EI181" s="59"/>
      <c r="EJ181" s="59"/>
      <c r="EK181" s="59"/>
      <c r="EL181" s="59"/>
      <c r="EM181" s="59"/>
      <c r="EN181" s="59"/>
      <c r="EO181" s="59"/>
      <c r="EP181" s="59"/>
      <c r="EQ181" s="59"/>
      <c r="ER181" s="59"/>
      <c r="ES181" s="59"/>
      <c r="ET181" s="59"/>
      <c r="EU181" s="59"/>
      <c r="EV181" s="59"/>
      <c r="EW181" s="59"/>
      <c r="EX181" s="59"/>
      <c r="EY181" s="59"/>
      <c r="EZ181" s="59"/>
      <c r="FA181" s="59"/>
      <c r="FB181" s="59"/>
      <c r="FC181" s="59"/>
      <c r="FD181" s="59"/>
      <c r="FE181" s="59"/>
      <c r="FF181" s="59"/>
      <c r="FG181" s="59"/>
      <c r="FH181" s="59"/>
      <c r="FI181" s="59"/>
      <c r="FJ181" s="59"/>
      <c r="FK181" s="59"/>
      <c r="FL181" s="59"/>
      <c r="FM181" s="59"/>
      <c r="FN181" s="59"/>
      <c r="FO181" s="59"/>
      <c r="FP181" s="59"/>
      <c r="FQ181" s="59"/>
      <c r="FR181" s="59"/>
      <c r="FS181" s="59"/>
      <c r="FT181" s="59"/>
      <c r="FU181" s="59"/>
      <c r="FV181" s="59"/>
      <c r="FW181" s="59"/>
      <c r="FX181" s="59"/>
      <c r="FY181" s="59"/>
      <c r="FZ181" s="59"/>
      <c r="GA181" s="59"/>
      <c r="GB181" s="59"/>
      <c r="GC181" s="59"/>
      <c r="GD181" s="59"/>
      <c r="GE181" s="59"/>
      <c r="GF181" s="59"/>
      <c r="GG181" s="59"/>
      <c r="GH181" s="59"/>
      <c r="GI181" s="59"/>
      <c r="GJ181" s="59"/>
      <c r="GK181" s="59"/>
      <c r="GL181" s="59"/>
      <c r="GM181" s="59"/>
      <c r="GN181" s="59"/>
    </row>
    <row r="182" spans="1:196" x14ac:dyDescent="0.3">
      <c r="A182" s="59"/>
      <c r="B182" s="59"/>
      <c r="C182" s="59"/>
      <c r="D182" s="59"/>
      <c r="E182" s="59"/>
      <c r="F182" s="59"/>
      <c r="G182" s="59"/>
      <c r="H182" s="59"/>
      <c r="I182" s="59"/>
      <c r="J182" s="59"/>
      <c r="K182" s="59"/>
      <c r="L182" s="59"/>
      <c r="M182" s="59"/>
      <c r="N182" s="59"/>
      <c r="O182" s="59"/>
      <c r="P182" s="59"/>
      <c r="Q182" s="59"/>
      <c r="R182" s="59"/>
      <c r="S182" s="59"/>
      <c r="T182" s="59"/>
      <c r="U182" s="59"/>
      <c r="V182" s="59"/>
      <c r="W182" s="59"/>
      <c r="X182" s="59"/>
      <c r="Y182" s="59"/>
      <c r="Z182" s="59"/>
      <c r="AA182" s="59"/>
      <c r="AB182" s="59"/>
      <c r="AC182" s="59"/>
      <c r="AD182" s="59"/>
      <c r="AE182" s="59"/>
      <c r="AF182" s="59"/>
      <c r="AG182" s="59"/>
      <c r="AH182" s="59"/>
      <c r="AI182" s="59"/>
      <c r="AJ182" s="59"/>
      <c r="AK182" s="59"/>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c r="BU182" s="59"/>
      <c r="BV182" s="59"/>
      <c r="BW182" s="59"/>
      <c r="BX182" s="59"/>
      <c r="BY182" s="59"/>
      <c r="BZ182" s="59"/>
      <c r="CA182" s="59"/>
      <c r="CB182" s="59"/>
      <c r="CC182" s="59"/>
      <c r="CD182" s="59"/>
      <c r="CE182" s="59"/>
      <c r="CF182" s="59"/>
      <c r="CG182" s="59"/>
      <c r="CH182" s="59"/>
      <c r="CI182" s="59"/>
      <c r="CJ182" s="59"/>
      <c r="CK182" s="59"/>
      <c r="CL182" s="59"/>
      <c r="CM182" s="59"/>
      <c r="CN182" s="59"/>
      <c r="CO182" s="59"/>
      <c r="CP182" s="59"/>
      <c r="CQ182" s="59"/>
      <c r="CR182" s="59"/>
      <c r="CS182" s="59"/>
      <c r="CT182" s="59"/>
      <c r="CU182" s="59"/>
      <c r="CV182" s="59"/>
      <c r="CW182" s="59"/>
      <c r="CX182" s="59"/>
      <c r="CY182" s="59"/>
      <c r="CZ182" s="59"/>
      <c r="DA182" s="59"/>
      <c r="DB182" s="59"/>
      <c r="DC182" s="59"/>
      <c r="DD182" s="59"/>
      <c r="DE182" s="59"/>
      <c r="DF182" s="59"/>
      <c r="DG182" s="59"/>
      <c r="DH182" s="59"/>
      <c r="DI182" s="59"/>
      <c r="DJ182" s="59"/>
      <c r="DK182" s="59"/>
      <c r="DL182" s="59"/>
      <c r="DM182" s="59"/>
      <c r="DN182" s="59"/>
      <c r="DO182" s="59"/>
      <c r="DP182" s="59"/>
      <c r="DQ182" s="59"/>
      <c r="DR182" s="59"/>
      <c r="DS182" s="59"/>
      <c r="DT182" s="59"/>
      <c r="DU182" s="59"/>
      <c r="DV182" s="59"/>
      <c r="DW182" s="59"/>
      <c r="DX182" s="59"/>
      <c r="DY182" s="59"/>
      <c r="DZ182" s="59"/>
      <c r="EA182" s="59"/>
      <c r="EB182" s="59"/>
      <c r="EC182" s="59"/>
      <c r="ED182" s="59"/>
      <c r="EE182" s="59"/>
      <c r="EF182" s="59"/>
      <c r="EG182" s="59"/>
      <c r="EH182" s="59"/>
      <c r="EI182" s="59"/>
      <c r="EJ182" s="59"/>
      <c r="EK182" s="59"/>
      <c r="EL182" s="59"/>
      <c r="EM182" s="59"/>
      <c r="EN182" s="59"/>
      <c r="EO182" s="59"/>
      <c r="EP182" s="59"/>
      <c r="EQ182" s="59"/>
      <c r="ER182" s="59"/>
      <c r="ES182" s="59"/>
      <c r="ET182" s="59"/>
      <c r="EU182" s="59"/>
      <c r="EV182" s="59"/>
      <c r="EW182" s="59"/>
      <c r="EX182" s="59"/>
      <c r="EY182" s="59"/>
      <c r="EZ182" s="59"/>
      <c r="FA182" s="59"/>
      <c r="FB182" s="59"/>
      <c r="FC182" s="59"/>
      <c r="FD182" s="59"/>
      <c r="FE182" s="59"/>
      <c r="FF182" s="59"/>
      <c r="FG182" s="59"/>
      <c r="FH182" s="59"/>
      <c r="FI182" s="59"/>
      <c r="FJ182" s="59"/>
      <c r="FK182" s="59"/>
      <c r="FL182" s="59"/>
      <c r="FM182" s="59"/>
      <c r="FN182" s="59"/>
      <c r="FO182" s="59"/>
      <c r="FP182" s="59"/>
      <c r="FQ182" s="59"/>
      <c r="FR182" s="59"/>
      <c r="FS182" s="59"/>
      <c r="FT182" s="59"/>
      <c r="FU182" s="59"/>
      <c r="FV182" s="59"/>
      <c r="FW182" s="59"/>
      <c r="FX182" s="59"/>
      <c r="FY182" s="59"/>
      <c r="FZ182" s="59"/>
      <c r="GA182" s="59"/>
      <c r="GB182" s="59"/>
      <c r="GC182" s="59"/>
      <c r="GD182" s="59"/>
      <c r="GE182" s="59"/>
      <c r="GF182" s="59"/>
      <c r="GG182" s="59"/>
      <c r="GH182" s="59"/>
      <c r="GI182" s="59"/>
      <c r="GJ182" s="59"/>
      <c r="GK182" s="59"/>
      <c r="GL182" s="59"/>
      <c r="GM182" s="59"/>
      <c r="GN182" s="59"/>
    </row>
    <row r="183" spans="1:196" x14ac:dyDescent="0.3">
      <c r="A183" s="59"/>
      <c r="B183" s="59"/>
      <c r="C183" s="59"/>
      <c r="D183" s="59"/>
      <c r="E183" s="59"/>
      <c r="F183" s="59"/>
      <c r="G183" s="59"/>
      <c r="H183" s="59"/>
      <c r="I183" s="59"/>
      <c r="J183" s="59"/>
      <c r="K183" s="59"/>
      <c r="L183" s="59"/>
      <c r="M183" s="59"/>
      <c r="N183" s="59"/>
      <c r="O183" s="59"/>
      <c r="P183" s="59"/>
      <c r="Q183" s="59"/>
      <c r="R183" s="59"/>
      <c r="S183" s="59"/>
      <c r="T183" s="59"/>
      <c r="U183" s="59"/>
      <c r="V183" s="59"/>
      <c r="W183" s="59"/>
      <c r="X183" s="59"/>
      <c r="Y183" s="59"/>
      <c r="Z183" s="59"/>
      <c r="AA183" s="59"/>
      <c r="AB183" s="59"/>
      <c r="AC183" s="59"/>
      <c r="AD183" s="59"/>
      <c r="AE183" s="59"/>
      <c r="AF183" s="59"/>
      <c r="AG183" s="59"/>
      <c r="AH183" s="59"/>
      <c r="AI183" s="59"/>
      <c r="AJ183" s="59"/>
      <c r="AK183" s="59"/>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c r="BU183" s="59"/>
      <c r="BV183" s="59"/>
      <c r="BW183" s="59"/>
      <c r="BX183" s="59"/>
      <c r="BY183" s="59"/>
      <c r="BZ183" s="59"/>
      <c r="CA183" s="59"/>
      <c r="CB183" s="59"/>
      <c r="CC183" s="59"/>
      <c r="CD183" s="59"/>
      <c r="CE183" s="59"/>
      <c r="CF183" s="59"/>
      <c r="CG183" s="59"/>
      <c r="CH183" s="59"/>
      <c r="CI183" s="59"/>
      <c r="CJ183" s="59"/>
      <c r="CK183" s="59"/>
      <c r="CL183" s="59"/>
      <c r="CM183" s="59"/>
      <c r="CN183" s="59"/>
      <c r="CO183" s="59"/>
      <c r="CP183" s="59"/>
      <c r="CQ183" s="59"/>
      <c r="CR183" s="59"/>
      <c r="CS183" s="59"/>
      <c r="CT183" s="59"/>
      <c r="CU183" s="59"/>
      <c r="CV183" s="59"/>
      <c r="CW183" s="59"/>
      <c r="CX183" s="59"/>
      <c r="CY183" s="59"/>
      <c r="CZ183" s="59"/>
      <c r="DA183" s="59"/>
      <c r="DB183" s="59"/>
      <c r="DC183" s="59"/>
      <c r="DD183" s="59"/>
      <c r="DE183" s="59"/>
      <c r="DF183" s="59"/>
      <c r="DG183" s="59"/>
      <c r="DH183" s="59"/>
      <c r="DI183" s="59"/>
      <c r="DJ183" s="59"/>
      <c r="DK183" s="59"/>
      <c r="DL183" s="59"/>
      <c r="DM183" s="59"/>
      <c r="DN183" s="59"/>
      <c r="DO183" s="59"/>
      <c r="DP183" s="59"/>
      <c r="DQ183" s="59"/>
      <c r="DR183" s="59"/>
      <c r="DS183" s="59"/>
      <c r="DT183" s="59"/>
      <c r="DU183" s="59"/>
      <c r="DV183" s="59"/>
      <c r="DW183" s="59"/>
      <c r="DX183" s="59"/>
      <c r="DY183" s="59"/>
      <c r="DZ183" s="59"/>
      <c r="EA183" s="59"/>
      <c r="EB183" s="59"/>
      <c r="EC183" s="59"/>
      <c r="ED183" s="59"/>
      <c r="EE183" s="59"/>
      <c r="EF183" s="59"/>
      <c r="EG183" s="59"/>
      <c r="EH183" s="59"/>
      <c r="EI183" s="59"/>
      <c r="EJ183" s="59"/>
      <c r="EK183" s="59"/>
      <c r="EL183" s="59"/>
      <c r="EM183" s="59"/>
      <c r="EN183" s="59"/>
      <c r="EO183" s="59"/>
      <c r="EP183" s="59"/>
      <c r="EQ183" s="59"/>
      <c r="ER183" s="59"/>
      <c r="ES183" s="59"/>
      <c r="ET183" s="59"/>
      <c r="EU183" s="59"/>
      <c r="EV183" s="59"/>
      <c r="EW183" s="59"/>
      <c r="EX183" s="59"/>
      <c r="EY183" s="59"/>
      <c r="EZ183" s="59"/>
      <c r="FA183" s="59"/>
      <c r="FB183" s="59"/>
      <c r="FC183" s="59"/>
      <c r="FD183" s="59"/>
      <c r="FE183" s="59"/>
      <c r="FF183" s="59"/>
      <c r="FG183" s="59"/>
      <c r="FH183" s="59"/>
      <c r="FI183" s="59"/>
      <c r="FJ183" s="59"/>
      <c r="FK183" s="59"/>
      <c r="FL183" s="59"/>
      <c r="FM183" s="59"/>
      <c r="FN183" s="59"/>
      <c r="FO183" s="59"/>
      <c r="FP183" s="59"/>
      <c r="FQ183" s="59"/>
      <c r="FR183" s="59"/>
      <c r="FS183" s="59"/>
      <c r="FT183" s="59"/>
      <c r="FU183" s="59"/>
      <c r="FV183" s="59"/>
      <c r="FW183" s="59"/>
      <c r="FX183" s="59"/>
      <c r="FY183" s="59"/>
      <c r="FZ183" s="59"/>
      <c r="GA183" s="59"/>
      <c r="GB183" s="59"/>
      <c r="GC183" s="59"/>
      <c r="GD183" s="59"/>
      <c r="GE183" s="59"/>
      <c r="GF183" s="59"/>
      <c r="GG183" s="59"/>
      <c r="GH183" s="59"/>
      <c r="GI183" s="59"/>
      <c r="GJ183" s="59"/>
      <c r="GK183" s="59"/>
      <c r="GL183" s="59"/>
      <c r="GM183" s="59"/>
      <c r="GN183" s="59"/>
    </row>
    <row r="184" spans="1:196" x14ac:dyDescent="0.3">
      <c r="A184" s="59"/>
      <c r="B184" s="59"/>
      <c r="C184" s="59"/>
      <c r="D184" s="59"/>
      <c r="E184" s="59"/>
      <c r="F184" s="59"/>
      <c r="G184" s="59"/>
      <c r="H184" s="59"/>
      <c r="I184" s="59"/>
      <c r="J184" s="59"/>
      <c r="K184" s="59"/>
      <c r="L184" s="59"/>
      <c r="M184" s="59"/>
      <c r="N184" s="59"/>
      <c r="O184" s="59"/>
      <c r="P184" s="59"/>
      <c r="Q184" s="59"/>
      <c r="R184" s="59"/>
      <c r="S184" s="59"/>
      <c r="T184" s="59"/>
      <c r="U184" s="59"/>
      <c r="V184" s="59"/>
      <c r="W184" s="59"/>
      <c r="X184" s="59"/>
      <c r="Y184" s="59"/>
      <c r="Z184" s="59"/>
      <c r="AA184" s="59"/>
      <c r="AB184" s="59"/>
      <c r="AC184" s="59"/>
      <c r="AD184" s="59"/>
      <c r="AE184" s="59"/>
      <c r="AF184" s="59"/>
      <c r="AG184" s="59"/>
      <c r="AH184" s="59"/>
      <c r="AI184" s="59"/>
      <c r="AJ184" s="59"/>
      <c r="AK184" s="59"/>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c r="BU184" s="59"/>
      <c r="BV184" s="59"/>
      <c r="BW184" s="59"/>
      <c r="BX184" s="59"/>
      <c r="BY184" s="59"/>
      <c r="BZ184" s="59"/>
      <c r="CA184" s="59"/>
      <c r="CB184" s="59"/>
      <c r="CC184" s="59"/>
      <c r="CD184" s="59"/>
      <c r="CE184" s="59"/>
      <c r="CF184" s="59"/>
      <c r="CG184" s="59"/>
      <c r="CH184" s="59"/>
      <c r="CI184" s="59"/>
      <c r="CJ184" s="59"/>
      <c r="CK184" s="59"/>
      <c r="CL184" s="59"/>
      <c r="CM184" s="59"/>
      <c r="CN184" s="59"/>
      <c r="CO184" s="59"/>
      <c r="CP184" s="59"/>
      <c r="CQ184" s="59"/>
      <c r="CR184" s="59"/>
      <c r="CS184" s="59"/>
      <c r="CT184" s="59"/>
      <c r="CU184" s="59"/>
      <c r="CV184" s="59"/>
      <c r="CW184" s="59"/>
      <c r="CX184" s="59"/>
      <c r="CY184" s="59"/>
      <c r="CZ184" s="59"/>
      <c r="DA184" s="59"/>
      <c r="DB184" s="59"/>
      <c r="DC184" s="59"/>
      <c r="DD184" s="59"/>
      <c r="DE184" s="59"/>
      <c r="DF184" s="59"/>
      <c r="DG184" s="59"/>
      <c r="DH184" s="59"/>
      <c r="DI184" s="59"/>
      <c r="DJ184" s="59"/>
      <c r="DK184" s="59"/>
      <c r="DL184" s="59"/>
      <c r="DM184" s="59"/>
      <c r="DN184" s="59"/>
      <c r="DO184" s="59"/>
      <c r="DP184" s="59"/>
      <c r="DQ184" s="59"/>
      <c r="DR184" s="59"/>
      <c r="DS184" s="59"/>
      <c r="DT184" s="59"/>
      <c r="DU184" s="59"/>
      <c r="DV184" s="59"/>
      <c r="DW184" s="59"/>
      <c r="DX184" s="59"/>
      <c r="DY184" s="59"/>
      <c r="DZ184" s="59"/>
      <c r="EA184" s="59"/>
      <c r="EB184" s="59"/>
      <c r="EC184" s="59"/>
      <c r="ED184" s="59"/>
      <c r="EE184" s="59"/>
      <c r="EF184" s="59"/>
      <c r="EG184" s="59"/>
      <c r="EH184" s="59"/>
      <c r="EI184" s="59"/>
      <c r="EJ184" s="59"/>
      <c r="EK184" s="59"/>
      <c r="EL184" s="59"/>
      <c r="EM184" s="59"/>
      <c r="EN184" s="59"/>
      <c r="EO184" s="59"/>
      <c r="EP184" s="59"/>
      <c r="EQ184" s="59"/>
      <c r="ER184" s="59"/>
      <c r="ES184" s="59"/>
      <c r="ET184" s="59"/>
      <c r="EU184" s="59"/>
      <c r="EV184" s="59"/>
      <c r="EW184" s="59"/>
      <c r="EX184" s="59"/>
      <c r="EY184" s="59"/>
      <c r="EZ184" s="59"/>
      <c r="FA184" s="59"/>
      <c r="FB184" s="59"/>
      <c r="FC184" s="59"/>
      <c r="FD184" s="59"/>
      <c r="FE184" s="59"/>
      <c r="FF184" s="59"/>
      <c r="FG184" s="59"/>
      <c r="FH184" s="59"/>
      <c r="FI184" s="59"/>
      <c r="FJ184" s="59"/>
      <c r="FK184" s="59"/>
      <c r="FL184" s="59"/>
      <c r="FM184" s="59"/>
      <c r="FN184" s="59"/>
      <c r="FO184" s="59"/>
      <c r="FP184" s="59"/>
      <c r="FQ184" s="59"/>
      <c r="FR184" s="59"/>
      <c r="FS184" s="59"/>
      <c r="FT184" s="59"/>
      <c r="FU184" s="59"/>
      <c r="FV184" s="59"/>
      <c r="FW184" s="59"/>
      <c r="FX184" s="59"/>
      <c r="FY184" s="59"/>
      <c r="FZ184" s="59"/>
      <c r="GA184" s="59"/>
      <c r="GB184" s="59"/>
      <c r="GC184" s="59"/>
      <c r="GD184" s="59"/>
      <c r="GE184" s="59"/>
      <c r="GF184" s="59"/>
      <c r="GG184" s="59"/>
      <c r="GH184" s="59"/>
      <c r="GI184" s="59"/>
      <c r="GJ184" s="59"/>
      <c r="GK184" s="59"/>
      <c r="GL184" s="59"/>
      <c r="GM184" s="59"/>
      <c r="GN184" s="59"/>
    </row>
    <row r="185" spans="1:196" x14ac:dyDescent="0.3">
      <c r="A185" s="59"/>
      <c r="B185" s="59"/>
      <c r="C185" s="59"/>
      <c r="D185" s="59"/>
      <c r="E185" s="59"/>
      <c r="F185" s="59"/>
      <c r="G185" s="59"/>
      <c r="H185" s="59"/>
      <c r="I185" s="59"/>
      <c r="J185" s="59"/>
      <c r="K185" s="59"/>
      <c r="L185" s="59"/>
      <c r="M185" s="59"/>
      <c r="N185" s="59"/>
      <c r="O185" s="59"/>
      <c r="P185" s="59"/>
      <c r="Q185" s="59"/>
      <c r="R185" s="59"/>
      <c r="S185" s="59"/>
      <c r="T185" s="59"/>
      <c r="U185" s="59"/>
      <c r="V185" s="59"/>
      <c r="W185" s="59"/>
      <c r="X185" s="59"/>
      <c r="Y185" s="59"/>
      <c r="Z185" s="59"/>
      <c r="AA185" s="59"/>
      <c r="AB185" s="59"/>
      <c r="AC185" s="59"/>
      <c r="AD185" s="59"/>
      <c r="AE185" s="59"/>
      <c r="AF185" s="59"/>
      <c r="AG185" s="59"/>
      <c r="AH185" s="59"/>
      <c r="AI185" s="59"/>
      <c r="AJ185" s="59"/>
      <c r="AK185" s="59"/>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c r="BU185" s="59"/>
      <c r="BV185" s="59"/>
      <c r="BW185" s="59"/>
      <c r="BX185" s="59"/>
      <c r="BY185" s="59"/>
      <c r="BZ185" s="59"/>
      <c r="CA185" s="59"/>
      <c r="CB185" s="59"/>
      <c r="CC185" s="59"/>
      <c r="CD185" s="59"/>
      <c r="CE185" s="59"/>
      <c r="CF185" s="59"/>
      <c r="CG185" s="59"/>
      <c r="CH185" s="59"/>
      <c r="CI185" s="59"/>
      <c r="CJ185" s="59"/>
      <c r="CK185" s="59"/>
      <c r="CL185" s="59"/>
      <c r="CM185" s="59"/>
      <c r="CN185" s="59"/>
      <c r="CO185" s="59"/>
      <c r="CP185" s="59"/>
      <c r="CQ185" s="59"/>
      <c r="CR185" s="59"/>
      <c r="CS185" s="59"/>
      <c r="CT185" s="59"/>
      <c r="CU185" s="59"/>
      <c r="CV185" s="59"/>
      <c r="CW185" s="59"/>
      <c r="CX185" s="59"/>
      <c r="CY185" s="59"/>
      <c r="CZ185" s="59"/>
      <c r="DA185" s="59"/>
      <c r="DB185" s="59"/>
      <c r="DC185" s="59"/>
      <c r="DD185" s="59"/>
      <c r="DE185" s="59"/>
      <c r="DF185" s="59"/>
      <c r="DG185" s="59"/>
      <c r="DH185" s="59"/>
      <c r="DI185" s="59"/>
      <c r="DJ185" s="59"/>
      <c r="DK185" s="59"/>
      <c r="DL185" s="59"/>
      <c r="DM185" s="59"/>
      <c r="DN185" s="59"/>
      <c r="DO185" s="59"/>
      <c r="DP185" s="59"/>
      <c r="DQ185" s="59"/>
      <c r="DR185" s="59"/>
      <c r="DS185" s="59"/>
      <c r="DT185" s="59"/>
      <c r="DU185" s="59"/>
      <c r="DV185" s="59"/>
      <c r="DW185" s="59"/>
      <c r="DX185" s="59"/>
      <c r="DY185" s="59"/>
      <c r="DZ185" s="59"/>
      <c r="EA185" s="59"/>
      <c r="EB185" s="59"/>
      <c r="EC185" s="59"/>
      <c r="ED185" s="59"/>
      <c r="EE185" s="59"/>
      <c r="EF185" s="59"/>
      <c r="EG185" s="59"/>
      <c r="EH185" s="59"/>
      <c r="EI185" s="59"/>
      <c r="EJ185" s="59"/>
      <c r="EK185" s="59"/>
      <c r="EL185" s="59"/>
      <c r="EM185" s="59"/>
      <c r="EN185" s="59"/>
      <c r="EO185" s="59"/>
      <c r="EP185" s="59"/>
      <c r="EQ185" s="59"/>
      <c r="ER185" s="59"/>
      <c r="ES185" s="59"/>
      <c r="ET185" s="59"/>
      <c r="EU185" s="59"/>
      <c r="EV185" s="59"/>
      <c r="EW185" s="59"/>
      <c r="EX185" s="59"/>
      <c r="EY185" s="59"/>
      <c r="EZ185" s="59"/>
      <c r="FA185" s="59"/>
      <c r="FB185" s="59"/>
      <c r="FC185" s="59"/>
      <c r="FD185" s="59"/>
      <c r="FE185" s="59"/>
      <c r="FF185" s="59"/>
      <c r="FG185" s="59"/>
      <c r="FH185" s="59"/>
      <c r="FI185" s="59"/>
      <c r="FJ185" s="59"/>
      <c r="FK185" s="59"/>
      <c r="FL185" s="59"/>
      <c r="FM185" s="59"/>
      <c r="FN185" s="59"/>
      <c r="FO185" s="59"/>
      <c r="FP185" s="59"/>
      <c r="FQ185" s="59"/>
      <c r="FR185" s="59"/>
      <c r="FS185" s="59"/>
      <c r="FT185" s="59"/>
      <c r="FU185" s="59"/>
      <c r="FV185" s="59"/>
      <c r="FW185" s="59"/>
      <c r="FX185" s="59"/>
      <c r="FY185" s="59"/>
      <c r="FZ185" s="59"/>
      <c r="GA185" s="59"/>
      <c r="GB185" s="59"/>
      <c r="GC185" s="59"/>
      <c r="GD185" s="59"/>
      <c r="GE185" s="59"/>
      <c r="GF185" s="59"/>
      <c r="GG185" s="59"/>
      <c r="GH185" s="59"/>
      <c r="GI185" s="59"/>
      <c r="GJ185" s="59"/>
      <c r="GK185" s="59"/>
      <c r="GL185" s="59"/>
      <c r="GM185" s="59"/>
      <c r="GN185" s="59"/>
    </row>
    <row r="186" spans="1:196" x14ac:dyDescent="0.3">
      <c r="A186" s="59"/>
      <c r="B186" s="59"/>
      <c r="C186" s="59"/>
      <c r="D186" s="59"/>
      <c r="E186" s="59"/>
      <c r="F186" s="59"/>
      <c r="G186" s="59"/>
      <c r="H186" s="59"/>
      <c r="I186" s="59"/>
      <c r="J186" s="59"/>
      <c r="K186" s="59"/>
      <c r="L186" s="59"/>
      <c r="M186" s="59"/>
      <c r="N186" s="59"/>
      <c r="O186" s="59"/>
      <c r="P186" s="59"/>
      <c r="Q186" s="59"/>
      <c r="R186" s="59"/>
      <c r="S186" s="59"/>
      <c r="T186" s="59"/>
      <c r="U186" s="59"/>
      <c r="V186" s="59"/>
      <c r="W186" s="59"/>
      <c r="X186" s="59"/>
      <c r="Y186" s="59"/>
      <c r="Z186" s="59"/>
      <c r="AA186" s="59"/>
      <c r="AB186" s="59"/>
      <c r="AC186" s="59"/>
      <c r="AD186" s="59"/>
      <c r="AE186" s="59"/>
      <c r="AF186" s="59"/>
      <c r="AG186" s="59"/>
      <c r="AH186" s="59"/>
      <c r="AI186" s="59"/>
      <c r="AJ186" s="59"/>
      <c r="AK186" s="59"/>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c r="BU186" s="59"/>
      <c r="BV186" s="59"/>
      <c r="BW186" s="59"/>
      <c r="BX186" s="59"/>
      <c r="BY186" s="59"/>
      <c r="BZ186" s="59"/>
      <c r="CA186" s="59"/>
      <c r="CB186" s="59"/>
      <c r="CC186" s="59"/>
      <c r="CD186" s="59"/>
      <c r="CE186" s="59"/>
      <c r="CF186" s="59"/>
      <c r="CG186" s="59"/>
      <c r="CH186" s="59"/>
      <c r="CI186" s="59"/>
      <c r="CJ186" s="59"/>
      <c r="CK186" s="59"/>
      <c r="CL186" s="59"/>
      <c r="CM186" s="59"/>
      <c r="CN186" s="59"/>
      <c r="CO186" s="59"/>
      <c r="CP186" s="59"/>
      <c r="CQ186" s="59"/>
      <c r="CR186" s="59"/>
      <c r="CS186" s="59"/>
      <c r="CT186" s="59"/>
      <c r="CU186" s="59"/>
      <c r="CV186" s="59"/>
      <c r="CW186" s="59"/>
      <c r="CX186" s="59"/>
      <c r="CY186" s="59"/>
      <c r="CZ186" s="59"/>
      <c r="DA186" s="59"/>
      <c r="DB186" s="59"/>
      <c r="DC186" s="59"/>
      <c r="DD186" s="59"/>
      <c r="DE186" s="59"/>
      <c r="DF186" s="59"/>
      <c r="DG186" s="59"/>
      <c r="DH186" s="59"/>
      <c r="DI186" s="59"/>
      <c r="DJ186" s="59"/>
      <c r="DK186" s="59"/>
      <c r="DL186" s="59"/>
      <c r="DM186" s="59"/>
      <c r="DN186" s="59"/>
      <c r="DO186" s="59"/>
      <c r="DP186" s="59"/>
      <c r="DQ186" s="59"/>
      <c r="DR186" s="59"/>
      <c r="DS186" s="59"/>
      <c r="DT186" s="59"/>
      <c r="DU186" s="59"/>
      <c r="DV186" s="59"/>
      <c r="DW186" s="59"/>
      <c r="DX186" s="59"/>
      <c r="DY186" s="59"/>
      <c r="DZ186" s="59"/>
      <c r="EA186" s="59"/>
      <c r="EB186" s="59"/>
      <c r="EC186" s="59"/>
      <c r="ED186" s="59"/>
      <c r="EE186" s="59"/>
      <c r="EF186" s="59"/>
      <c r="EG186" s="59"/>
      <c r="EH186" s="59"/>
      <c r="EI186" s="59"/>
      <c r="EJ186" s="59"/>
      <c r="EK186" s="59"/>
      <c r="EL186" s="59"/>
      <c r="EM186" s="59"/>
      <c r="EN186" s="59"/>
      <c r="EO186" s="59"/>
      <c r="EP186" s="59"/>
      <c r="EQ186" s="59"/>
      <c r="ER186" s="59"/>
      <c r="ES186" s="59"/>
      <c r="ET186" s="59"/>
      <c r="EU186" s="59"/>
      <c r="EV186" s="59"/>
      <c r="EW186" s="59"/>
      <c r="EX186" s="59"/>
      <c r="EY186" s="59"/>
      <c r="EZ186" s="59"/>
      <c r="FA186" s="59"/>
      <c r="FB186" s="59"/>
      <c r="FC186" s="59"/>
      <c r="FD186" s="59"/>
      <c r="FE186" s="59"/>
      <c r="FF186" s="59"/>
      <c r="FG186" s="59"/>
      <c r="FH186" s="59"/>
      <c r="FI186" s="59"/>
      <c r="FJ186" s="59"/>
      <c r="FK186" s="59"/>
      <c r="FL186" s="59"/>
      <c r="FM186" s="59"/>
      <c r="FN186" s="59"/>
      <c r="FO186" s="59"/>
      <c r="FP186" s="59"/>
      <c r="FQ186" s="59"/>
      <c r="FR186" s="59"/>
      <c r="FS186" s="59"/>
      <c r="FT186" s="59"/>
      <c r="FU186" s="59"/>
      <c r="FV186" s="59"/>
      <c r="FW186" s="59"/>
      <c r="FX186" s="59"/>
      <c r="FY186" s="59"/>
      <c r="FZ186" s="59"/>
      <c r="GA186" s="59"/>
      <c r="GB186" s="59"/>
      <c r="GC186" s="59"/>
      <c r="GD186" s="59"/>
      <c r="GE186" s="59"/>
      <c r="GF186" s="59"/>
      <c r="GG186" s="59"/>
      <c r="GH186" s="59"/>
      <c r="GI186" s="59"/>
      <c r="GJ186" s="59"/>
      <c r="GK186" s="59"/>
      <c r="GL186" s="59"/>
      <c r="GM186" s="59"/>
      <c r="GN186" s="59"/>
    </row>
    <row r="187" spans="1:196" x14ac:dyDescent="0.3">
      <c r="A187" s="59"/>
      <c r="B187" s="59"/>
      <c r="C187" s="59"/>
      <c r="D187" s="59"/>
      <c r="E187" s="59"/>
      <c r="F187" s="59"/>
      <c r="G187" s="59"/>
      <c r="H187" s="59"/>
      <c r="I187" s="59"/>
      <c r="J187" s="59"/>
      <c r="K187" s="59"/>
      <c r="L187" s="59"/>
      <c r="M187" s="59"/>
      <c r="N187" s="59"/>
      <c r="O187" s="59"/>
      <c r="P187" s="59"/>
      <c r="Q187" s="59"/>
      <c r="R187" s="59"/>
      <c r="S187" s="59"/>
      <c r="T187" s="59"/>
      <c r="U187" s="59"/>
      <c r="V187" s="59"/>
      <c r="W187" s="59"/>
      <c r="X187" s="59"/>
      <c r="Y187" s="59"/>
      <c r="Z187" s="59"/>
      <c r="AA187" s="59"/>
      <c r="AB187" s="59"/>
      <c r="AC187" s="59"/>
      <c r="AD187" s="59"/>
      <c r="AE187" s="59"/>
      <c r="AF187" s="59"/>
      <c r="AG187" s="59"/>
      <c r="AH187" s="59"/>
      <c r="AI187" s="59"/>
      <c r="AJ187" s="59"/>
      <c r="AK187" s="59"/>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c r="BU187" s="59"/>
      <c r="BV187" s="59"/>
      <c r="BW187" s="59"/>
      <c r="BX187" s="59"/>
      <c r="BY187" s="59"/>
      <c r="BZ187" s="59"/>
      <c r="CA187" s="59"/>
      <c r="CB187" s="59"/>
      <c r="CC187" s="59"/>
      <c r="CD187" s="59"/>
      <c r="CE187" s="59"/>
      <c r="CF187" s="59"/>
      <c r="CG187" s="59"/>
      <c r="CH187" s="59"/>
      <c r="CI187" s="59"/>
      <c r="CJ187" s="59"/>
      <c r="CK187" s="59"/>
      <c r="CL187" s="59"/>
      <c r="CM187" s="59"/>
      <c r="CN187" s="59"/>
      <c r="CO187" s="59"/>
      <c r="CP187" s="59"/>
      <c r="CQ187" s="59"/>
      <c r="CR187" s="59"/>
      <c r="CS187" s="59"/>
      <c r="CT187" s="59"/>
      <c r="CU187" s="59"/>
      <c r="CV187" s="59"/>
      <c r="CW187" s="59"/>
      <c r="CX187" s="59"/>
      <c r="CY187" s="59"/>
      <c r="CZ187" s="59"/>
      <c r="DA187" s="59"/>
      <c r="DB187" s="59"/>
      <c r="DC187" s="59"/>
      <c r="DD187" s="59"/>
      <c r="DE187" s="59"/>
      <c r="DF187" s="59"/>
      <c r="DG187" s="59"/>
      <c r="DH187" s="59"/>
      <c r="DI187" s="59"/>
      <c r="DJ187" s="59"/>
      <c r="DK187" s="59"/>
      <c r="DL187" s="59"/>
      <c r="DM187" s="59"/>
      <c r="DN187" s="59"/>
      <c r="DO187" s="59"/>
      <c r="DP187" s="59"/>
      <c r="DQ187" s="59"/>
      <c r="DR187" s="59"/>
      <c r="DS187" s="59"/>
      <c r="DT187" s="59"/>
      <c r="DU187" s="59"/>
      <c r="DV187" s="59"/>
      <c r="DW187" s="59"/>
      <c r="DX187" s="59"/>
      <c r="DY187" s="59"/>
      <c r="DZ187" s="59"/>
      <c r="EA187" s="59"/>
      <c r="EB187" s="59"/>
      <c r="EC187" s="59"/>
      <c r="ED187" s="59"/>
      <c r="EE187" s="59"/>
      <c r="EF187" s="59"/>
      <c r="EG187" s="59"/>
      <c r="EH187" s="59"/>
      <c r="EI187" s="59"/>
      <c r="EJ187" s="59"/>
      <c r="EK187" s="59"/>
      <c r="EL187" s="59"/>
      <c r="EM187" s="59"/>
      <c r="EN187" s="59"/>
      <c r="EO187" s="59"/>
      <c r="EP187" s="59"/>
      <c r="EQ187" s="59"/>
      <c r="ER187" s="59"/>
      <c r="ES187" s="59"/>
      <c r="ET187" s="59"/>
      <c r="EU187" s="59"/>
      <c r="EV187" s="59"/>
      <c r="EW187" s="59"/>
      <c r="EX187" s="59"/>
      <c r="EY187" s="59"/>
      <c r="EZ187" s="59"/>
      <c r="FA187" s="59"/>
      <c r="FB187" s="59"/>
      <c r="FC187" s="59"/>
      <c r="FD187" s="59"/>
      <c r="FE187" s="59"/>
      <c r="FF187" s="59"/>
      <c r="FG187" s="59"/>
      <c r="FH187" s="59"/>
      <c r="FI187" s="59"/>
      <c r="FJ187" s="59"/>
      <c r="FK187" s="59"/>
      <c r="FL187" s="59"/>
      <c r="FM187" s="59"/>
      <c r="FN187" s="59"/>
      <c r="FO187" s="59"/>
      <c r="FP187" s="59"/>
      <c r="FQ187" s="59"/>
      <c r="FR187" s="59"/>
      <c r="FS187" s="59"/>
      <c r="FT187" s="59"/>
      <c r="FU187" s="59"/>
      <c r="FV187" s="59"/>
      <c r="FW187" s="59"/>
      <c r="FX187" s="59"/>
      <c r="FY187" s="59"/>
      <c r="FZ187" s="59"/>
      <c r="GA187" s="59"/>
      <c r="GB187" s="59"/>
      <c r="GC187" s="59"/>
      <c r="GD187" s="59"/>
      <c r="GE187" s="59"/>
      <c r="GF187" s="59"/>
      <c r="GG187" s="59"/>
      <c r="GH187" s="59"/>
      <c r="GI187" s="59"/>
      <c r="GJ187" s="59"/>
      <c r="GK187" s="59"/>
      <c r="GL187" s="59"/>
      <c r="GM187" s="59"/>
      <c r="GN187" s="59"/>
    </row>
    <row r="188" spans="1:196" x14ac:dyDescent="0.3">
      <c r="A188" s="59"/>
      <c r="B188" s="59"/>
      <c r="C188" s="59"/>
      <c r="D188" s="59"/>
      <c r="E188" s="59"/>
      <c r="F188" s="59"/>
      <c r="G188" s="59"/>
      <c r="H188" s="59"/>
      <c r="I188" s="59"/>
      <c r="J188" s="59"/>
      <c r="K188" s="59"/>
      <c r="L188" s="59"/>
      <c r="M188" s="59"/>
      <c r="N188" s="59"/>
      <c r="O188" s="59"/>
      <c r="P188" s="59"/>
      <c r="Q188" s="59"/>
      <c r="R188" s="59"/>
      <c r="S188" s="59"/>
      <c r="T188" s="59"/>
      <c r="U188" s="59"/>
      <c r="V188" s="59"/>
      <c r="W188" s="59"/>
      <c r="X188" s="59"/>
      <c r="Y188" s="59"/>
      <c r="Z188" s="59"/>
      <c r="AA188" s="59"/>
      <c r="AB188" s="59"/>
      <c r="AC188" s="59"/>
      <c r="AD188" s="59"/>
      <c r="AE188" s="59"/>
      <c r="AF188" s="59"/>
      <c r="AG188" s="59"/>
      <c r="AH188" s="59"/>
      <c r="AI188" s="59"/>
      <c r="AJ188" s="59"/>
      <c r="AK188" s="59"/>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c r="BU188" s="59"/>
      <c r="BV188" s="59"/>
      <c r="BW188" s="59"/>
      <c r="BX188" s="59"/>
      <c r="BY188" s="59"/>
      <c r="BZ188" s="59"/>
      <c r="CA188" s="59"/>
      <c r="CB188" s="59"/>
      <c r="CC188" s="59"/>
      <c r="CD188" s="59"/>
      <c r="CE188" s="59"/>
      <c r="CF188" s="59"/>
      <c r="CG188" s="59"/>
      <c r="CH188" s="59"/>
      <c r="CI188" s="59"/>
      <c r="CJ188" s="59"/>
      <c r="CK188" s="59"/>
      <c r="CL188" s="59"/>
      <c r="CM188" s="59"/>
      <c r="CN188" s="59"/>
      <c r="CO188" s="59"/>
      <c r="CP188" s="59"/>
      <c r="CQ188" s="59"/>
      <c r="CR188" s="59"/>
      <c r="CS188" s="59"/>
      <c r="CT188" s="59"/>
      <c r="CU188" s="59"/>
      <c r="CV188" s="59"/>
      <c r="CW188" s="59"/>
      <c r="CX188" s="59"/>
      <c r="CY188" s="59"/>
      <c r="CZ188" s="59"/>
      <c r="DA188" s="59"/>
      <c r="DB188" s="59"/>
      <c r="DC188" s="59"/>
      <c r="DD188" s="59"/>
      <c r="DE188" s="59"/>
      <c r="DF188" s="59"/>
      <c r="DG188" s="59"/>
      <c r="DH188" s="59"/>
      <c r="DI188" s="59"/>
      <c r="DJ188" s="59"/>
      <c r="DK188" s="59"/>
      <c r="DL188" s="59"/>
      <c r="DM188" s="59"/>
      <c r="DN188" s="59"/>
      <c r="DO188" s="59"/>
      <c r="DP188" s="59"/>
      <c r="DQ188" s="59"/>
      <c r="DR188" s="59"/>
      <c r="DS188" s="59"/>
      <c r="DT188" s="59"/>
      <c r="DU188" s="59"/>
      <c r="DV188" s="59"/>
      <c r="DW188" s="59"/>
      <c r="DX188" s="59"/>
      <c r="DY188" s="59"/>
      <c r="DZ188" s="59"/>
      <c r="EA188" s="59"/>
      <c r="EB188" s="59"/>
      <c r="EC188" s="59"/>
      <c r="ED188" s="59"/>
      <c r="EE188" s="59"/>
      <c r="EF188" s="59"/>
      <c r="EG188" s="59"/>
      <c r="EH188" s="59"/>
      <c r="EI188" s="59"/>
      <c r="EJ188" s="59"/>
      <c r="EK188" s="59"/>
      <c r="EL188" s="59"/>
      <c r="EM188" s="59"/>
      <c r="EN188" s="59"/>
      <c r="EO188" s="59"/>
      <c r="EP188" s="59"/>
      <c r="EQ188" s="59"/>
      <c r="ER188" s="59"/>
      <c r="ES188" s="59"/>
      <c r="ET188" s="59"/>
      <c r="EU188" s="59"/>
      <c r="EV188" s="59"/>
      <c r="EW188" s="59"/>
      <c r="EX188" s="59"/>
      <c r="EY188" s="59"/>
      <c r="EZ188" s="59"/>
      <c r="FA188" s="59"/>
      <c r="FB188" s="59"/>
      <c r="FC188" s="59"/>
      <c r="FD188" s="59"/>
      <c r="FE188" s="59"/>
      <c r="FF188" s="59"/>
      <c r="FG188" s="59"/>
      <c r="FH188" s="59"/>
      <c r="FI188" s="59"/>
      <c r="FJ188" s="59"/>
      <c r="FK188" s="59"/>
      <c r="FL188" s="59"/>
      <c r="FM188" s="59"/>
      <c r="FN188" s="59"/>
      <c r="FO188" s="59"/>
      <c r="FP188" s="59"/>
      <c r="FQ188" s="59"/>
      <c r="FR188" s="59"/>
      <c r="FS188" s="59"/>
      <c r="FT188" s="59"/>
      <c r="FU188" s="59"/>
      <c r="FV188" s="59"/>
      <c r="FW188" s="59"/>
      <c r="FX188" s="59"/>
      <c r="FY188" s="59"/>
      <c r="FZ188" s="59"/>
      <c r="GA188" s="59"/>
      <c r="GB188" s="59"/>
      <c r="GC188" s="59"/>
      <c r="GD188" s="59"/>
      <c r="GE188" s="59"/>
      <c r="GF188" s="59"/>
      <c r="GG188" s="59"/>
      <c r="GH188" s="59"/>
      <c r="GI188" s="59"/>
      <c r="GJ188" s="59"/>
      <c r="GK188" s="59"/>
      <c r="GL188" s="59"/>
      <c r="GM188" s="59"/>
      <c r="GN188" s="59"/>
    </row>
    <row r="189" spans="1:196" x14ac:dyDescent="0.3">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c r="BU189" s="59"/>
      <c r="BV189" s="59"/>
      <c r="BW189" s="59"/>
      <c r="BX189" s="59"/>
      <c r="BY189" s="59"/>
      <c r="BZ189" s="59"/>
      <c r="CA189" s="59"/>
      <c r="CB189" s="59"/>
      <c r="CC189" s="59"/>
      <c r="CD189" s="59"/>
      <c r="CE189" s="59"/>
      <c r="CF189" s="59"/>
      <c r="CG189" s="59"/>
      <c r="CH189" s="59"/>
      <c r="CI189" s="59"/>
      <c r="CJ189" s="59"/>
      <c r="CK189" s="59"/>
      <c r="CL189" s="59"/>
      <c r="CM189" s="59"/>
      <c r="CN189" s="59"/>
      <c r="CO189" s="59"/>
      <c r="CP189" s="59"/>
      <c r="CQ189" s="59"/>
      <c r="CR189" s="59"/>
      <c r="CS189" s="59"/>
      <c r="CT189" s="59"/>
      <c r="CU189" s="59"/>
      <c r="CV189" s="59"/>
      <c r="CW189" s="59"/>
      <c r="CX189" s="59"/>
      <c r="CY189" s="59"/>
      <c r="CZ189" s="59"/>
      <c r="DA189" s="59"/>
      <c r="DB189" s="59"/>
      <c r="DC189" s="59"/>
      <c r="DD189" s="59"/>
      <c r="DE189" s="59"/>
      <c r="DF189" s="59"/>
      <c r="DG189" s="59"/>
      <c r="DH189" s="59"/>
      <c r="DI189" s="59"/>
      <c r="DJ189" s="59"/>
      <c r="DK189" s="59"/>
      <c r="DL189" s="59"/>
      <c r="DM189" s="59"/>
      <c r="DN189" s="59"/>
      <c r="DO189" s="59"/>
      <c r="DP189" s="59"/>
      <c r="DQ189" s="59"/>
      <c r="DR189" s="59"/>
      <c r="DS189" s="59"/>
      <c r="DT189" s="59"/>
      <c r="DU189" s="59"/>
      <c r="DV189" s="59"/>
      <c r="DW189" s="59"/>
      <c r="DX189" s="59"/>
      <c r="DY189" s="59"/>
      <c r="DZ189" s="59"/>
      <c r="EA189" s="59"/>
      <c r="EB189" s="59"/>
      <c r="EC189" s="59"/>
      <c r="ED189" s="59"/>
      <c r="EE189" s="59"/>
      <c r="EF189" s="59"/>
      <c r="EG189" s="59"/>
      <c r="EH189" s="59"/>
      <c r="EI189" s="59"/>
      <c r="EJ189" s="59"/>
      <c r="EK189" s="59"/>
      <c r="EL189" s="59"/>
      <c r="EM189" s="59"/>
      <c r="EN189" s="59"/>
      <c r="EO189" s="59"/>
      <c r="EP189" s="59"/>
      <c r="EQ189" s="59"/>
      <c r="ER189" s="59"/>
      <c r="ES189" s="59"/>
      <c r="ET189" s="59"/>
      <c r="EU189" s="59"/>
      <c r="EV189" s="59"/>
      <c r="EW189" s="59"/>
      <c r="EX189" s="59"/>
      <c r="EY189" s="59"/>
      <c r="EZ189" s="59"/>
      <c r="FA189" s="59"/>
      <c r="FB189" s="59"/>
      <c r="FC189" s="59"/>
      <c r="FD189" s="59"/>
      <c r="FE189" s="59"/>
      <c r="FF189" s="59"/>
      <c r="FG189" s="59"/>
      <c r="FH189" s="59"/>
      <c r="FI189" s="59"/>
      <c r="FJ189" s="59"/>
      <c r="FK189" s="59"/>
      <c r="FL189" s="59"/>
      <c r="FM189" s="59"/>
      <c r="FN189" s="59"/>
      <c r="FO189" s="59"/>
      <c r="FP189" s="59"/>
      <c r="FQ189" s="59"/>
      <c r="FR189" s="59"/>
      <c r="FS189" s="59"/>
      <c r="FT189" s="59"/>
      <c r="FU189" s="59"/>
      <c r="FV189" s="59"/>
      <c r="FW189" s="59"/>
      <c r="FX189" s="59"/>
      <c r="FY189" s="59"/>
      <c r="FZ189" s="59"/>
      <c r="GA189" s="59"/>
      <c r="GB189" s="59"/>
      <c r="GC189" s="59"/>
      <c r="GD189" s="59"/>
      <c r="GE189" s="59"/>
      <c r="GF189" s="59"/>
      <c r="GG189" s="59"/>
      <c r="GH189" s="59"/>
      <c r="GI189" s="59"/>
      <c r="GJ189" s="59"/>
      <c r="GK189" s="59"/>
      <c r="GL189" s="59"/>
      <c r="GM189" s="59"/>
      <c r="GN189" s="59"/>
    </row>
    <row r="190" spans="1:196" x14ac:dyDescent="0.3">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c r="BU190" s="59"/>
      <c r="BV190" s="59"/>
      <c r="BW190" s="59"/>
      <c r="BX190" s="59"/>
      <c r="BY190" s="59"/>
      <c r="BZ190" s="59"/>
      <c r="CA190" s="59"/>
      <c r="CB190" s="59"/>
      <c r="CC190" s="59"/>
      <c r="CD190" s="59"/>
      <c r="CE190" s="59"/>
      <c r="CF190" s="59"/>
      <c r="CG190" s="59"/>
      <c r="CH190" s="59"/>
      <c r="CI190" s="59"/>
      <c r="CJ190" s="59"/>
      <c r="CK190" s="59"/>
      <c r="CL190" s="59"/>
      <c r="CM190" s="59"/>
      <c r="CN190" s="59"/>
      <c r="CO190" s="59"/>
      <c r="CP190" s="59"/>
      <c r="CQ190" s="59"/>
      <c r="CR190" s="59"/>
      <c r="CS190" s="59"/>
      <c r="CT190" s="59"/>
      <c r="CU190" s="59"/>
      <c r="CV190" s="59"/>
      <c r="CW190" s="59"/>
      <c r="CX190" s="59"/>
      <c r="CY190" s="59"/>
      <c r="CZ190" s="59"/>
      <c r="DA190" s="59"/>
      <c r="DB190" s="59"/>
      <c r="DC190" s="59"/>
      <c r="DD190" s="59"/>
      <c r="DE190" s="59"/>
      <c r="DF190" s="59"/>
      <c r="DG190" s="59"/>
      <c r="DH190" s="59"/>
      <c r="DI190" s="59"/>
      <c r="DJ190" s="59"/>
      <c r="DK190" s="59"/>
      <c r="DL190" s="59"/>
      <c r="DM190" s="59"/>
      <c r="DN190" s="59"/>
      <c r="DO190" s="59"/>
      <c r="DP190" s="59"/>
      <c r="DQ190" s="59"/>
      <c r="DR190" s="59"/>
      <c r="DS190" s="59"/>
      <c r="DT190" s="59"/>
      <c r="DU190" s="59"/>
      <c r="DV190" s="59"/>
      <c r="DW190" s="59"/>
      <c r="DX190" s="59"/>
      <c r="DY190" s="59"/>
      <c r="DZ190" s="59"/>
      <c r="EA190" s="59"/>
      <c r="EB190" s="59"/>
      <c r="EC190" s="59"/>
      <c r="ED190" s="59"/>
      <c r="EE190" s="59"/>
      <c r="EF190" s="59"/>
      <c r="EG190" s="59"/>
      <c r="EH190" s="59"/>
      <c r="EI190" s="59"/>
      <c r="EJ190" s="59"/>
      <c r="EK190" s="59"/>
      <c r="EL190" s="59"/>
      <c r="EM190" s="59"/>
      <c r="EN190" s="59"/>
      <c r="EO190" s="59"/>
      <c r="EP190" s="59"/>
      <c r="EQ190" s="59"/>
      <c r="ER190" s="59"/>
      <c r="ES190" s="59"/>
      <c r="ET190" s="59"/>
      <c r="EU190" s="59"/>
      <c r="EV190" s="59"/>
      <c r="EW190" s="59"/>
      <c r="EX190" s="59"/>
      <c r="EY190" s="59"/>
      <c r="EZ190" s="59"/>
      <c r="FA190" s="59"/>
      <c r="FB190" s="59"/>
      <c r="FC190" s="59"/>
      <c r="FD190" s="59"/>
      <c r="FE190" s="59"/>
      <c r="FF190" s="59"/>
      <c r="FG190" s="59"/>
      <c r="FH190" s="59"/>
      <c r="FI190" s="59"/>
      <c r="FJ190" s="59"/>
      <c r="FK190" s="59"/>
      <c r="FL190" s="59"/>
      <c r="FM190" s="59"/>
      <c r="FN190" s="59"/>
      <c r="FO190" s="59"/>
      <c r="FP190" s="59"/>
      <c r="FQ190" s="59"/>
      <c r="FR190" s="59"/>
      <c r="FS190" s="59"/>
      <c r="FT190" s="59"/>
      <c r="FU190" s="59"/>
      <c r="FV190" s="59"/>
      <c r="FW190" s="59"/>
      <c r="FX190" s="59"/>
      <c r="FY190" s="59"/>
      <c r="FZ190" s="59"/>
      <c r="GA190" s="59"/>
      <c r="GB190" s="59"/>
      <c r="GC190" s="59"/>
      <c r="GD190" s="59"/>
      <c r="GE190" s="59"/>
      <c r="GF190" s="59"/>
      <c r="GG190" s="59"/>
      <c r="GH190" s="59"/>
      <c r="GI190" s="59"/>
      <c r="GJ190" s="59"/>
      <c r="GK190" s="59"/>
      <c r="GL190" s="59"/>
      <c r="GM190" s="59"/>
      <c r="GN190" s="59"/>
    </row>
    <row r="191" spans="1:196" x14ac:dyDescent="0.3">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c r="BU191" s="59"/>
      <c r="BV191" s="59"/>
      <c r="BW191" s="59"/>
      <c r="BX191" s="59"/>
      <c r="BY191" s="59"/>
      <c r="BZ191" s="59"/>
      <c r="CA191" s="59"/>
      <c r="CB191" s="59"/>
      <c r="CC191" s="59"/>
      <c r="CD191" s="59"/>
      <c r="CE191" s="59"/>
      <c r="CF191" s="59"/>
      <c r="CG191" s="59"/>
      <c r="CH191" s="59"/>
      <c r="CI191" s="59"/>
      <c r="CJ191" s="59"/>
      <c r="CK191" s="59"/>
      <c r="CL191" s="59"/>
      <c r="CM191" s="59"/>
      <c r="CN191" s="59"/>
      <c r="CO191" s="59"/>
      <c r="CP191" s="59"/>
      <c r="CQ191" s="59"/>
      <c r="CR191" s="59"/>
      <c r="CS191" s="59"/>
      <c r="CT191" s="59"/>
      <c r="CU191" s="59"/>
      <c r="CV191" s="59"/>
      <c r="CW191" s="59"/>
      <c r="CX191" s="59"/>
      <c r="CY191" s="59"/>
      <c r="CZ191" s="59"/>
      <c r="DA191" s="59"/>
      <c r="DB191" s="59"/>
      <c r="DC191" s="59"/>
      <c r="DD191" s="59"/>
      <c r="DE191" s="59"/>
      <c r="DF191" s="59"/>
      <c r="DG191" s="59"/>
      <c r="DH191" s="59"/>
      <c r="DI191" s="59"/>
      <c r="DJ191" s="59"/>
      <c r="DK191" s="59"/>
      <c r="DL191" s="59"/>
      <c r="DM191" s="59"/>
      <c r="DN191" s="59"/>
      <c r="DO191" s="59"/>
      <c r="DP191" s="59"/>
      <c r="DQ191" s="59"/>
      <c r="DR191" s="59"/>
      <c r="DS191" s="59"/>
      <c r="DT191" s="59"/>
      <c r="DU191" s="59"/>
      <c r="DV191" s="59"/>
      <c r="DW191" s="59"/>
      <c r="DX191" s="59"/>
      <c r="DY191" s="59"/>
      <c r="DZ191" s="59"/>
      <c r="EA191" s="59"/>
      <c r="EB191" s="59"/>
      <c r="EC191" s="59"/>
      <c r="ED191" s="59"/>
      <c r="EE191" s="59"/>
      <c r="EF191" s="59"/>
      <c r="EG191" s="59"/>
      <c r="EH191" s="59"/>
      <c r="EI191" s="59"/>
      <c r="EJ191" s="59"/>
      <c r="EK191" s="59"/>
      <c r="EL191" s="59"/>
      <c r="EM191" s="59"/>
      <c r="EN191" s="59"/>
      <c r="EO191" s="59"/>
      <c r="EP191" s="59"/>
      <c r="EQ191" s="59"/>
      <c r="ER191" s="59"/>
      <c r="ES191" s="59"/>
      <c r="ET191" s="59"/>
      <c r="EU191" s="59"/>
      <c r="EV191" s="59"/>
      <c r="EW191" s="59"/>
      <c r="EX191" s="59"/>
      <c r="EY191" s="59"/>
      <c r="EZ191" s="59"/>
      <c r="FA191" s="59"/>
      <c r="FB191" s="59"/>
      <c r="FC191" s="59"/>
      <c r="FD191" s="59"/>
      <c r="FE191" s="59"/>
      <c r="FF191" s="59"/>
      <c r="FG191" s="59"/>
      <c r="FH191" s="59"/>
      <c r="FI191" s="59"/>
      <c r="FJ191" s="59"/>
      <c r="FK191" s="59"/>
      <c r="FL191" s="59"/>
      <c r="FM191" s="59"/>
      <c r="FN191" s="59"/>
      <c r="FO191" s="59"/>
      <c r="FP191" s="59"/>
      <c r="FQ191" s="59"/>
      <c r="FR191" s="59"/>
      <c r="FS191" s="59"/>
      <c r="FT191" s="59"/>
      <c r="FU191" s="59"/>
      <c r="FV191" s="59"/>
      <c r="FW191" s="59"/>
      <c r="FX191" s="59"/>
      <c r="FY191" s="59"/>
      <c r="FZ191" s="59"/>
      <c r="GA191" s="59"/>
      <c r="GB191" s="59"/>
      <c r="GC191" s="59"/>
      <c r="GD191" s="59"/>
      <c r="GE191" s="59"/>
      <c r="GF191" s="59"/>
      <c r="GG191" s="59"/>
      <c r="GH191" s="59"/>
      <c r="GI191" s="59"/>
      <c r="GJ191" s="59"/>
      <c r="GK191" s="59"/>
      <c r="GL191" s="59"/>
      <c r="GM191" s="59"/>
      <c r="GN191" s="59"/>
    </row>
    <row r="192" spans="1:196" x14ac:dyDescent="0.3">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c r="BU192" s="59"/>
      <c r="BV192" s="59"/>
      <c r="BW192" s="59"/>
      <c r="BX192" s="59"/>
      <c r="BY192" s="59"/>
      <c r="BZ192" s="59"/>
      <c r="CA192" s="59"/>
      <c r="CB192" s="59"/>
      <c r="CC192" s="59"/>
      <c r="CD192" s="59"/>
      <c r="CE192" s="59"/>
      <c r="CF192" s="59"/>
      <c r="CG192" s="59"/>
      <c r="CH192" s="59"/>
      <c r="CI192" s="59"/>
      <c r="CJ192" s="59"/>
      <c r="CK192" s="59"/>
      <c r="CL192" s="59"/>
      <c r="CM192" s="59"/>
      <c r="CN192" s="59"/>
      <c r="CO192" s="59"/>
      <c r="CP192" s="59"/>
      <c r="CQ192" s="59"/>
      <c r="CR192" s="59"/>
      <c r="CS192" s="59"/>
      <c r="CT192" s="59"/>
      <c r="CU192" s="59"/>
      <c r="CV192" s="59"/>
      <c r="CW192" s="59"/>
      <c r="CX192" s="59"/>
      <c r="CY192" s="59"/>
      <c r="CZ192" s="59"/>
      <c r="DA192" s="59"/>
      <c r="DB192" s="59"/>
      <c r="DC192" s="59"/>
      <c r="DD192" s="59"/>
      <c r="DE192" s="59"/>
      <c r="DF192" s="59"/>
      <c r="DG192" s="59"/>
      <c r="DH192" s="59"/>
      <c r="DI192" s="59"/>
      <c r="DJ192" s="59"/>
      <c r="DK192" s="59"/>
      <c r="DL192" s="59"/>
      <c r="DM192" s="59"/>
      <c r="DN192" s="59"/>
      <c r="DO192" s="59"/>
      <c r="DP192" s="59"/>
      <c r="DQ192" s="59"/>
      <c r="DR192" s="59"/>
      <c r="DS192" s="59"/>
      <c r="DT192" s="59"/>
      <c r="DU192" s="59"/>
      <c r="DV192" s="59"/>
      <c r="DW192" s="59"/>
      <c r="DX192" s="59"/>
      <c r="DY192" s="59"/>
      <c r="DZ192" s="59"/>
      <c r="EA192" s="59"/>
      <c r="EB192" s="59"/>
      <c r="EC192" s="59"/>
      <c r="ED192" s="59"/>
      <c r="EE192" s="59"/>
      <c r="EF192" s="59"/>
      <c r="EG192" s="59"/>
      <c r="EH192" s="59"/>
      <c r="EI192" s="59"/>
      <c r="EJ192" s="59"/>
      <c r="EK192" s="59"/>
      <c r="EL192" s="59"/>
      <c r="EM192" s="59"/>
      <c r="EN192" s="59"/>
      <c r="EO192" s="59"/>
      <c r="EP192" s="59"/>
      <c r="EQ192" s="59"/>
      <c r="ER192" s="59"/>
      <c r="ES192" s="59"/>
      <c r="ET192" s="59"/>
      <c r="EU192" s="59"/>
      <c r="EV192" s="59"/>
      <c r="EW192" s="59"/>
      <c r="EX192" s="59"/>
      <c r="EY192" s="59"/>
      <c r="EZ192" s="59"/>
      <c r="FA192" s="59"/>
      <c r="FB192" s="59"/>
      <c r="FC192" s="59"/>
      <c r="FD192" s="59"/>
      <c r="FE192" s="59"/>
      <c r="FF192" s="59"/>
      <c r="FG192" s="59"/>
      <c r="FH192" s="59"/>
      <c r="FI192" s="59"/>
      <c r="FJ192" s="59"/>
      <c r="FK192" s="59"/>
      <c r="FL192" s="59"/>
      <c r="FM192" s="59"/>
      <c r="FN192" s="59"/>
      <c r="FO192" s="59"/>
      <c r="FP192" s="59"/>
      <c r="FQ192" s="59"/>
      <c r="FR192" s="59"/>
      <c r="FS192" s="59"/>
      <c r="FT192" s="59"/>
      <c r="FU192" s="59"/>
      <c r="FV192" s="59"/>
      <c r="FW192" s="59"/>
      <c r="FX192" s="59"/>
      <c r="FY192" s="59"/>
      <c r="FZ192" s="59"/>
      <c r="GA192" s="59"/>
      <c r="GB192" s="59"/>
      <c r="GC192" s="59"/>
      <c r="GD192" s="59"/>
      <c r="GE192" s="59"/>
      <c r="GF192" s="59"/>
      <c r="GG192" s="59"/>
      <c r="GH192" s="59"/>
      <c r="GI192" s="59"/>
      <c r="GJ192" s="59"/>
      <c r="GK192" s="59"/>
      <c r="GL192" s="59"/>
      <c r="GM192" s="59"/>
      <c r="GN192" s="59"/>
    </row>
    <row r="193" spans="1:196" x14ac:dyDescent="0.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c r="BU193" s="59"/>
      <c r="BV193" s="59"/>
      <c r="BW193" s="59"/>
      <c r="BX193" s="59"/>
      <c r="BY193" s="59"/>
      <c r="BZ193" s="59"/>
      <c r="CA193" s="59"/>
      <c r="CB193" s="59"/>
      <c r="CC193" s="59"/>
      <c r="CD193" s="59"/>
      <c r="CE193" s="59"/>
      <c r="CF193" s="59"/>
      <c r="CG193" s="59"/>
      <c r="CH193" s="59"/>
      <c r="CI193" s="59"/>
      <c r="CJ193" s="59"/>
      <c r="CK193" s="59"/>
      <c r="CL193" s="59"/>
      <c r="CM193" s="59"/>
      <c r="CN193" s="59"/>
      <c r="CO193" s="59"/>
      <c r="CP193" s="59"/>
      <c r="CQ193" s="59"/>
      <c r="CR193" s="59"/>
      <c r="CS193" s="59"/>
      <c r="CT193" s="59"/>
      <c r="CU193" s="59"/>
      <c r="CV193" s="59"/>
      <c r="CW193" s="59"/>
      <c r="CX193" s="59"/>
      <c r="CY193" s="59"/>
      <c r="CZ193" s="59"/>
      <c r="DA193" s="59"/>
      <c r="DB193" s="59"/>
      <c r="DC193" s="59"/>
      <c r="DD193" s="59"/>
      <c r="DE193" s="59"/>
      <c r="DF193" s="59"/>
      <c r="DG193" s="59"/>
      <c r="DH193" s="59"/>
      <c r="DI193" s="59"/>
      <c r="DJ193" s="59"/>
      <c r="DK193" s="59"/>
      <c r="DL193" s="59"/>
      <c r="DM193" s="59"/>
      <c r="DN193" s="59"/>
      <c r="DO193" s="59"/>
      <c r="DP193" s="59"/>
      <c r="DQ193" s="59"/>
      <c r="DR193" s="59"/>
      <c r="DS193" s="59"/>
      <c r="DT193" s="59"/>
      <c r="DU193" s="59"/>
      <c r="DV193" s="59"/>
      <c r="DW193" s="59"/>
      <c r="DX193" s="59"/>
      <c r="DY193" s="59"/>
      <c r="DZ193" s="59"/>
      <c r="EA193" s="59"/>
      <c r="EB193" s="59"/>
      <c r="EC193" s="59"/>
      <c r="ED193" s="59"/>
      <c r="EE193" s="59"/>
      <c r="EF193" s="59"/>
      <c r="EG193" s="59"/>
      <c r="EH193" s="59"/>
      <c r="EI193" s="59"/>
      <c r="EJ193" s="59"/>
      <c r="EK193" s="59"/>
      <c r="EL193" s="59"/>
      <c r="EM193" s="59"/>
      <c r="EN193" s="59"/>
      <c r="EO193" s="59"/>
      <c r="EP193" s="59"/>
      <c r="EQ193" s="59"/>
      <c r="ER193" s="59"/>
      <c r="ES193" s="59"/>
      <c r="ET193" s="59"/>
      <c r="EU193" s="59"/>
      <c r="EV193" s="59"/>
      <c r="EW193" s="59"/>
      <c r="EX193" s="59"/>
      <c r="EY193" s="59"/>
      <c r="EZ193" s="59"/>
      <c r="FA193" s="59"/>
      <c r="FB193" s="59"/>
      <c r="FC193" s="59"/>
      <c r="FD193" s="59"/>
      <c r="FE193" s="59"/>
      <c r="FF193" s="59"/>
      <c r="FG193" s="59"/>
      <c r="FH193" s="59"/>
      <c r="FI193" s="59"/>
      <c r="FJ193" s="59"/>
      <c r="FK193" s="59"/>
      <c r="FL193" s="59"/>
      <c r="FM193" s="59"/>
      <c r="FN193" s="59"/>
      <c r="FO193" s="59"/>
      <c r="FP193" s="59"/>
      <c r="FQ193" s="59"/>
      <c r="FR193" s="59"/>
      <c r="FS193" s="59"/>
      <c r="FT193" s="59"/>
      <c r="FU193" s="59"/>
      <c r="FV193" s="59"/>
      <c r="FW193" s="59"/>
      <c r="FX193" s="59"/>
      <c r="FY193" s="59"/>
      <c r="FZ193" s="59"/>
      <c r="GA193" s="59"/>
      <c r="GB193" s="59"/>
      <c r="GC193" s="59"/>
      <c r="GD193" s="59"/>
      <c r="GE193" s="59"/>
      <c r="GF193" s="59"/>
      <c r="GG193" s="59"/>
      <c r="GH193" s="59"/>
      <c r="GI193" s="59"/>
      <c r="GJ193" s="59"/>
      <c r="GK193" s="59"/>
      <c r="GL193" s="59"/>
      <c r="GM193" s="59"/>
      <c r="GN193" s="59"/>
    </row>
    <row r="194" spans="1:196" x14ac:dyDescent="0.3">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c r="BU194" s="59"/>
      <c r="BV194" s="59"/>
      <c r="BW194" s="59"/>
      <c r="BX194" s="59"/>
      <c r="BY194" s="59"/>
      <c r="BZ194" s="59"/>
      <c r="CA194" s="59"/>
      <c r="CB194" s="59"/>
      <c r="CC194" s="59"/>
      <c r="CD194" s="59"/>
      <c r="CE194" s="59"/>
      <c r="CF194" s="59"/>
      <c r="CG194" s="59"/>
      <c r="CH194" s="59"/>
      <c r="CI194" s="59"/>
      <c r="CJ194" s="59"/>
      <c r="CK194" s="59"/>
      <c r="CL194" s="59"/>
      <c r="CM194" s="59"/>
      <c r="CN194" s="59"/>
      <c r="CO194" s="59"/>
      <c r="CP194" s="59"/>
      <c r="CQ194" s="59"/>
      <c r="CR194" s="59"/>
      <c r="CS194" s="59"/>
      <c r="CT194" s="59"/>
      <c r="CU194" s="59"/>
      <c r="CV194" s="59"/>
      <c r="CW194" s="59"/>
      <c r="CX194" s="59"/>
      <c r="CY194" s="59"/>
      <c r="CZ194" s="59"/>
      <c r="DA194" s="59"/>
      <c r="DB194" s="59"/>
      <c r="DC194" s="59"/>
      <c r="DD194" s="59"/>
      <c r="DE194" s="59"/>
      <c r="DF194" s="59"/>
      <c r="DG194" s="59"/>
      <c r="DH194" s="59"/>
      <c r="DI194" s="59"/>
      <c r="DJ194" s="59"/>
      <c r="DK194" s="59"/>
      <c r="DL194" s="59"/>
      <c r="DM194" s="59"/>
      <c r="DN194" s="59"/>
      <c r="DO194" s="59"/>
      <c r="DP194" s="59"/>
      <c r="DQ194" s="59"/>
      <c r="DR194" s="59"/>
      <c r="DS194" s="59"/>
      <c r="DT194" s="59"/>
      <c r="DU194" s="59"/>
      <c r="DV194" s="59"/>
      <c r="DW194" s="59"/>
      <c r="DX194" s="59"/>
      <c r="DY194" s="59"/>
      <c r="DZ194" s="59"/>
      <c r="EA194" s="59"/>
      <c r="EB194" s="59"/>
      <c r="EC194" s="59"/>
      <c r="ED194" s="59"/>
      <c r="EE194" s="59"/>
      <c r="EF194" s="59"/>
      <c r="EG194" s="59"/>
      <c r="EH194" s="59"/>
      <c r="EI194" s="59"/>
      <c r="EJ194" s="59"/>
      <c r="EK194" s="59"/>
      <c r="EL194" s="59"/>
      <c r="EM194" s="59"/>
      <c r="EN194" s="59"/>
      <c r="EO194" s="59"/>
      <c r="EP194" s="59"/>
      <c r="EQ194" s="59"/>
      <c r="ER194" s="59"/>
      <c r="ES194" s="59"/>
      <c r="ET194" s="59"/>
      <c r="EU194" s="59"/>
      <c r="EV194" s="59"/>
      <c r="EW194" s="59"/>
      <c r="EX194" s="59"/>
      <c r="EY194" s="59"/>
      <c r="EZ194" s="59"/>
      <c r="FA194" s="59"/>
      <c r="FB194" s="59"/>
      <c r="FC194" s="59"/>
      <c r="FD194" s="59"/>
      <c r="FE194" s="59"/>
      <c r="FF194" s="59"/>
      <c r="FG194" s="59"/>
      <c r="FH194" s="59"/>
      <c r="FI194" s="59"/>
      <c r="FJ194" s="59"/>
      <c r="FK194" s="59"/>
      <c r="FL194" s="59"/>
      <c r="FM194" s="59"/>
      <c r="FN194" s="59"/>
      <c r="FO194" s="59"/>
      <c r="FP194" s="59"/>
      <c r="FQ194" s="59"/>
      <c r="FR194" s="59"/>
      <c r="FS194" s="59"/>
      <c r="FT194" s="59"/>
      <c r="FU194" s="59"/>
      <c r="FV194" s="59"/>
      <c r="FW194" s="59"/>
      <c r="FX194" s="59"/>
      <c r="FY194" s="59"/>
      <c r="FZ194" s="59"/>
      <c r="GA194" s="59"/>
      <c r="GB194" s="59"/>
      <c r="GC194" s="59"/>
      <c r="GD194" s="59"/>
      <c r="GE194" s="59"/>
      <c r="GF194" s="59"/>
      <c r="GG194" s="59"/>
      <c r="GH194" s="59"/>
      <c r="GI194" s="59"/>
      <c r="GJ194" s="59"/>
      <c r="GK194" s="59"/>
      <c r="GL194" s="59"/>
      <c r="GM194" s="59"/>
      <c r="GN194" s="59"/>
    </row>
    <row r="195" spans="1:196" x14ac:dyDescent="0.3">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c r="BU195" s="59"/>
      <c r="BV195" s="59"/>
      <c r="BW195" s="59"/>
      <c r="BX195" s="59"/>
      <c r="BY195" s="59"/>
      <c r="BZ195" s="59"/>
      <c r="CA195" s="59"/>
      <c r="CB195" s="59"/>
      <c r="CC195" s="59"/>
      <c r="CD195" s="59"/>
      <c r="CE195" s="59"/>
      <c r="CF195" s="59"/>
      <c r="CG195" s="59"/>
      <c r="CH195" s="59"/>
      <c r="CI195" s="59"/>
      <c r="CJ195" s="59"/>
      <c r="CK195" s="59"/>
      <c r="CL195" s="59"/>
      <c r="CM195" s="59"/>
      <c r="CN195" s="59"/>
      <c r="CO195" s="59"/>
      <c r="CP195" s="59"/>
      <c r="CQ195" s="59"/>
      <c r="CR195" s="59"/>
      <c r="CS195" s="59"/>
      <c r="CT195" s="59"/>
      <c r="CU195" s="59"/>
      <c r="CV195" s="59"/>
      <c r="CW195" s="59"/>
      <c r="CX195" s="59"/>
      <c r="CY195" s="59"/>
      <c r="CZ195" s="59"/>
      <c r="DA195" s="59"/>
      <c r="DB195" s="59"/>
      <c r="DC195" s="59"/>
      <c r="DD195" s="59"/>
      <c r="DE195" s="59"/>
      <c r="DF195" s="59"/>
      <c r="DG195" s="59"/>
      <c r="DH195" s="59"/>
      <c r="DI195" s="59"/>
      <c r="DJ195" s="59"/>
      <c r="DK195" s="59"/>
      <c r="DL195" s="59"/>
      <c r="DM195" s="59"/>
      <c r="DN195" s="59"/>
      <c r="DO195" s="59"/>
      <c r="DP195" s="59"/>
      <c r="DQ195" s="59"/>
      <c r="DR195" s="59"/>
      <c r="DS195" s="59"/>
      <c r="DT195" s="59"/>
      <c r="DU195" s="59"/>
      <c r="DV195" s="59"/>
      <c r="DW195" s="59"/>
      <c r="DX195" s="59"/>
      <c r="DY195" s="59"/>
      <c r="DZ195" s="59"/>
      <c r="EA195" s="59"/>
      <c r="EB195" s="59"/>
      <c r="EC195" s="59"/>
      <c r="ED195" s="59"/>
      <c r="EE195" s="59"/>
      <c r="EF195" s="59"/>
      <c r="EG195" s="59"/>
      <c r="EH195" s="59"/>
      <c r="EI195" s="59"/>
      <c r="EJ195" s="59"/>
      <c r="EK195" s="59"/>
      <c r="EL195" s="59"/>
      <c r="EM195" s="59"/>
      <c r="EN195" s="59"/>
      <c r="EO195" s="59"/>
      <c r="EP195" s="59"/>
      <c r="EQ195" s="59"/>
      <c r="ER195" s="59"/>
      <c r="ES195" s="59"/>
      <c r="ET195" s="59"/>
      <c r="EU195" s="59"/>
      <c r="EV195" s="59"/>
      <c r="EW195" s="59"/>
      <c r="EX195" s="59"/>
      <c r="EY195" s="59"/>
      <c r="EZ195" s="59"/>
      <c r="FA195" s="59"/>
      <c r="FB195" s="59"/>
      <c r="FC195" s="59"/>
      <c r="FD195" s="59"/>
      <c r="FE195" s="59"/>
      <c r="FF195" s="59"/>
      <c r="FG195" s="59"/>
      <c r="FH195" s="59"/>
      <c r="FI195" s="59"/>
      <c r="FJ195" s="59"/>
      <c r="FK195" s="59"/>
      <c r="FL195" s="59"/>
      <c r="FM195" s="59"/>
      <c r="FN195" s="59"/>
      <c r="FO195" s="59"/>
      <c r="FP195" s="59"/>
      <c r="FQ195" s="59"/>
      <c r="FR195" s="59"/>
      <c r="FS195" s="59"/>
      <c r="FT195" s="59"/>
      <c r="FU195" s="59"/>
      <c r="FV195" s="59"/>
      <c r="FW195" s="59"/>
      <c r="FX195" s="59"/>
      <c r="FY195" s="59"/>
      <c r="FZ195" s="59"/>
      <c r="GA195" s="59"/>
      <c r="GB195" s="59"/>
      <c r="GC195" s="59"/>
      <c r="GD195" s="59"/>
      <c r="GE195" s="59"/>
      <c r="GF195" s="59"/>
      <c r="GG195" s="59"/>
      <c r="GH195" s="59"/>
      <c r="GI195" s="59"/>
      <c r="GJ195" s="59"/>
      <c r="GK195" s="59"/>
      <c r="GL195" s="59"/>
      <c r="GM195" s="59"/>
      <c r="GN195" s="59"/>
    </row>
    <row r="196" spans="1:196" x14ac:dyDescent="0.3">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c r="BU196" s="59"/>
      <c r="BV196" s="59"/>
      <c r="BW196" s="59"/>
      <c r="BX196" s="59"/>
      <c r="BY196" s="59"/>
      <c r="BZ196" s="59"/>
      <c r="CA196" s="59"/>
      <c r="CB196" s="59"/>
      <c r="CC196" s="59"/>
      <c r="CD196" s="59"/>
      <c r="CE196" s="59"/>
      <c r="CF196" s="59"/>
      <c r="CG196" s="59"/>
      <c r="CH196" s="59"/>
      <c r="CI196" s="59"/>
      <c r="CJ196" s="59"/>
      <c r="CK196" s="59"/>
      <c r="CL196" s="59"/>
      <c r="CM196" s="59"/>
      <c r="CN196" s="59"/>
      <c r="CO196" s="59"/>
      <c r="CP196" s="59"/>
      <c r="CQ196" s="59"/>
      <c r="CR196" s="59"/>
      <c r="CS196" s="59"/>
      <c r="CT196" s="59"/>
      <c r="CU196" s="59"/>
      <c r="CV196" s="59"/>
      <c r="CW196" s="59"/>
      <c r="CX196" s="59"/>
      <c r="CY196" s="59"/>
      <c r="CZ196" s="59"/>
      <c r="DA196" s="59"/>
      <c r="DB196" s="59"/>
      <c r="DC196" s="59"/>
      <c r="DD196" s="59"/>
      <c r="DE196" s="59"/>
      <c r="DF196" s="59"/>
      <c r="DG196" s="59"/>
      <c r="DH196" s="59"/>
      <c r="DI196" s="59"/>
      <c r="DJ196" s="59"/>
      <c r="DK196" s="59"/>
      <c r="DL196" s="59"/>
      <c r="DM196" s="59"/>
      <c r="DN196" s="59"/>
      <c r="DO196" s="59"/>
      <c r="DP196" s="59"/>
      <c r="DQ196" s="59"/>
      <c r="DR196" s="59"/>
      <c r="DS196" s="59"/>
      <c r="DT196" s="59"/>
      <c r="DU196" s="59"/>
      <c r="DV196" s="59"/>
      <c r="DW196" s="59"/>
      <c r="DX196" s="59"/>
      <c r="DY196" s="59"/>
      <c r="DZ196" s="59"/>
      <c r="EA196" s="59"/>
      <c r="EB196" s="59"/>
      <c r="EC196" s="59"/>
      <c r="ED196" s="59"/>
      <c r="EE196" s="59"/>
      <c r="EF196" s="59"/>
      <c r="EG196" s="59"/>
      <c r="EH196" s="59"/>
      <c r="EI196" s="59"/>
      <c r="EJ196" s="59"/>
      <c r="EK196" s="59"/>
      <c r="EL196" s="59"/>
      <c r="EM196" s="59"/>
      <c r="EN196" s="59"/>
      <c r="EO196" s="59"/>
      <c r="EP196" s="59"/>
      <c r="EQ196" s="59"/>
      <c r="ER196" s="59"/>
      <c r="ES196" s="59"/>
      <c r="ET196" s="59"/>
      <c r="EU196" s="59"/>
      <c r="EV196" s="59"/>
      <c r="EW196" s="59"/>
      <c r="EX196" s="59"/>
      <c r="EY196" s="59"/>
      <c r="EZ196" s="59"/>
      <c r="FA196" s="59"/>
      <c r="FB196" s="59"/>
      <c r="FC196" s="59"/>
      <c r="FD196" s="59"/>
      <c r="FE196" s="59"/>
      <c r="FF196" s="59"/>
      <c r="FG196" s="59"/>
      <c r="FH196" s="59"/>
      <c r="FI196" s="59"/>
      <c r="FJ196" s="59"/>
      <c r="FK196" s="59"/>
      <c r="FL196" s="59"/>
      <c r="FM196" s="59"/>
      <c r="FN196" s="59"/>
      <c r="FO196" s="59"/>
      <c r="FP196" s="59"/>
      <c r="FQ196" s="59"/>
      <c r="FR196" s="59"/>
      <c r="FS196" s="59"/>
      <c r="FT196" s="59"/>
      <c r="FU196" s="59"/>
      <c r="FV196" s="59"/>
      <c r="FW196" s="59"/>
      <c r="FX196" s="59"/>
      <c r="FY196" s="59"/>
      <c r="FZ196" s="59"/>
      <c r="GA196" s="59"/>
      <c r="GB196" s="59"/>
      <c r="GC196" s="59"/>
      <c r="GD196" s="59"/>
      <c r="GE196" s="59"/>
      <c r="GF196" s="59"/>
      <c r="GG196" s="59"/>
      <c r="GH196" s="59"/>
      <c r="GI196" s="59"/>
      <c r="GJ196" s="59"/>
      <c r="GK196" s="59"/>
      <c r="GL196" s="59"/>
      <c r="GM196" s="59"/>
      <c r="GN196" s="59"/>
    </row>
    <row r="197" spans="1:196" x14ac:dyDescent="0.3">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c r="BU197" s="59"/>
      <c r="BV197" s="59"/>
      <c r="BW197" s="59"/>
      <c r="BX197" s="59"/>
      <c r="BY197" s="59"/>
      <c r="BZ197" s="59"/>
      <c r="CA197" s="59"/>
      <c r="CB197" s="59"/>
      <c r="CC197" s="59"/>
      <c r="CD197" s="59"/>
      <c r="CE197" s="59"/>
      <c r="CF197" s="59"/>
      <c r="CG197" s="59"/>
      <c r="CH197" s="59"/>
      <c r="CI197" s="59"/>
      <c r="CJ197" s="59"/>
      <c r="CK197" s="59"/>
      <c r="CL197" s="59"/>
      <c r="CM197" s="59"/>
      <c r="CN197" s="59"/>
      <c r="CO197" s="59"/>
      <c r="CP197" s="59"/>
      <c r="CQ197" s="59"/>
      <c r="CR197" s="59"/>
      <c r="CS197" s="59"/>
      <c r="CT197" s="59"/>
      <c r="CU197" s="59"/>
      <c r="CV197" s="59"/>
      <c r="CW197" s="59"/>
      <c r="CX197" s="59"/>
      <c r="CY197" s="59"/>
      <c r="CZ197" s="59"/>
      <c r="DA197" s="59"/>
      <c r="DB197" s="59"/>
      <c r="DC197" s="59"/>
      <c r="DD197" s="59"/>
      <c r="DE197" s="59"/>
      <c r="DF197" s="59"/>
      <c r="DG197" s="59"/>
      <c r="DH197" s="59"/>
      <c r="DI197" s="59"/>
      <c r="DJ197" s="59"/>
      <c r="DK197" s="59"/>
      <c r="DL197" s="59"/>
      <c r="DM197" s="59"/>
      <c r="DN197" s="59"/>
      <c r="DO197" s="59"/>
      <c r="DP197" s="59"/>
      <c r="DQ197" s="59"/>
      <c r="DR197" s="59"/>
      <c r="DS197" s="59"/>
      <c r="DT197" s="59"/>
      <c r="DU197" s="59"/>
      <c r="DV197" s="59"/>
      <c r="DW197" s="59"/>
      <c r="DX197" s="59"/>
      <c r="DY197" s="59"/>
      <c r="DZ197" s="59"/>
      <c r="EA197" s="59"/>
      <c r="EB197" s="59"/>
      <c r="EC197" s="59"/>
      <c r="ED197" s="59"/>
      <c r="EE197" s="59"/>
      <c r="EF197" s="59"/>
      <c r="EG197" s="59"/>
      <c r="EH197" s="59"/>
      <c r="EI197" s="59"/>
      <c r="EJ197" s="59"/>
      <c r="EK197" s="59"/>
      <c r="EL197" s="59"/>
      <c r="EM197" s="59"/>
      <c r="EN197" s="59"/>
      <c r="EO197" s="59"/>
      <c r="EP197" s="59"/>
      <c r="EQ197" s="59"/>
      <c r="ER197" s="59"/>
      <c r="ES197" s="59"/>
      <c r="ET197" s="59"/>
      <c r="EU197" s="59"/>
      <c r="EV197" s="59"/>
      <c r="EW197" s="59"/>
      <c r="EX197" s="59"/>
      <c r="EY197" s="59"/>
      <c r="EZ197" s="59"/>
      <c r="FA197" s="59"/>
      <c r="FB197" s="59"/>
      <c r="FC197" s="59"/>
      <c r="FD197" s="59"/>
      <c r="FE197" s="59"/>
      <c r="FF197" s="59"/>
      <c r="FG197" s="59"/>
      <c r="FH197" s="59"/>
      <c r="FI197" s="59"/>
      <c r="FJ197" s="59"/>
      <c r="FK197" s="59"/>
      <c r="FL197" s="59"/>
      <c r="FM197" s="59"/>
      <c r="FN197" s="59"/>
      <c r="FO197" s="59"/>
      <c r="FP197" s="59"/>
      <c r="FQ197" s="59"/>
      <c r="FR197" s="59"/>
      <c r="FS197" s="59"/>
      <c r="FT197" s="59"/>
      <c r="FU197" s="59"/>
      <c r="FV197" s="59"/>
      <c r="FW197" s="59"/>
      <c r="FX197" s="59"/>
      <c r="FY197" s="59"/>
      <c r="FZ197" s="59"/>
      <c r="GA197" s="59"/>
      <c r="GB197" s="59"/>
      <c r="GC197" s="59"/>
      <c r="GD197" s="59"/>
      <c r="GE197" s="59"/>
      <c r="GF197" s="59"/>
      <c r="GG197" s="59"/>
      <c r="GH197" s="59"/>
      <c r="GI197" s="59"/>
      <c r="GJ197" s="59"/>
      <c r="GK197" s="59"/>
      <c r="GL197" s="59"/>
      <c r="GM197" s="59"/>
      <c r="GN197" s="59"/>
    </row>
    <row r="198" spans="1:196" x14ac:dyDescent="0.3">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c r="BU198" s="59"/>
      <c r="BV198" s="59"/>
      <c r="BW198" s="59"/>
      <c r="BX198" s="59"/>
      <c r="BY198" s="59"/>
      <c r="BZ198" s="59"/>
      <c r="CA198" s="59"/>
      <c r="CB198" s="59"/>
      <c r="CC198" s="59"/>
      <c r="CD198" s="59"/>
      <c r="CE198" s="59"/>
      <c r="CF198" s="59"/>
      <c r="CG198" s="59"/>
      <c r="CH198" s="59"/>
      <c r="CI198" s="59"/>
      <c r="CJ198" s="59"/>
      <c r="CK198" s="59"/>
      <c r="CL198" s="59"/>
      <c r="CM198" s="59"/>
      <c r="CN198" s="59"/>
      <c r="CO198" s="59"/>
      <c r="CP198" s="59"/>
      <c r="CQ198" s="59"/>
      <c r="CR198" s="59"/>
      <c r="CS198" s="59"/>
      <c r="CT198" s="59"/>
      <c r="CU198" s="59"/>
      <c r="CV198" s="59"/>
      <c r="CW198" s="59"/>
      <c r="CX198" s="59"/>
      <c r="CY198" s="59"/>
      <c r="CZ198" s="59"/>
      <c r="DA198" s="59"/>
      <c r="DB198" s="59"/>
      <c r="DC198" s="59"/>
      <c r="DD198" s="59"/>
      <c r="DE198" s="59"/>
      <c r="DF198" s="59"/>
      <c r="DG198" s="59"/>
      <c r="DH198" s="59"/>
      <c r="DI198" s="59"/>
      <c r="DJ198" s="59"/>
      <c r="DK198" s="59"/>
      <c r="DL198" s="59"/>
      <c r="DM198" s="59"/>
      <c r="DN198" s="59"/>
      <c r="DO198" s="59"/>
      <c r="DP198" s="59"/>
      <c r="DQ198" s="59"/>
      <c r="DR198" s="59"/>
      <c r="DS198" s="59"/>
      <c r="DT198" s="59"/>
      <c r="DU198" s="59"/>
      <c r="DV198" s="59"/>
      <c r="DW198" s="59"/>
      <c r="DX198" s="59"/>
      <c r="DY198" s="59"/>
      <c r="DZ198" s="59"/>
      <c r="EA198" s="59"/>
      <c r="EB198" s="59"/>
      <c r="EC198" s="59"/>
      <c r="ED198" s="59"/>
      <c r="EE198" s="59"/>
      <c r="EF198" s="59"/>
      <c r="EG198" s="59"/>
      <c r="EH198" s="59"/>
      <c r="EI198" s="59"/>
      <c r="EJ198" s="59"/>
      <c r="EK198" s="59"/>
      <c r="EL198" s="59"/>
      <c r="EM198" s="59"/>
      <c r="EN198" s="59"/>
      <c r="EO198" s="59"/>
      <c r="EP198" s="59"/>
      <c r="EQ198" s="59"/>
      <c r="ER198" s="59"/>
      <c r="ES198" s="59"/>
      <c r="ET198" s="59"/>
      <c r="EU198" s="59"/>
      <c r="EV198" s="59"/>
      <c r="EW198" s="59"/>
      <c r="EX198" s="59"/>
      <c r="EY198" s="59"/>
      <c r="EZ198" s="59"/>
      <c r="FA198" s="59"/>
      <c r="FB198" s="59"/>
      <c r="FC198" s="59"/>
      <c r="FD198" s="59"/>
      <c r="FE198" s="59"/>
      <c r="FF198" s="59"/>
      <c r="FG198" s="59"/>
      <c r="FH198" s="59"/>
      <c r="FI198" s="59"/>
      <c r="FJ198" s="59"/>
      <c r="FK198" s="59"/>
      <c r="FL198" s="59"/>
      <c r="FM198" s="59"/>
      <c r="FN198" s="59"/>
      <c r="FO198" s="59"/>
      <c r="FP198" s="59"/>
      <c r="FQ198" s="59"/>
      <c r="FR198" s="59"/>
      <c r="FS198" s="59"/>
      <c r="FT198" s="59"/>
      <c r="FU198" s="59"/>
      <c r="FV198" s="59"/>
      <c r="FW198" s="59"/>
      <c r="FX198" s="59"/>
      <c r="FY198" s="59"/>
      <c r="FZ198" s="59"/>
      <c r="GA198" s="59"/>
      <c r="GB198" s="59"/>
      <c r="GC198" s="59"/>
      <c r="GD198" s="59"/>
      <c r="GE198" s="59"/>
      <c r="GF198" s="59"/>
      <c r="GG198" s="59"/>
      <c r="GH198" s="59"/>
      <c r="GI198" s="59"/>
      <c r="GJ198" s="59"/>
      <c r="GK198" s="59"/>
      <c r="GL198" s="59"/>
      <c r="GM198" s="59"/>
      <c r="GN198" s="59"/>
    </row>
    <row r="199" spans="1:196" x14ac:dyDescent="0.3">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c r="BU199" s="59"/>
      <c r="BV199" s="59"/>
      <c r="BW199" s="59"/>
      <c r="BX199" s="59"/>
      <c r="BY199" s="59"/>
      <c r="BZ199" s="59"/>
      <c r="CA199" s="59"/>
      <c r="CB199" s="59"/>
      <c r="CC199" s="59"/>
      <c r="CD199" s="59"/>
      <c r="CE199" s="59"/>
      <c r="CF199" s="59"/>
      <c r="CG199" s="59"/>
      <c r="CH199" s="59"/>
      <c r="CI199" s="59"/>
      <c r="CJ199" s="59"/>
      <c r="CK199" s="59"/>
      <c r="CL199" s="59"/>
      <c r="CM199" s="59"/>
      <c r="CN199" s="59"/>
      <c r="CO199" s="59"/>
      <c r="CP199" s="59"/>
      <c r="CQ199" s="59"/>
      <c r="CR199" s="59"/>
      <c r="CS199" s="59"/>
      <c r="CT199" s="59"/>
      <c r="CU199" s="59"/>
      <c r="CV199" s="59"/>
      <c r="CW199" s="59"/>
      <c r="CX199" s="59"/>
      <c r="CY199" s="59"/>
      <c r="CZ199" s="59"/>
      <c r="DA199" s="59"/>
      <c r="DB199" s="59"/>
      <c r="DC199" s="59"/>
      <c r="DD199" s="59"/>
      <c r="DE199" s="59"/>
      <c r="DF199" s="59"/>
      <c r="DG199" s="59"/>
      <c r="DH199" s="59"/>
      <c r="DI199" s="59"/>
      <c r="DJ199" s="59"/>
      <c r="DK199" s="59"/>
      <c r="DL199" s="59"/>
      <c r="DM199" s="59"/>
      <c r="DN199" s="59"/>
      <c r="DO199" s="59"/>
      <c r="DP199" s="59"/>
      <c r="DQ199" s="59"/>
      <c r="DR199" s="59"/>
      <c r="DS199" s="59"/>
      <c r="DT199" s="59"/>
      <c r="DU199" s="59"/>
      <c r="DV199" s="59"/>
      <c r="DW199" s="59"/>
      <c r="DX199" s="59"/>
      <c r="DY199" s="59"/>
      <c r="DZ199" s="59"/>
      <c r="EA199" s="59"/>
      <c r="EB199" s="59"/>
      <c r="EC199" s="59"/>
      <c r="ED199" s="59"/>
      <c r="EE199" s="59"/>
      <c r="EF199" s="59"/>
      <c r="EG199" s="59"/>
      <c r="EH199" s="59"/>
      <c r="EI199" s="59"/>
      <c r="EJ199" s="59"/>
      <c r="EK199" s="59"/>
      <c r="EL199" s="59"/>
      <c r="EM199" s="59"/>
      <c r="EN199" s="59"/>
      <c r="EO199" s="59"/>
      <c r="EP199" s="59"/>
      <c r="EQ199" s="59"/>
      <c r="ER199" s="59"/>
      <c r="ES199" s="59"/>
      <c r="ET199" s="59"/>
      <c r="EU199" s="59"/>
      <c r="EV199" s="59"/>
      <c r="EW199" s="59"/>
      <c r="EX199" s="59"/>
      <c r="EY199" s="59"/>
      <c r="EZ199" s="59"/>
      <c r="FA199" s="59"/>
      <c r="FB199" s="59"/>
      <c r="FC199" s="59"/>
      <c r="FD199" s="59"/>
      <c r="FE199" s="59"/>
      <c r="FF199" s="59"/>
      <c r="FG199" s="59"/>
      <c r="FH199" s="59"/>
      <c r="FI199" s="59"/>
      <c r="FJ199" s="59"/>
      <c r="FK199" s="59"/>
      <c r="FL199" s="59"/>
      <c r="FM199" s="59"/>
      <c r="FN199" s="59"/>
      <c r="FO199" s="59"/>
      <c r="FP199" s="59"/>
      <c r="FQ199" s="59"/>
      <c r="FR199" s="59"/>
      <c r="FS199" s="59"/>
      <c r="FT199" s="59"/>
      <c r="FU199" s="59"/>
      <c r="FV199" s="59"/>
      <c r="FW199" s="59"/>
      <c r="FX199" s="59"/>
      <c r="FY199" s="59"/>
      <c r="FZ199" s="59"/>
      <c r="GA199" s="59"/>
      <c r="GB199" s="59"/>
      <c r="GC199" s="59"/>
      <c r="GD199" s="59"/>
      <c r="GE199" s="59"/>
      <c r="GF199" s="59"/>
      <c r="GG199" s="59"/>
      <c r="GH199" s="59"/>
      <c r="GI199" s="59"/>
      <c r="GJ199" s="59"/>
      <c r="GK199" s="59"/>
      <c r="GL199" s="59"/>
      <c r="GM199" s="59"/>
      <c r="GN199" s="59"/>
    </row>
    <row r="200" spans="1:196" x14ac:dyDescent="0.3">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c r="BU200" s="59"/>
      <c r="BV200" s="59"/>
      <c r="BW200" s="59"/>
      <c r="BX200" s="59"/>
      <c r="BY200" s="59"/>
      <c r="BZ200" s="59"/>
      <c r="CA200" s="59"/>
      <c r="CB200" s="59"/>
      <c r="CC200" s="59"/>
      <c r="CD200" s="59"/>
      <c r="CE200" s="59"/>
      <c r="CF200" s="59"/>
      <c r="CG200" s="59"/>
      <c r="CH200" s="59"/>
      <c r="CI200" s="59"/>
      <c r="CJ200" s="59"/>
      <c r="CK200" s="59"/>
      <c r="CL200" s="59"/>
      <c r="CM200" s="59"/>
      <c r="CN200" s="59"/>
      <c r="CO200" s="59"/>
      <c r="CP200" s="59"/>
      <c r="CQ200" s="59"/>
      <c r="CR200" s="59"/>
      <c r="CS200" s="59"/>
      <c r="CT200" s="59"/>
      <c r="CU200" s="59"/>
      <c r="CV200" s="59"/>
      <c r="CW200" s="59"/>
      <c r="CX200" s="59"/>
      <c r="CY200" s="59"/>
      <c r="CZ200" s="59"/>
      <c r="DA200" s="59"/>
      <c r="DB200" s="59"/>
      <c r="DC200" s="59"/>
      <c r="DD200" s="59"/>
      <c r="DE200" s="59"/>
      <c r="DF200" s="59"/>
      <c r="DG200" s="59"/>
      <c r="DH200" s="59"/>
      <c r="DI200" s="59"/>
      <c r="DJ200" s="59"/>
      <c r="DK200" s="59"/>
      <c r="DL200" s="59"/>
      <c r="DM200" s="59"/>
      <c r="DN200" s="59"/>
      <c r="DO200" s="59"/>
      <c r="DP200" s="59"/>
      <c r="DQ200" s="59"/>
      <c r="DR200" s="59"/>
      <c r="DS200" s="59"/>
      <c r="DT200" s="59"/>
      <c r="DU200" s="59"/>
      <c r="DV200" s="59"/>
      <c r="DW200" s="59"/>
      <c r="DX200" s="59"/>
      <c r="DY200" s="59"/>
      <c r="DZ200" s="59"/>
      <c r="EA200" s="59"/>
      <c r="EB200" s="59"/>
      <c r="EC200" s="59"/>
      <c r="ED200" s="59"/>
      <c r="EE200" s="59"/>
      <c r="EF200" s="59"/>
      <c r="EG200" s="59"/>
      <c r="EH200" s="59"/>
      <c r="EI200" s="59"/>
      <c r="EJ200" s="59"/>
      <c r="EK200" s="59"/>
      <c r="EL200" s="59"/>
      <c r="EM200" s="59"/>
      <c r="EN200" s="59"/>
      <c r="EO200" s="59"/>
      <c r="EP200" s="59"/>
      <c r="EQ200" s="59"/>
      <c r="ER200" s="59"/>
      <c r="ES200" s="59"/>
      <c r="ET200" s="59"/>
      <c r="EU200" s="59"/>
      <c r="EV200" s="59"/>
      <c r="EW200" s="59"/>
      <c r="EX200" s="59"/>
      <c r="EY200" s="59"/>
      <c r="EZ200" s="59"/>
      <c r="FA200" s="59"/>
      <c r="FB200" s="59"/>
      <c r="FC200" s="59"/>
      <c r="FD200" s="59"/>
      <c r="FE200" s="59"/>
      <c r="FF200" s="59"/>
      <c r="FG200" s="59"/>
      <c r="FH200" s="59"/>
      <c r="FI200" s="59"/>
      <c r="FJ200" s="59"/>
      <c r="FK200" s="59"/>
      <c r="FL200" s="59"/>
      <c r="FM200" s="59"/>
      <c r="FN200" s="59"/>
      <c r="FO200" s="59"/>
      <c r="FP200" s="59"/>
      <c r="FQ200" s="59"/>
      <c r="FR200" s="59"/>
      <c r="FS200" s="59"/>
      <c r="FT200" s="59"/>
      <c r="FU200" s="59"/>
      <c r="FV200" s="59"/>
      <c r="FW200" s="59"/>
      <c r="FX200" s="59"/>
      <c r="FY200" s="59"/>
      <c r="FZ200" s="59"/>
      <c r="GA200" s="59"/>
      <c r="GB200" s="59"/>
      <c r="GC200" s="59"/>
      <c r="GD200" s="59"/>
      <c r="GE200" s="59"/>
      <c r="GF200" s="59"/>
      <c r="GG200" s="59"/>
      <c r="GH200" s="59"/>
      <c r="GI200" s="59"/>
      <c r="GJ200" s="59"/>
      <c r="GK200" s="59"/>
      <c r="GL200" s="59"/>
      <c r="GM200" s="59"/>
      <c r="GN200" s="59"/>
    </row>
    <row r="201" spans="1:196" x14ac:dyDescent="0.3">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c r="BU201" s="59"/>
      <c r="BV201" s="59"/>
      <c r="BW201" s="59"/>
      <c r="BX201" s="59"/>
      <c r="BY201" s="59"/>
      <c r="BZ201" s="59"/>
      <c r="CA201" s="59"/>
      <c r="CB201" s="59"/>
      <c r="CC201" s="59"/>
      <c r="CD201" s="59"/>
      <c r="CE201" s="59"/>
      <c r="CF201" s="59"/>
      <c r="CG201" s="59"/>
      <c r="CH201" s="59"/>
      <c r="CI201" s="59"/>
      <c r="CJ201" s="59"/>
      <c r="CK201" s="59"/>
      <c r="CL201" s="59"/>
      <c r="CM201" s="59"/>
      <c r="CN201" s="59"/>
      <c r="CO201" s="59"/>
      <c r="CP201" s="59"/>
      <c r="CQ201" s="59"/>
      <c r="CR201" s="59"/>
      <c r="CS201" s="59"/>
      <c r="CT201" s="59"/>
      <c r="CU201" s="59"/>
      <c r="CV201" s="59"/>
      <c r="CW201" s="59"/>
      <c r="CX201" s="59"/>
      <c r="CY201" s="59"/>
      <c r="CZ201" s="59"/>
      <c r="DA201" s="59"/>
      <c r="DB201" s="59"/>
      <c r="DC201" s="59"/>
      <c r="DD201" s="59"/>
      <c r="DE201" s="59"/>
      <c r="DF201" s="59"/>
      <c r="DG201" s="59"/>
      <c r="DH201" s="59"/>
      <c r="DI201" s="59"/>
      <c r="DJ201" s="59"/>
      <c r="DK201" s="59"/>
      <c r="DL201" s="59"/>
      <c r="DM201" s="59"/>
      <c r="DN201" s="59"/>
      <c r="DO201" s="59"/>
      <c r="DP201" s="59"/>
      <c r="DQ201" s="59"/>
      <c r="DR201" s="59"/>
      <c r="DS201" s="59"/>
      <c r="DT201" s="59"/>
      <c r="DU201" s="59"/>
      <c r="DV201" s="59"/>
      <c r="DW201" s="59"/>
      <c r="DX201" s="59"/>
      <c r="DY201" s="59"/>
      <c r="DZ201" s="59"/>
      <c r="EA201" s="59"/>
      <c r="EB201" s="59"/>
      <c r="EC201" s="59"/>
      <c r="ED201" s="59"/>
      <c r="EE201" s="59"/>
      <c r="EF201" s="59"/>
      <c r="EG201" s="59"/>
      <c r="EH201" s="59"/>
      <c r="EI201" s="59"/>
      <c r="EJ201" s="59"/>
      <c r="EK201" s="59"/>
      <c r="EL201" s="59"/>
      <c r="EM201" s="59"/>
      <c r="EN201" s="59"/>
      <c r="EO201" s="59"/>
      <c r="EP201" s="59"/>
      <c r="EQ201" s="59"/>
      <c r="ER201" s="59"/>
      <c r="ES201" s="59"/>
      <c r="ET201" s="59"/>
      <c r="EU201" s="59"/>
      <c r="EV201" s="59"/>
      <c r="EW201" s="59"/>
      <c r="EX201" s="59"/>
      <c r="EY201" s="59"/>
      <c r="EZ201" s="59"/>
      <c r="FA201" s="59"/>
      <c r="FB201" s="59"/>
      <c r="FC201" s="59"/>
      <c r="FD201" s="59"/>
      <c r="FE201" s="59"/>
      <c r="FF201" s="59"/>
      <c r="FG201" s="59"/>
      <c r="FH201" s="59"/>
      <c r="FI201" s="59"/>
      <c r="FJ201" s="59"/>
      <c r="FK201" s="59"/>
      <c r="FL201" s="59"/>
      <c r="FM201" s="59"/>
      <c r="FN201" s="59"/>
      <c r="FO201" s="59"/>
      <c r="FP201" s="59"/>
      <c r="FQ201" s="59"/>
      <c r="FR201" s="59"/>
      <c r="FS201" s="59"/>
      <c r="FT201" s="59"/>
      <c r="FU201" s="59"/>
      <c r="FV201" s="59"/>
      <c r="FW201" s="59"/>
      <c r="FX201" s="59"/>
      <c r="FY201" s="59"/>
      <c r="FZ201" s="59"/>
      <c r="GA201" s="59"/>
      <c r="GB201" s="59"/>
      <c r="GC201" s="59"/>
      <c r="GD201" s="59"/>
      <c r="GE201" s="59"/>
      <c r="GF201" s="59"/>
      <c r="GG201" s="59"/>
      <c r="GH201" s="59"/>
      <c r="GI201" s="59"/>
      <c r="GJ201" s="59"/>
      <c r="GK201" s="59"/>
      <c r="GL201" s="59"/>
      <c r="GM201" s="59"/>
      <c r="GN201" s="59"/>
    </row>
    <row r="202" spans="1:196" x14ac:dyDescent="0.3">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c r="BU202" s="59"/>
      <c r="BV202" s="59"/>
      <c r="BW202" s="59"/>
      <c r="BX202" s="59"/>
      <c r="BY202" s="59"/>
      <c r="BZ202" s="59"/>
      <c r="CA202" s="59"/>
      <c r="CB202" s="59"/>
      <c r="CC202" s="59"/>
      <c r="CD202" s="59"/>
      <c r="CE202" s="59"/>
      <c r="CF202" s="59"/>
      <c r="CG202" s="59"/>
      <c r="CH202" s="59"/>
      <c r="CI202" s="59"/>
      <c r="CJ202" s="59"/>
      <c r="CK202" s="59"/>
      <c r="CL202" s="59"/>
      <c r="CM202" s="59"/>
      <c r="CN202" s="59"/>
      <c r="CO202" s="59"/>
      <c r="CP202" s="59"/>
      <c r="CQ202" s="59"/>
      <c r="CR202" s="59"/>
      <c r="CS202" s="59"/>
      <c r="CT202" s="59"/>
      <c r="CU202" s="59"/>
      <c r="CV202" s="59"/>
      <c r="CW202" s="59"/>
      <c r="CX202" s="59"/>
      <c r="CY202" s="59"/>
      <c r="CZ202" s="59"/>
      <c r="DA202" s="59"/>
      <c r="DB202" s="59"/>
      <c r="DC202" s="59"/>
      <c r="DD202" s="59"/>
      <c r="DE202" s="59"/>
      <c r="DF202" s="59"/>
      <c r="DG202" s="59"/>
      <c r="DH202" s="59"/>
      <c r="DI202" s="59"/>
      <c r="DJ202" s="59"/>
      <c r="DK202" s="59"/>
      <c r="DL202" s="59"/>
      <c r="DM202" s="59"/>
      <c r="DN202" s="59"/>
      <c r="DO202" s="59"/>
      <c r="DP202" s="59"/>
      <c r="DQ202" s="59"/>
      <c r="DR202" s="59"/>
      <c r="DS202" s="59"/>
      <c r="DT202" s="59"/>
      <c r="DU202" s="59"/>
      <c r="DV202" s="59"/>
      <c r="DW202" s="59"/>
      <c r="DX202" s="59"/>
      <c r="DY202" s="59"/>
      <c r="DZ202" s="59"/>
      <c r="EA202" s="59"/>
      <c r="EB202" s="59"/>
      <c r="EC202" s="59"/>
      <c r="ED202" s="59"/>
      <c r="EE202" s="59"/>
      <c r="EF202" s="59"/>
      <c r="EG202" s="59"/>
      <c r="EH202" s="59"/>
      <c r="EI202" s="59"/>
      <c r="EJ202" s="59"/>
      <c r="EK202" s="59"/>
      <c r="EL202" s="59"/>
      <c r="EM202" s="59"/>
      <c r="EN202" s="59"/>
      <c r="EO202" s="59"/>
      <c r="EP202" s="59"/>
      <c r="EQ202" s="59"/>
      <c r="ER202" s="59"/>
      <c r="ES202" s="59"/>
      <c r="ET202" s="59"/>
      <c r="EU202" s="59"/>
      <c r="EV202" s="59"/>
      <c r="EW202" s="59"/>
      <c r="EX202" s="59"/>
      <c r="EY202" s="59"/>
      <c r="EZ202" s="59"/>
      <c r="FA202" s="59"/>
      <c r="FB202" s="59"/>
      <c r="FC202" s="59"/>
      <c r="FD202" s="59"/>
      <c r="FE202" s="59"/>
      <c r="FF202" s="59"/>
      <c r="FG202" s="59"/>
      <c r="FH202" s="59"/>
      <c r="FI202" s="59"/>
      <c r="FJ202" s="59"/>
      <c r="FK202" s="59"/>
      <c r="FL202" s="59"/>
      <c r="FM202" s="59"/>
      <c r="FN202" s="59"/>
      <c r="FO202" s="59"/>
      <c r="FP202" s="59"/>
      <c r="FQ202" s="59"/>
      <c r="FR202" s="59"/>
      <c r="FS202" s="59"/>
      <c r="FT202" s="59"/>
      <c r="FU202" s="59"/>
      <c r="FV202" s="59"/>
      <c r="FW202" s="59"/>
      <c r="FX202" s="59"/>
      <c r="FY202" s="59"/>
      <c r="FZ202" s="59"/>
      <c r="GA202" s="59"/>
      <c r="GB202" s="59"/>
      <c r="GC202" s="59"/>
      <c r="GD202" s="59"/>
      <c r="GE202" s="59"/>
      <c r="GF202" s="59"/>
      <c r="GG202" s="59"/>
      <c r="GH202" s="59"/>
      <c r="GI202" s="59"/>
      <c r="GJ202" s="59"/>
      <c r="GK202" s="59"/>
      <c r="GL202" s="59"/>
      <c r="GM202" s="59"/>
      <c r="GN202" s="59"/>
    </row>
    <row r="203" spans="1:196" x14ac:dyDescent="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c r="BU203" s="59"/>
      <c r="BV203" s="59"/>
      <c r="BW203" s="59"/>
      <c r="BX203" s="59"/>
      <c r="BY203" s="59"/>
      <c r="BZ203" s="59"/>
      <c r="CA203" s="59"/>
      <c r="CB203" s="59"/>
      <c r="CC203" s="59"/>
      <c r="CD203" s="59"/>
      <c r="CE203" s="59"/>
      <c r="CF203" s="59"/>
      <c r="CG203" s="59"/>
      <c r="CH203" s="59"/>
      <c r="CI203" s="59"/>
      <c r="CJ203" s="59"/>
      <c r="CK203" s="59"/>
      <c r="CL203" s="59"/>
      <c r="CM203" s="59"/>
      <c r="CN203" s="59"/>
      <c r="CO203" s="59"/>
      <c r="CP203" s="59"/>
      <c r="CQ203" s="59"/>
      <c r="CR203" s="59"/>
      <c r="CS203" s="59"/>
      <c r="CT203" s="59"/>
      <c r="CU203" s="59"/>
      <c r="CV203" s="59"/>
      <c r="CW203" s="59"/>
      <c r="CX203" s="59"/>
      <c r="CY203" s="59"/>
      <c r="CZ203" s="59"/>
      <c r="DA203" s="59"/>
      <c r="DB203" s="59"/>
      <c r="DC203" s="59"/>
      <c r="DD203" s="59"/>
      <c r="DE203" s="59"/>
      <c r="DF203" s="59"/>
      <c r="DG203" s="59"/>
      <c r="DH203" s="59"/>
      <c r="DI203" s="59"/>
      <c r="DJ203" s="59"/>
      <c r="DK203" s="59"/>
      <c r="DL203" s="59"/>
      <c r="DM203" s="59"/>
      <c r="DN203" s="59"/>
      <c r="DO203" s="59"/>
      <c r="DP203" s="59"/>
      <c r="DQ203" s="59"/>
      <c r="DR203" s="59"/>
      <c r="DS203" s="59"/>
      <c r="DT203" s="59"/>
      <c r="DU203" s="59"/>
      <c r="DV203" s="59"/>
      <c r="DW203" s="59"/>
      <c r="DX203" s="59"/>
      <c r="DY203" s="59"/>
      <c r="DZ203" s="59"/>
      <c r="EA203" s="59"/>
      <c r="EB203" s="59"/>
      <c r="EC203" s="59"/>
      <c r="ED203" s="59"/>
      <c r="EE203" s="59"/>
      <c r="EF203" s="59"/>
      <c r="EG203" s="59"/>
      <c r="EH203" s="59"/>
      <c r="EI203" s="59"/>
      <c r="EJ203" s="59"/>
      <c r="EK203" s="59"/>
      <c r="EL203" s="59"/>
      <c r="EM203" s="59"/>
      <c r="EN203" s="59"/>
      <c r="EO203" s="59"/>
      <c r="EP203" s="59"/>
      <c r="EQ203" s="59"/>
      <c r="ER203" s="59"/>
      <c r="ES203" s="59"/>
      <c r="ET203" s="59"/>
      <c r="EU203" s="59"/>
      <c r="EV203" s="59"/>
      <c r="EW203" s="59"/>
      <c r="EX203" s="59"/>
      <c r="EY203" s="59"/>
      <c r="EZ203" s="59"/>
      <c r="FA203" s="59"/>
      <c r="FB203" s="59"/>
      <c r="FC203" s="59"/>
      <c r="FD203" s="59"/>
      <c r="FE203" s="59"/>
      <c r="FF203" s="59"/>
      <c r="FG203" s="59"/>
      <c r="FH203" s="59"/>
      <c r="FI203" s="59"/>
      <c r="FJ203" s="59"/>
      <c r="FK203" s="59"/>
      <c r="FL203" s="59"/>
      <c r="FM203" s="59"/>
      <c r="FN203" s="59"/>
      <c r="FO203" s="59"/>
      <c r="FP203" s="59"/>
      <c r="FQ203" s="59"/>
      <c r="FR203" s="59"/>
      <c r="FS203" s="59"/>
      <c r="FT203" s="59"/>
      <c r="FU203" s="59"/>
      <c r="FV203" s="59"/>
      <c r="FW203" s="59"/>
      <c r="FX203" s="59"/>
      <c r="FY203" s="59"/>
      <c r="FZ203" s="59"/>
      <c r="GA203" s="59"/>
      <c r="GB203" s="59"/>
      <c r="GC203" s="59"/>
      <c r="GD203" s="59"/>
      <c r="GE203" s="59"/>
      <c r="GF203" s="59"/>
      <c r="GG203" s="59"/>
      <c r="GH203" s="59"/>
      <c r="GI203" s="59"/>
      <c r="GJ203" s="59"/>
      <c r="GK203" s="59"/>
      <c r="GL203" s="59"/>
      <c r="GM203" s="59"/>
      <c r="GN203" s="59"/>
    </row>
    <row r="204" spans="1:196" x14ac:dyDescent="0.3">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c r="BU204" s="59"/>
      <c r="BV204" s="59"/>
      <c r="BW204" s="59"/>
      <c r="BX204" s="59"/>
      <c r="BY204" s="59"/>
      <c r="BZ204" s="59"/>
      <c r="CA204" s="59"/>
      <c r="CB204" s="59"/>
      <c r="CC204" s="59"/>
      <c r="CD204" s="59"/>
      <c r="CE204" s="59"/>
      <c r="CF204" s="59"/>
      <c r="CG204" s="59"/>
      <c r="CH204" s="59"/>
      <c r="CI204" s="59"/>
      <c r="CJ204" s="59"/>
      <c r="CK204" s="59"/>
      <c r="CL204" s="59"/>
      <c r="CM204" s="59"/>
      <c r="CN204" s="59"/>
      <c r="CO204" s="59"/>
      <c r="CP204" s="59"/>
      <c r="CQ204" s="59"/>
      <c r="CR204" s="59"/>
      <c r="CS204" s="59"/>
      <c r="CT204" s="59"/>
      <c r="CU204" s="59"/>
      <c r="CV204" s="59"/>
      <c r="CW204" s="59"/>
      <c r="CX204" s="59"/>
      <c r="CY204" s="59"/>
      <c r="CZ204" s="59"/>
      <c r="DA204" s="59"/>
      <c r="DB204" s="59"/>
      <c r="DC204" s="59"/>
      <c r="DD204" s="59"/>
      <c r="DE204" s="59"/>
      <c r="DF204" s="59"/>
      <c r="DG204" s="59"/>
      <c r="DH204" s="59"/>
      <c r="DI204" s="59"/>
      <c r="DJ204" s="59"/>
      <c r="DK204" s="59"/>
      <c r="DL204" s="59"/>
      <c r="DM204" s="59"/>
      <c r="DN204" s="59"/>
      <c r="DO204" s="59"/>
      <c r="DP204" s="59"/>
      <c r="DQ204" s="59"/>
      <c r="DR204" s="59"/>
      <c r="DS204" s="59"/>
      <c r="DT204" s="59"/>
      <c r="DU204" s="59"/>
      <c r="DV204" s="59"/>
      <c r="DW204" s="59"/>
      <c r="DX204" s="59"/>
      <c r="DY204" s="59"/>
      <c r="DZ204" s="59"/>
      <c r="EA204" s="59"/>
      <c r="EB204" s="59"/>
      <c r="EC204" s="59"/>
      <c r="ED204" s="59"/>
      <c r="EE204" s="59"/>
      <c r="EF204" s="59"/>
      <c r="EG204" s="59"/>
      <c r="EH204" s="59"/>
      <c r="EI204" s="59"/>
      <c r="EJ204" s="59"/>
      <c r="EK204" s="59"/>
      <c r="EL204" s="59"/>
      <c r="EM204" s="59"/>
      <c r="EN204" s="59"/>
      <c r="EO204" s="59"/>
      <c r="EP204" s="59"/>
      <c r="EQ204" s="59"/>
      <c r="ER204" s="59"/>
      <c r="ES204" s="59"/>
      <c r="ET204" s="59"/>
      <c r="EU204" s="59"/>
      <c r="EV204" s="59"/>
      <c r="EW204" s="59"/>
      <c r="EX204" s="59"/>
      <c r="EY204" s="59"/>
      <c r="EZ204" s="59"/>
      <c r="FA204" s="59"/>
      <c r="FB204" s="59"/>
      <c r="FC204" s="59"/>
      <c r="FD204" s="59"/>
      <c r="FE204" s="59"/>
      <c r="FF204" s="59"/>
      <c r="FG204" s="59"/>
      <c r="FH204" s="59"/>
      <c r="FI204" s="59"/>
      <c r="FJ204" s="59"/>
      <c r="FK204" s="59"/>
      <c r="FL204" s="59"/>
      <c r="FM204" s="59"/>
      <c r="FN204" s="59"/>
      <c r="FO204" s="59"/>
      <c r="FP204" s="59"/>
      <c r="FQ204" s="59"/>
      <c r="FR204" s="59"/>
      <c r="FS204" s="59"/>
      <c r="FT204" s="59"/>
      <c r="FU204" s="59"/>
      <c r="FV204" s="59"/>
      <c r="FW204" s="59"/>
      <c r="FX204" s="59"/>
      <c r="FY204" s="59"/>
      <c r="FZ204" s="59"/>
      <c r="GA204" s="59"/>
      <c r="GB204" s="59"/>
      <c r="GC204" s="59"/>
      <c r="GD204" s="59"/>
      <c r="GE204" s="59"/>
      <c r="GF204" s="59"/>
      <c r="GG204" s="59"/>
      <c r="GH204" s="59"/>
      <c r="GI204" s="59"/>
      <c r="GJ204" s="59"/>
      <c r="GK204" s="59"/>
      <c r="GL204" s="59"/>
      <c r="GM204" s="59"/>
      <c r="GN204" s="59"/>
    </row>
    <row r="205" spans="1:196" x14ac:dyDescent="0.3">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c r="BU205" s="59"/>
      <c r="BV205" s="59"/>
      <c r="BW205" s="59"/>
      <c r="BX205" s="59"/>
      <c r="BY205" s="59"/>
      <c r="BZ205" s="59"/>
      <c r="CA205" s="59"/>
      <c r="CB205" s="59"/>
      <c r="CC205" s="59"/>
      <c r="CD205" s="59"/>
      <c r="CE205" s="59"/>
      <c r="CF205" s="59"/>
      <c r="CG205" s="59"/>
      <c r="CH205" s="59"/>
      <c r="CI205" s="59"/>
      <c r="CJ205" s="59"/>
      <c r="CK205" s="59"/>
      <c r="CL205" s="59"/>
      <c r="CM205" s="59"/>
      <c r="CN205" s="59"/>
      <c r="CO205" s="59"/>
      <c r="CP205" s="59"/>
      <c r="CQ205" s="59"/>
      <c r="CR205" s="59"/>
      <c r="CS205" s="59"/>
      <c r="CT205" s="59"/>
      <c r="CU205" s="59"/>
      <c r="CV205" s="59"/>
      <c r="CW205" s="59"/>
      <c r="CX205" s="59"/>
      <c r="CY205" s="59"/>
      <c r="CZ205" s="59"/>
      <c r="DA205" s="59"/>
      <c r="DB205" s="59"/>
      <c r="DC205" s="59"/>
      <c r="DD205" s="59"/>
      <c r="DE205" s="59"/>
      <c r="DF205" s="59"/>
      <c r="DG205" s="59"/>
      <c r="DH205" s="59"/>
      <c r="DI205" s="59"/>
      <c r="DJ205" s="59"/>
      <c r="DK205" s="59"/>
      <c r="DL205" s="59"/>
      <c r="DM205" s="59"/>
      <c r="DN205" s="59"/>
      <c r="DO205" s="59"/>
      <c r="DP205" s="59"/>
      <c r="DQ205" s="59"/>
      <c r="DR205" s="59"/>
      <c r="DS205" s="59"/>
      <c r="DT205" s="59"/>
      <c r="DU205" s="59"/>
      <c r="DV205" s="59"/>
      <c r="DW205" s="59"/>
      <c r="DX205" s="59"/>
      <c r="DY205" s="59"/>
      <c r="DZ205" s="59"/>
      <c r="EA205" s="59"/>
      <c r="EB205" s="59"/>
      <c r="EC205" s="59"/>
      <c r="ED205" s="59"/>
      <c r="EE205" s="59"/>
      <c r="EF205" s="59"/>
      <c r="EG205" s="59"/>
      <c r="EH205" s="59"/>
      <c r="EI205" s="59"/>
      <c r="EJ205" s="59"/>
      <c r="EK205" s="59"/>
      <c r="EL205" s="59"/>
      <c r="EM205" s="59"/>
      <c r="EN205" s="59"/>
      <c r="EO205" s="59"/>
      <c r="EP205" s="59"/>
      <c r="EQ205" s="59"/>
      <c r="ER205" s="59"/>
      <c r="ES205" s="59"/>
      <c r="ET205" s="59"/>
      <c r="EU205" s="59"/>
      <c r="EV205" s="59"/>
      <c r="EW205" s="59"/>
      <c r="EX205" s="59"/>
      <c r="EY205" s="59"/>
      <c r="EZ205" s="59"/>
      <c r="FA205" s="59"/>
      <c r="FB205" s="59"/>
      <c r="FC205" s="59"/>
      <c r="FD205" s="59"/>
      <c r="FE205" s="59"/>
      <c r="FF205" s="59"/>
      <c r="FG205" s="59"/>
      <c r="FH205" s="59"/>
      <c r="FI205" s="59"/>
      <c r="FJ205" s="59"/>
      <c r="FK205" s="59"/>
      <c r="FL205" s="59"/>
      <c r="FM205" s="59"/>
      <c r="FN205" s="59"/>
      <c r="FO205" s="59"/>
      <c r="FP205" s="59"/>
      <c r="FQ205" s="59"/>
      <c r="FR205" s="59"/>
      <c r="FS205" s="59"/>
      <c r="FT205" s="59"/>
      <c r="FU205" s="59"/>
      <c r="FV205" s="59"/>
      <c r="FW205" s="59"/>
      <c r="FX205" s="59"/>
      <c r="FY205" s="59"/>
      <c r="FZ205" s="59"/>
      <c r="GA205" s="59"/>
      <c r="GB205" s="59"/>
      <c r="GC205" s="59"/>
      <c r="GD205" s="59"/>
      <c r="GE205" s="59"/>
      <c r="GF205" s="59"/>
      <c r="GG205" s="59"/>
      <c r="GH205" s="59"/>
      <c r="GI205" s="59"/>
      <c r="GJ205" s="59"/>
      <c r="GK205" s="59"/>
      <c r="GL205" s="59"/>
      <c r="GM205" s="59"/>
      <c r="GN205" s="59"/>
    </row>
    <row r="206" spans="1:196" x14ac:dyDescent="0.3">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c r="BU206" s="59"/>
      <c r="BV206" s="59"/>
      <c r="BW206" s="59"/>
      <c r="BX206" s="59"/>
      <c r="BY206" s="59"/>
      <c r="BZ206" s="59"/>
      <c r="CA206" s="59"/>
      <c r="CB206" s="59"/>
      <c r="CC206" s="59"/>
      <c r="CD206" s="59"/>
      <c r="CE206" s="59"/>
      <c r="CF206" s="59"/>
      <c r="CG206" s="59"/>
      <c r="CH206" s="59"/>
      <c r="CI206" s="59"/>
      <c r="CJ206" s="59"/>
      <c r="CK206" s="59"/>
      <c r="CL206" s="59"/>
      <c r="CM206" s="59"/>
      <c r="CN206" s="59"/>
      <c r="CO206" s="59"/>
      <c r="CP206" s="59"/>
      <c r="CQ206" s="59"/>
      <c r="CR206" s="59"/>
      <c r="CS206" s="59"/>
      <c r="CT206" s="59"/>
      <c r="CU206" s="59"/>
      <c r="CV206" s="59"/>
      <c r="CW206" s="59"/>
      <c r="CX206" s="59"/>
      <c r="CY206" s="59"/>
      <c r="CZ206" s="59"/>
      <c r="DA206" s="59"/>
      <c r="DB206" s="59"/>
      <c r="DC206" s="59"/>
      <c r="DD206" s="59"/>
      <c r="DE206" s="59"/>
      <c r="DF206" s="59"/>
      <c r="DG206" s="59"/>
      <c r="DH206" s="59"/>
      <c r="DI206" s="59"/>
      <c r="DJ206" s="59"/>
      <c r="DK206" s="59"/>
      <c r="DL206" s="59"/>
      <c r="DM206" s="59"/>
      <c r="DN206" s="59"/>
      <c r="DO206" s="59"/>
      <c r="DP206" s="59"/>
      <c r="DQ206" s="59"/>
      <c r="DR206" s="59"/>
      <c r="DS206" s="59"/>
      <c r="DT206" s="59"/>
      <c r="DU206" s="59"/>
      <c r="DV206" s="59"/>
      <c r="DW206" s="59"/>
      <c r="DX206" s="59"/>
      <c r="DY206" s="59"/>
      <c r="DZ206" s="59"/>
      <c r="EA206" s="59"/>
      <c r="EB206" s="59"/>
      <c r="EC206" s="59"/>
      <c r="ED206" s="59"/>
      <c r="EE206" s="59"/>
      <c r="EF206" s="59"/>
      <c r="EG206" s="59"/>
      <c r="EH206" s="59"/>
      <c r="EI206" s="59"/>
      <c r="EJ206" s="59"/>
      <c r="EK206" s="59"/>
      <c r="EL206" s="59"/>
      <c r="EM206" s="59"/>
      <c r="EN206" s="59"/>
      <c r="EO206" s="59"/>
      <c r="EP206" s="59"/>
      <c r="EQ206" s="59"/>
      <c r="ER206" s="59"/>
      <c r="ES206" s="59"/>
      <c r="ET206" s="59"/>
      <c r="EU206" s="59"/>
      <c r="EV206" s="59"/>
      <c r="EW206" s="59"/>
      <c r="EX206" s="59"/>
      <c r="EY206" s="59"/>
      <c r="EZ206" s="59"/>
      <c r="FA206" s="59"/>
      <c r="FB206" s="59"/>
      <c r="FC206" s="59"/>
      <c r="FD206" s="59"/>
      <c r="FE206" s="59"/>
      <c r="FF206" s="59"/>
      <c r="FG206" s="59"/>
      <c r="FH206" s="59"/>
      <c r="FI206" s="59"/>
      <c r="FJ206" s="59"/>
      <c r="FK206" s="59"/>
      <c r="FL206" s="59"/>
      <c r="FM206" s="59"/>
      <c r="FN206" s="59"/>
      <c r="FO206" s="59"/>
      <c r="FP206" s="59"/>
      <c r="FQ206" s="59"/>
      <c r="FR206" s="59"/>
      <c r="FS206" s="59"/>
      <c r="FT206" s="59"/>
      <c r="FU206" s="59"/>
      <c r="FV206" s="59"/>
      <c r="FW206" s="59"/>
      <c r="FX206" s="59"/>
      <c r="FY206" s="59"/>
      <c r="FZ206" s="59"/>
      <c r="GA206" s="59"/>
      <c r="GB206" s="59"/>
      <c r="GC206" s="59"/>
      <c r="GD206" s="59"/>
      <c r="GE206" s="59"/>
      <c r="GF206" s="59"/>
      <c r="GG206" s="59"/>
      <c r="GH206" s="59"/>
      <c r="GI206" s="59"/>
      <c r="GJ206" s="59"/>
      <c r="GK206" s="59"/>
      <c r="GL206" s="59"/>
      <c r="GM206" s="59"/>
      <c r="GN206" s="59"/>
    </row>
    <row r="207" spans="1:196" x14ac:dyDescent="0.3">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c r="BU207" s="59"/>
      <c r="BV207" s="59"/>
      <c r="BW207" s="59"/>
      <c r="BX207" s="59"/>
      <c r="BY207" s="59"/>
      <c r="BZ207" s="59"/>
      <c r="CA207" s="59"/>
      <c r="CB207" s="59"/>
      <c r="CC207" s="59"/>
      <c r="CD207" s="59"/>
      <c r="CE207" s="59"/>
      <c r="CF207" s="59"/>
      <c r="CG207" s="59"/>
      <c r="CH207" s="59"/>
      <c r="CI207" s="59"/>
      <c r="CJ207" s="59"/>
      <c r="CK207" s="59"/>
      <c r="CL207" s="59"/>
      <c r="CM207" s="59"/>
      <c r="CN207" s="59"/>
      <c r="CO207" s="59"/>
      <c r="CP207" s="59"/>
      <c r="CQ207" s="59"/>
      <c r="CR207" s="59"/>
      <c r="CS207" s="59"/>
      <c r="CT207" s="59"/>
      <c r="CU207" s="59"/>
      <c r="CV207" s="59"/>
      <c r="CW207" s="59"/>
      <c r="CX207" s="59"/>
      <c r="CY207" s="59"/>
      <c r="CZ207" s="59"/>
      <c r="DA207" s="59"/>
      <c r="DB207" s="59"/>
      <c r="DC207" s="59"/>
      <c r="DD207" s="59"/>
      <c r="DE207" s="59"/>
      <c r="DF207" s="59"/>
      <c r="DG207" s="59"/>
      <c r="DH207" s="59"/>
      <c r="DI207" s="59"/>
      <c r="DJ207" s="59"/>
      <c r="DK207" s="59"/>
      <c r="DL207" s="59"/>
      <c r="DM207" s="59"/>
      <c r="DN207" s="59"/>
      <c r="DO207" s="59"/>
      <c r="DP207" s="59"/>
      <c r="DQ207" s="59"/>
      <c r="DR207" s="59"/>
      <c r="DS207" s="59"/>
      <c r="DT207" s="59"/>
      <c r="DU207" s="59"/>
      <c r="DV207" s="59"/>
      <c r="DW207" s="59"/>
      <c r="DX207" s="59"/>
      <c r="DY207" s="59"/>
      <c r="DZ207" s="59"/>
      <c r="EA207" s="59"/>
      <c r="EB207" s="59"/>
      <c r="EC207" s="59"/>
      <c r="ED207" s="59"/>
      <c r="EE207" s="59"/>
      <c r="EF207" s="59"/>
      <c r="EG207" s="59"/>
      <c r="EH207" s="59"/>
      <c r="EI207" s="59"/>
      <c r="EJ207" s="59"/>
      <c r="EK207" s="59"/>
      <c r="EL207" s="59"/>
      <c r="EM207" s="59"/>
      <c r="EN207" s="59"/>
      <c r="EO207" s="59"/>
      <c r="EP207" s="59"/>
      <c r="EQ207" s="59"/>
      <c r="ER207" s="59"/>
      <c r="ES207" s="59"/>
      <c r="ET207" s="59"/>
      <c r="EU207" s="59"/>
      <c r="EV207" s="59"/>
      <c r="EW207" s="59"/>
      <c r="EX207" s="59"/>
      <c r="EY207" s="59"/>
      <c r="EZ207" s="59"/>
      <c r="FA207" s="59"/>
      <c r="FB207" s="59"/>
      <c r="FC207" s="59"/>
      <c r="FD207" s="59"/>
      <c r="FE207" s="59"/>
      <c r="FF207" s="59"/>
      <c r="FG207" s="59"/>
      <c r="FH207" s="59"/>
      <c r="FI207" s="59"/>
      <c r="FJ207" s="59"/>
      <c r="FK207" s="59"/>
      <c r="FL207" s="59"/>
      <c r="FM207" s="59"/>
      <c r="FN207" s="59"/>
      <c r="FO207" s="59"/>
      <c r="FP207" s="59"/>
      <c r="FQ207" s="59"/>
      <c r="FR207" s="59"/>
      <c r="FS207" s="59"/>
      <c r="FT207" s="59"/>
      <c r="FU207" s="59"/>
      <c r="FV207" s="59"/>
      <c r="FW207" s="59"/>
      <c r="FX207" s="59"/>
      <c r="FY207" s="59"/>
      <c r="FZ207" s="59"/>
      <c r="GA207" s="59"/>
      <c r="GB207" s="59"/>
      <c r="GC207" s="59"/>
      <c r="GD207" s="59"/>
      <c r="GE207" s="59"/>
      <c r="GF207" s="59"/>
      <c r="GG207" s="59"/>
      <c r="GH207" s="59"/>
      <c r="GI207" s="59"/>
      <c r="GJ207" s="59"/>
      <c r="GK207" s="59"/>
      <c r="GL207" s="59"/>
      <c r="GM207" s="59"/>
      <c r="GN207" s="59"/>
    </row>
    <row r="208" spans="1:196" x14ac:dyDescent="0.3">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c r="BU208" s="59"/>
      <c r="BV208" s="59"/>
      <c r="BW208" s="59"/>
      <c r="BX208" s="59"/>
      <c r="BY208" s="59"/>
      <c r="BZ208" s="59"/>
      <c r="CA208" s="59"/>
      <c r="CB208" s="59"/>
      <c r="CC208" s="59"/>
      <c r="CD208" s="59"/>
      <c r="CE208" s="59"/>
      <c r="CF208" s="59"/>
      <c r="CG208" s="59"/>
      <c r="CH208" s="59"/>
      <c r="CI208" s="59"/>
      <c r="CJ208" s="59"/>
      <c r="CK208" s="59"/>
      <c r="CL208" s="59"/>
      <c r="CM208" s="59"/>
      <c r="CN208" s="59"/>
      <c r="CO208" s="59"/>
      <c r="CP208" s="59"/>
      <c r="CQ208" s="59"/>
      <c r="CR208" s="59"/>
      <c r="CS208" s="59"/>
      <c r="CT208" s="59"/>
      <c r="CU208" s="59"/>
      <c r="CV208" s="59"/>
      <c r="CW208" s="59"/>
      <c r="CX208" s="59"/>
      <c r="CY208" s="59"/>
      <c r="CZ208" s="59"/>
      <c r="DA208" s="59"/>
      <c r="DB208" s="59"/>
      <c r="DC208" s="59"/>
      <c r="DD208" s="59"/>
      <c r="DE208" s="59"/>
      <c r="DF208" s="59"/>
      <c r="DG208" s="59"/>
      <c r="DH208" s="59"/>
      <c r="DI208" s="59"/>
      <c r="DJ208" s="59"/>
      <c r="DK208" s="59"/>
      <c r="DL208" s="59"/>
      <c r="DM208" s="59"/>
      <c r="DN208" s="59"/>
      <c r="DO208" s="59"/>
      <c r="DP208" s="59"/>
      <c r="DQ208" s="59"/>
      <c r="DR208" s="59"/>
      <c r="DS208" s="59"/>
      <c r="DT208" s="59"/>
      <c r="DU208" s="59"/>
      <c r="DV208" s="59"/>
      <c r="DW208" s="59"/>
      <c r="DX208" s="59"/>
      <c r="DY208" s="59"/>
      <c r="DZ208" s="59"/>
      <c r="EA208" s="59"/>
      <c r="EB208" s="59"/>
      <c r="EC208" s="59"/>
      <c r="ED208" s="59"/>
      <c r="EE208" s="59"/>
      <c r="EF208" s="59"/>
      <c r="EG208" s="59"/>
      <c r="EH208" s="59"/>
      <c r="EI208" s="59"/>
      <c r="EJ208" s="59"/>
      <c r="EK208" s="59"/>
      <c r="EL208" s="59"/>
      <c r="EM208" s="59"/>
      <c r="EN208" s="59"/>
      <c r="EO208" s="59"/>
      <c r="EP208" s="59"/>
      <c r="EQ208" s="59"/>
      <c r="ER208" s="59"/>
      <c r="ES208" s="59"/>
      <c r="ET208" s="59"/>
      <c r="EU208" s="59"/>
      <c r="EV208" s="59"/>
      <c r="EW208" s="59"/>
      <c r="EX208" s="59"/>
      <c r="EY208" s="59"/>
      <c r="EZ208" s="59"/>
      <c r="FA208" s="59"/>
      <c r="FB208" s="59"/>
      <c r="FC208" s="59"/>
      <c r="FD208" s="59"/>
      <c r="FE208" s="59"/>
      <c r="FF208" s="59"/>
      <c r="FG208" s="59"/>
      <c r="FH208" s="59"/>
      <c r="FI208" s="59"/>
      <c r="FJ208" s="59"/>
      <c r="FK208" s="59"/>
      <c r="FL208" s="59"/>
      <c r="FM208" s="59"/>
      <c r="FN208" s="59"/>
      <c r="FO208" s="59"/>
      <c r="FP208" s="59"/>
      <c r="FQ208" s="59"/>
      <c r="FR208" s="59"/>
      <c r="FS208" s="59"/>
      <c r="FT208" s="59"/>
      <c r="FU208" s="59"/>
      <c r="FV208" s="59"/>
      <c r="FW208" s="59"/>
      <c r="FX208" s="59"/>
      <c r="FY208" s="59"/>
      <c r="FZ208" s="59"/>
      <c r="GA208" s="59"/>
      <c r="GB208" s="59"/>
      <c r="GC208" s="59"/>
      <c r="GD208" s="59"/>
      <c r="GE208" s="59"/>
      <c r="GF208" s="59"/>
      <c r="GG208" s="59"/>
      <c r="GH208" s="59"/>
      <c r="GI208" s="59"/>
      <c r="GJ208" s="59"/>
      <c r="GK208" s="59"/>
      <c r="GL208" s="59"/>
      <c r="GM208" s="59"/>
      <c r="GN208" s="59"/>
    </row>
    <row r="209" spans="1:196" x14ac:dyDescent="0.3">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c r="BU209" s="59"/>
      <c r="BV209" s="59"/>
      <c r="BW209" s="59"/>
      <c r="BX209" s="59"/>
      <c r="BY209" s="59"/>
      <c r="BZ209" s="59"/>
      <c r="CA209" s="59"/>
      <c r="CB209" s="59"/>
      <c r="CC209" s="59"/>
      <c r="CD209" s="59"/>
      <c r="CE209" s="59"/>
      <c r="CF209" s="59"/>
      <c r="CG209" s="59"/>
      <c r="CH209" s="59"/>
      <c r="CI209" s="59"/>
      <c r="CJ209" s="59"/>
      <c r="CK209" s="59"/>
      <c r="CL209" s="59"/>
      <c r="CM209" s="59"/>
      <c r="CN209" s="59"/>
      <c r="CO209" s="59"/>
      <c r="CP209" s="59"/>
      <c r="CQ209" s="59"/>
      <c r="CR209" s="59"/>
      <c r="CS209" s="59"/>
      <c r="CT209" s="59"/>
      <c r="CU209" s="59"/>
      <c r="CV209" s="59"/>
      <c r="CW209" s="59"/>
      <c r="CX209" s="59"/>
      <c r="CY209" s="59"/>
      <c r="CZ209" s="59"/>
      <c r="DA209" s="59"/>
      <c r="DB209" s="59"/>
      <c r="DC209" s="59"/>
      <c r="DD209" s="59"/>
      <c r="DE209" s="59"/>
      <c r="DF209" s="59"/>
      <c r="DG209" s="59"/>
      <c r="DH209" s="59"/>
      <c r="DI209" s="59"/>
      <c r="DJ209" s="59"/>
      <c r="DK209" s="59"/>
      <c r="DL209" s="59"/>
      <c r="DM209" s="59"/>
      <c r="DN209" s="59"/>
      <c r="DO209" s="59"/>
      <c r="DP209" s="59"/>
      <c r="DQ209" s="59"/>
      <c r="DR209" s="59"/>
      <c r="DS209" s="59"/>
      <c r="DT209" s="59"/>
      <c r="DU209" s="59"/>
      <c r="DV209" s="59"/>
      <c r="DW209" s="59"/>
      <c r="DX209" s="59"/>
      <c r="DY209" s="59"/>
      <c r="DZ209" s="59"/>
      <c r="EA209" s="59"/>
      <c r="EB209" s="59"/>
      <c r="EC209" s="59"/>
      <c r="ED209" s="59"/>
      <c r="EE209" s="59"/>
      <c r="EF209" s="59"/>
      <c r="EG209" s="59"/>
      <c r="EH209" s="59"/>
      <c r="EI209" s="59"/>
      <c r="EJ209" s="59"/>
      <c r="EK209" s="59"/>
      <c r="EL209" s="59"/>
      <c r="EM209" s="59"/>
      <c r="EN209" s="59"/>
      <c r="EO209" s="59"/>
      <c r="EP209" s="59"/>
      <c r="EQ209" s="59"/>
      <c r="ER209" s="59"/>
      <c r="ES209" s="59"/>
      <c r="ET209" s="59"/>
      <c r="EU209" s="59"/>
      <c r="EV209" s="59"/>
      <c r="EW209" s="59"/>
      <c r="EX209" s="59"/>
      <c r="EY209" s="59"/>
      <c r="EZ209" s="59"/>
      <c r="FA209" s="59"/>
      <c r="FB209" s="59"/>
      <c r="FC209" s="59"/>
      <c r="FD209" s="59"/>
      <c r="FE209" s="59"/>
      <c r="FF209" s="59"/>
      <c r="FG209" s="59"/>
      <c r="FH209" s="59"/>
      <c r="FI209" s="59"/>
      <c r="FJ209" s="59"/>
      <c r="FK209" s="59"/>
      <c r="FL209" s="59"/>
      <c r="FM209" s="59"/>
      <c r="FN209" s="59"/>
      <c r="FO209" s="59"/>
      <c r="FP209" s="59"/>
      <c r="FQ209" s="59"/>
      <c r="FR209" s="59"/>
      <c r="FS209" s="59"/>
      <c r="FT209" s="59"/>
      <c r="FU209" s="59"/>
      <c r="FV209" s="59"/>
      <c r="FW209" s="59"/>
      <c r="FX209" s="59"/>
      <c r="FY209" s="59"/>
      <c r="FZ209" s="59"/>
      <c r="GA209" s="59"/>
      <c r="GB209" s="59"/>
      <c r="GC209" s="59"/>
      <c r="GD209" s="59"/>
      <c r="GE209" s="59"/>
      <c r="GF209" s="59"/>
      <c r="GG209" s="59"/>
      <c r="GH209" s="59"/>
      <c r="GI209" s="59"/>
      <c r="GJ209" s="59"/>
      <c r="GK209" s="59"/>
      <c r="GL209" s="59"/>
      <c r="GM209" s="59"/>
      <c r="GN209" s="59"/>
    </row>
    <row r="210" spans="1:196" x14ac:dyDescent="0.3">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c r="BU210" s="59"/>
      <c r="BV210" s="59"/>
      <c r="BW210" s="59"/>
      <c r="BX210" s="59"/>
      <c r="BY210" s="59"/>
      <c r="BZ210" s="59"/>
      <c r="CA210" s="59"/>
      <c r="CB210" s="59"/>
      <c r="CC210" s="59"/>
      <c r="CD210" s="59"/>
      <c r="CE210" s="59"/>
      <c r="CF210" s="59"/>
      <c r="CG210" s="59"/>
      <c r="CH210" s="59"/>
      <c r="CI210" s="59"/>
      <c r="CJ210" s="59"/>
      <c r="CK210" s="59"/>
      <c r="CL210" s="59"/>
      <c r="CM210" s="59"/>
      <c r="CN210" s="59"/>
      <c r="CO210" s="59"/>
      <c r="CP210" s="59"/>
      <c r="CQ210" s="59"/>
      <c r="CR210" s="59"/>
      <c r="CS210" s="59"/>
      <c r="CT210" s="59"/>
      <c r="CU210" s="59"/>
      <c r="CV210" s="59"/>
      <c r="CW210" s="59"/>
      <c r="CX210" s="59"/>
      <c r="CY210" s="59"/>
      <c r="CZ210" s="59"/>
      <c r="DA210" s="59"/>
      <c r="DB210" s="59"/>
      <c r="DC210" s="59"/>
      <c r="DD210" s="59"/>
      <c r="DE210" s="59"/>
      <c r="DF210" s="59"/>
      <c r="DG210" s="59"/>
      <c r="DH210" s="59"/>
      <c r="DI210" s="59"/>
      <c r="DJ210" s="59"/>
      <c r="DK210" s="59"/>
      <c r="DL210" s="59"/>
      <c r="DM210" s="59"/>
      <c r="DN210" s="59"/>
      <c r="DO210" s="59"/>
      <c r="DP210" s="59"/>
      <c r="DQ210" s="59"/>
      <c r="DR210" s="59"/>
      <c r="DS210" s="59"/>
      <c r="DT210" s="59"/>
      <c r="DU210" s="59"/>
      <c r="DV210" s="59"/>
      <c r="DW210" s="59"/>
      <c r="DX210" s="59"/>
      <c r="DY210" s="59"/>
      <c r="DZ210" s="59"/>
      <c r="EA210" s="59"/>
      <c r="EB210" s="59"/>
      <c r="EC210" s="59"/>
      <c r="ED210" s="59"/>
      <c r="EE210" s="59"/>
      <c r="EF210" s="59"/>
      <c r="EG210" s="59"/>
      <c r="EH210" s="59"/>
      <c r="EI210" s="59"/>
      <c r="EJ210" s="59"/>
      <c r="EK210" s="59"/>
      <c r="EL210" s="59"/>
      <c r="EM210" s="59"/>
      <c r="EN210" s="59"/>
      <c r="EO210" s="59"/>
      <c r="EP210" s="59"/>
      <c r="EQ210" s="59"/>
      <c r="ER210" s="59"/>
      <c r="ES210" s="59"/>
      <c r="ET210" s="59"/>
      <c r="EU210" s="59"/>
      <c r="EV210" s="59"/>
      <c r="EW210" s="59"/>
      <c r="EX210" s="59"/>
      <c r="EY210" s="59"/>
      <c r="EZ210" s="59"/>
      <c r="FA210" s="59"/>
      <c r="FB210" s="59"/>
      <c r="FC210" s="59"/>
      <c r="FD210" s="59"/>
      <c r="FE210" s="59"/>
      <c r="FF210" s="59"/>
      <c r="FG210" s="59"/>
      <c r="FH210" s="59"/>
      <c r="FI210" s="59"/>
      <c r="FJ210" s="59"/>
      <c r="FK210" s="59"/>
      <c r="FL210" s="59"/>
      <c r="FM210" s="59"/>
      <c r="FN210" s="59"/>
      <c r="FO210" s="59"/>
      <c r="FP210" s="59"/>
      <c r="FQ210" s="59"/>
      <c r="FR210" s="59"/>
      <c r="FS210" s="59"/>
      <c r="FT210" s="59"/>
      <c r="FU210" s="59"/>
      <c r="FV210" s="59"/>
      <c r="FW210" s="59"/>
      <c r="FX210" s="59"/>
      <c r="FY210" s="59"/>
      <c r="FZ210" s="59"/>
      <c r="GA210" s="59"/>
      <c r="GB210" s="59"/>
      <c r="GC210" s="59"/>
      <c r="GD210" s="59"/>
      <c r="GE210" s="59"/>
      <c r="GF210" s="59"/>
      <c r="GG210" s="59"/>
      <c r="GH210" s="59"/>
      <c r="GI210" s="59"/>
      <c r="GJ210" s="59"/>
      <c r="GK210" s="59"/>
      <c r="GL210" s="59"/>
      <c r="GM210" s="59"/>
      <c r="GN210" s="59"/>
    </row>
    <row r="211" spans="1:196" x14ac:dyDescent="0.3">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c r="BU211" s="59"/>
      <c r="BV211" s="59"/>
      <c r="BW211" s="59"/>
      <c r="BX211" s="59"/>
      <c r="BY211" s="59"/>
      <c r="BZ211" s="59"/>
      <c r="CA211" s="59"/>
      <c r="CB211" s="59"/>
      <c r="CC211" s="59"/>
      <c r="CD211" s="59"/>
      <c r="CE211" s="59"/>
      <c r="CF211" s="59"/>
      <c r="CG211" s="59"/>
      <c r="CH211" s="59"/>
      <c r="CI211" s="59"/>
      <c r="CJ211" s="59"/>
      <c r="CK211" s="59"/>
      <c r="CL211" s="59"/>
      <c r="CM211" s="59"/>
      <c r="CN211" s="59"/>
      <c r="CO211" s="59"/>
      <c r="CP211" s="59"/>
      <c r="CQ211" s="59"/>
      <c r="CR211" s="59"/>
      <c r="CS211" s="59"/>
      <c r="CT211" s="59"/>
      <c r="CU211" s="59"/>
      <c r="CV211" s="59"/>
      <c r="CW211" s="59"/>
      <c r="CX211" s="59"/>
      <c r="CY211" s="59"/>
      <c r="CZ211" s="59"/>
      <c r="DA211" s="59"/>
      <c r="DB211" s="59"/>
      <c r="DC211" s="59"/>
      <c r="DD211" s="59"/>
      <c r="DE211" s="59"/>
      <c r="DF211" s="59"/>
      <c r="DG211" s="59"/>
      <c r="DH211" s="59"/>
      <c r="DI211" s="59"/>
      <c r="DJ211" s="59"/>
      <c r="DK211" s="59"/>
      <c r="DL211" s="59"/>
      <c r="DM211" s="59"/>
      <c r="DN211" s="59"/>
      <c r="DO211" s="59"/>
      <c r="DP211" s="59"/>
      <c r="DQ211" s="59"/>
      <c r="DR211" s="59"/>
      <c r="DS211" s="59"/>
      <c r="DT211" s="59"/>
      <c r="DU211" s="59"/>
      <c r="DV211" s="59"/>
      <c r="DW211" s="59"/>
      <c r="DX211" s="59"/>
      <c r="DY211" s="59"/>
      <c r="DZ211" s="59"/>
      <c r="EA211" s="59"/>
      <c r="EB211" s="59"/>
      <c r="EC211" s="59"/>
      <c r="ED211" s="59"/>
      <c r="EE211" s="59"/>
      <c r="EF211" s="59"/>
      <c r="EG211" s="59"/>
      <c r="EH211" s="59"/>
      <c r="EI211" s="59"/>
      <c r="EJ211" s="59"/>
      <c r="EK211" s="59"/>
      <c r="EL211" s="59"/>
      <c r="EM211" s="59"/>
      <c r="EN211" s="59"/>
      <c r="EO211" s="59"/>
      <c r="EP211" s="59"/>
      <c r="EQ211" s="59"/>
      <c r="ER211" s="59"/>
      <c r="ES211" s="59"/>
      <c r="ET211" s="59"/>
      <c r="EU211" s="59"/>
      <c r="EV211" s="59"/>
      <c r="EW211" s="59"/>
      <c r="EX211" s="59"/>
      <c r="EY211" s="59"/>
      <c r="EZ211" s="59"/>
      <c r="FA211" s="59"/>
      <c r="FB211" s="59"/>
      <c r="FC211" s="59"/>
      <c r="FD211" s="59"/>
      <c r="FE211" s="59"/>
      <c r="FF211" s="59"/>
      <c r="FG211" s="59"/>
      <c r="FH211" s="59"/>
      <c r="FI211" s="59"/>
      <c r="FJ211" s="59"/>
      <c r="FK211" s="59"/>
      <c r="FL211" s="59"/>
      <c r="FM211" s="59"/>
      <c r="FN211" s="59"/>
      <c r="FO211" s="59"/>
      <c r="FP211" s="59"/>
      <c r="FQ211" s="59"/>
      <c r="FR211" s="59"/>
      <c r="FS211" s="59"/>
      <c r="FT211" s="59"/>
      <c r="FU211" s="59"/>
      <c r="FV211" s="59"/>
      <c r="FW211" s="59"/>
      <c r="FX211" s="59"/>
      <c r="FY211" s="59"/>
      <c r="FZ211" s="59"/>
      <c r="GA211" s="59"/>
      <c r="GB211" s="59"/>
      <c r="GC211" s="59"/>
      <c r="GD211" s="59"/>
      <c r="GE211" s="59"/>
      <c r="GF211" s="59"/>
      <c r="GG211" s="59"/>
      <c r="GH211" s="59"/>
      <c r="GI211" s="59"/>
      <c r="GJ211" s="59"/>
      <c r="GK211" s="59"/>
      <c r="GL211" s="59"/>
      <c r="GM211" s="59"/>
      <c r="GN211" s="59"/>
    </row>
    <row r="212" spans="1:196" x14ac:dyDescent="0.3">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c r="BU212" s="59"/>
      <c r="BV212" s="59"/>
      <c r="BW212" s="59"/>
      <c r="BX212" s="59"/>
      <c r="BY212" s="59"/>
      <c r="BZ212" s="59"/>
      <c r="CA212" s="59"/>
      <c r="CB212" s="59"/>
      <c r="CC212" s="59"/>
      <c r="CD212" s="59"/>
      <c r="CE212" s="59"/>
      <c r="CF212" s="59"/>
      <c r="CG212" s="59"/>
      <c r="CH212" s="59"/>
      <c r="CI212" s="59"/>
      <c r="CJ212" s="59"/>
      <c r="CK212" s="59"/>
      <c r="CL212" s="59"/>
      <c r="CM212" s="59"/>
      <c r="CN212" s="59"/>
      <c r="CO212" s="59"/>
      <c r="CP212" s="59"/>
      <c r="CQ212" s="59"/>
      <c r="CR212" s="59"/>
      <c r="CS212" s="59"/>
      <c r="CT212" s="59"/>
      <c r="CU212" s="59"/>
      <c r="CV212" s="59"/>
      <c r="CW212" s="59"/>
      <c r="CX212" s="59"/>
      <c r="CY212" s="59"/>
      <c r="CZ212" s="59"/>
      <c r="DA212" s="59"/>
      <c r="DB212" s="59"/>
      <c r="DC212" s="59"/>
      <c r="DD212" s="59"/>
      <c r="DE212" s="59"/>
      <c r="DF212" s="59"/>
      <c r="DG212" s="59"/>
      <c r="DH212" s="59"/>
      <c r="DI212" s="59"/>
      <c r="DJ212" s="59"/>
      <c r="DK212" s="59"/>
      <c r="DL212" s="59"/>
      <c r="DM212" s="59"/>
      <c r="DN212" s="59"/>
      <c r="DO212" s="59"/>
      <c r="DP212" s="59"/>
      <c r="DQ212" s="59"/>
      <c r="DR212" s="59"/>
      <c r="DS212" s="59"/>
      <c r="DT212" s="59"/>
      <c r="DU212" s="59"/>
      <c r="DV212" s="59"/>
      <c r="DW212" s="59"/>
      <c r="DX212" s="59"/>
      <c r="DY212" s="59"/>
      <c r="DZ212" s="59"/>
      <c r="EA212" s="59"/>
      <c r="EB212" s="59"/>
      <c r="EC212" s="59"/>
      <c r="ED212" s="59"/>
      <c r="EE212" s="59"/>
      <c r="EF212" s="59"/>
      <c r="EG212" s="59"/>
      <c r="EH212" s="59"/>
      <c r="EI212" s="59"/>
      <c r="EJ212" s="59"/>
      <c r="EK212" s="59"/>
      <c r="EL212" s="59"/>
      <c r="EM212" s="59"/>
      <c r="EN212" s="59"/>
      <c r="EO212" s="59"/>
      <c r="EP212" s="59"/>
      <c r="EQ212" s="59"/>
      <c r="ER212" s="59"/>
      <c r="ES212" s="59"/>
      <c r="ET212" s="59"/>
      <c r="EU212" s="59"/>
      <c r="EV212" s="59"/>
      <c r="EW212" s="59"/>
      <c r="EX212" s="59"/>
      <c r="EY212" s="59"/>
      <c r="EZ212" s="59"/>
      <c r="FA212" s="59"/>
      <c r="FB212" s="59"/>
      <c r="FC212" s="59"/>
      <c r="FD212" s="59"/>
      <c r="FE212" s="59"/>
      <c r="FF212" s="59"/>
      <c r="FG212" s="59"/>
      <c r="FH212" s="59"/>
      <c r="FI212" s="59"/>
      <c r="FJ212" s="59"/>
      <c r="FK212" s="59"/>
      <c r="FL212" s="59"/>
      <c r="FM212" s="59"/>
      <c r="FN212" s="59"/>
      <c r="FO212" s="59"/>
      <c r="FP212" s="59"/>
      <c r="FQ212" s="59"/>
      <c r="FR212" s="59"/>
      <c r="FS212" s="59"/>
      <c r="FT212" s="59"/>
      <c r="FU212" s="59"/>
      <c r="FV212" s="59"/>
      <c r="FW212" s="59"/>
      <c r="FX212" s="59"/>
      <c r="FY212" s="59"/>
      <c r="FZ212" s="59"/>
      <c r="GA212" s="59"/>
      <c r="GB212" s="59"/>
      <c r="GC212" s="59"/>
      <c r="GD212" s="59"/>
      <c r="GE212" s="59"/>
      <c r="GF212" s="59"/>
      <c r="GG212" s="59"/>
      <c r="GH212" s="59"/>
      <c r="GI212" s="59"/>
      <c r="GJ212" s="59"/>
      <c r="GK212" s="59"/>
      <c r="GL212" s="59"/>
      <c r="GM212" s="59"/>
      <c r="GN212" s="59"/>
    </row>
    <row r="213" spans="1:196" x14ac:dyDescent="0.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c r="BU213" s="59"/>
      <c r="BV213" s="59"/>
      <c r="BW213" s="59"/>
      <c r="BX213" s="59"/>
      <c r="BY213" s="59"/>
      <c r="BZ213" s="59"/>
      <c r="CA213" s="59"/>
      <c r="CB213" s="59"/>
      <c r="CC213" s="59"/>
      <c r="CD213" s="59"/>
      <c r="CE213" s="59"/>
      <c r="CF213" s="59"/>
      <c r="CG213" s="59"/>
      <c r="CH213" s="59"/>
      <c r="CI213" s="59"/>
      <c r="CJ213" s="59"/>
      <c r="CK213" s="59"/>
      <c r="CL213" s="59"/>
      <c r="CM213" s="59"/>
      <c r="CN213" s="59"/>
      <c r="CO213" s="59"/>
      <c r="CP213" s="59"/>
      <c r="CQ213" s="59"/>
      <c r="CR213" s="59"/>
      <c r="CS213" s="59"/>
      <c r="CT213" s="59"/>
      <c r="CU213" s="59"/>
      <c r="CV213" s="59"/>
      <c r="CW213" s="59"/>
      <c r="CX213" s="59"/>
      <c r="CY213" s="59"/>
      <c r="CZ213" s="59"/>
      <c r="DA213" s="59"/>
      <c r="DB213" s="59"/>
      <c r="DC213" s="59"/>
      <c r="DD213" s="59"/>
      <c r="DE213" s="59"/>
      <c r="DF213" s="59"/>
      <c r="DG213" s="59"/>
      <c r="DH213" s="59"/>
      <c r="DI213" s="59"/>
      <c r="DJ213" s="59"/>
      <c r="DK213" s="59"/>
      <c r="DL213" s="59"/>
      <c r="DM213" s="59"/>
      <c r="DN213" s="59"/>
      <c r="DO213" s="59"/>
      <c r="DP213" s="59"/>
      <c r="DQ213" s="59"/>
      <c r="DR213" s="59"/>
      <c r="DS213" s="59"/>
      <c r="DT213" s="59"/>
      <c r="DU213" s="59"/>
      <c r="DV213" s="59"/>
      <c r="DW213" s="59"/>
      <c r="DX213" s="59"/>
      <c r="DY213" s="59"/>
      <c r="DZ213" s="59"/>
      <c r="EA213" s="59"/>
      <c r="EB213" s="59"/>
      <c r="EC213" s="59"/>
      <c r="ED213" s="59"/>
      <c r="EE213" s="59"/>
      <c r="EF213" s="59"/>
      <c r="EG213" s="59"/>
      <c r="EH213" s="59"/>
      <c r="EI213" s="59"/>
      <c r="EJ213" s="59"/>
      <c r="EK213" s="59"/>
      <c r="EL213" s="59"/>
      <c r="EM213" s="59"/>
      <c r="EN213" s="59"/>
      <c r="EO213" s="59"/>
      <c r="EP213" s="59"/>
      <c r="EQ213" s="59"/>
      <c r="ER213" s="59"/>
      <c r="ES213" s="59"/>
      <c r="ET213" s="59"/>
      <c r="EU213" s="59"/>
      <c r="EV213" s="59"/>
      <c r="EW213" s="59"/>
      <c r="EX213" s="59"/>
      <c r="EY213" s="59"/>
      <c r="EZ213" s="59"/>
      <c r="FA213" s="59"/>
      <c r="FB213" s="59"/>
      <c r="FC213" s="59"/>
      <c r="FD213" s="59"/>
      <c r="FE213" s="59"/>
      <c r="FF213" s="59"/>
      <c r="FG213" s="59"/>
      <c r="FH213" s="59"/>
      <c r="FI213" s="59"/>
      <c r="FJ213" s="59"/>
      <c r="FK213" s="59"/>
      <c r="FL213" s="59"/>
      <c r="FM213" s="59"/>
      <c r="FN213" s="59"/>
      <c r="FO213" s="59"/>
      <c r="FP213" s="59"/>
      <c r="FQ213" s="59"/>
      <c r="FR213" s="59"/>
      <c r="FS213" s="59"/>
      <c r="FT213" s="59"/>
      <c r="FU213" s="59"/>
      <c r="FV213" s="59"/>
      <c r="FW213" s="59"/>
      <c r="FX213" s="59"/>
      <c r="FY213" s="59"/>
      <c r="FZ213" s="59"/>
      <c r="GA213" s="59"/>
      <c r="GB213" s="59"/>
      <c r="GC213" s="59"/>
      <c r="GD213" s="59"/>
      <c r="GE213" s="59"/>
      <c r="GF213" s="59"/>
      <c r="GG213" s="59"/>
      <c r="GH213" s="59"/>
      <c r="GI213" s="59"/>
      <c r="GJ213" s="59"/>
      <c r="GK213" s="59"/>
      <c r="GL213" s="59"/>
      <c r="GM213" s="59"/>
      <c r="GN213" s="59"/>
    </row>
    <row r="214" spans="1:196" x14ac:dyDescent="0.3">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c r="BU214" s="59"/>
      <c r="BV214" s="59"/>
      <c r="BW214" s="59"/>
      <c r="BX214" s="59"/>
      <c r="BY214" s="59"/>
      <c r="BZ214" s="59"/>
      <c r="CA214" s="59"/>
      <c r="CB214" s="59"/>
      <c r="CC214" s="59"/>
      <c r="CD214" s="59"/>
      <c r="CE214" s="59"/>
      <c r="CF214" s="59"/>
      <c r="CG214" s="59"/>
      <c r="CH214" s="59"/>
      <c r="CI214" s="59"/>
      <c r="CJ214" s="59"/>
      <c r="CK214" s="59"/>
      <c r="CL214" s="59"/>
      <c r="CM214" s="59"/>
      <c r="CN214" s="59"/>
      <c r="CO214" s="59"/>
      <c r="CP214" s="59"/>
      <c r="CQ214" s="59"/>
      <c r="CR214" s="59"/>
      <c r="CS214" s="59"/>
      <c r="CT214" s="59"/>
      <c r="CU214" s="59"/>
      <c r="CV214" s="59"/>
      <c r="CW214" s="59"/>
      <c r="CX214" s="59"/>
      <c r="CY214" s="59"/>
      <c r="CZ214" s="59"/>
      <c r="DA214" s="59"/>
      <c r="DB214" s="59"/>
      <c r="DC214" s="59"/>
      <c r="DD214" s="59"/>
      <c r="DE214" s="59"/>
      <c r="DF214" s="59"/>
      <c r="DG214" s="59"/>
      <c r="DH214" s="59"/>
      <c r="DI214" s="59"/>
      <c r="DJ214" s="59"/>
      <c r="DK214" s="59"/>
      <c r="DL214" s="59"/>
      <c r="DM214" s="59"/>
      <c r="DN214" s="59"/>
      <c r="DO214" s="59"/>
      <c r="DP214" s="59"/>
      <c r="DQ214" s="59"/>
      <c r="DR214" s="59"/>
      <c r="DS214" s="59"/>
      <c r="DT214" s="59"/>
      <c r="DU214" s="59"/>
      <c r="DV214" s="59"/>
      <c r="DW214" s="59"/>
      <c r="DX214" s="59"/>
      <c r="DY214" s="59"/>
      <c r="DZ214" s="59"/>
      <c r="EA214" s="59"/>
      <c r="EB214" s="59"/>
      <c r="EC214" s="59"/>
      <c r="ED214" s="59"/>
      <c r="EE214" s="59"/>
      <c r="EF214" s="59"/>
      <c r="EG214" s="59"/>
      <c r="EH214" s="59"/>
      <c r="EI214" s="59"/>
      <c r="EJ214" s="59"/>
      <c r="EK214" s="59"/>
      <c r="EL214" s="59"/>
      <c r="EM214" s="59"/>
      <c r="EN214" s="59"/>
      <c r="EO214" s="59"/>
      <c r="EP214" s="59"/>
      <c r="EQ214" s="59"/>
      <c r="ER214" s="59"/>
      <c r="ES214" s="59"/>
      <c r="ET214" s="59"/>
      <c r="EU214" s="59"/>
      <c r="EV214" s="59"/>
      <c r="EW214" s="59"/>
      <c r="EX214" s="59"/>
      <c r="EY214" s="59"/>
      <c r="EZ214" s="59"/>
      <c r="FA214" s="59"/>
      <c r="FB214" s="59"/>
      <c r="FC214" s="59"/>
      <c r="FD214" s="59"/>
      <c r="FE214" s="59"/>
      <c r="FF214" s="59"/>
      <c r="FG214" s="59"/>
      <c r="FH214" s="59"/>
      <c r="FI214" s="59"/>
      <c r="FJ214" s="59"/>
      <c r="FK214" s="59"/>
      <c r="FL214" s="59"/>
      <c r="FM214" s="59"/>
      <c r="FN214" s="59"/>
      <c r="FO214" s="59"/>
      <c r="FP214" s="59"/>
      <c r="FQ214" s="59"/>
      <c r="FR214" s="59"/>
      <c r="FS214" s="59"/>
      <c r="FT214" s="59"/>
      <c r="FU214" s="59"/>
      <c r="FV214" s="59"/>
      <c r="FW214" s="59"/>
      <c r="FX214" s="59"/>
      <c r="FY214" s="59"/>
      <c r="FZ214" s="59"/>
      <c r="GA214" s="59"/>
      <c r="GB214" s="59"/>
      <c r="GC214" s="59"/>
      <c r="GD214" s="59"/>
      <c r="GE214" s="59"/>
      <c r="GF214" s="59"/>
      <c r="GG214" s="59"/>
      <c r="GH214" s="59"/>
      <c r="GI214" s="59"/>
      <c r="GJ214" s="59"/>
      <c r="GK214" s="59"/>
      <c r="GL214" s="59"/>
      <c r="GM214" s="59"/>
      <c r="GN214" s="59"/>
    </row>
    <row r="215" spans="1:196" x14ac:dyDescent="0.3">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c r="BU215" s="59"/>
      <c r="BV215" s="59"/>
      <c r="BW215" s="59"/>
      <c r="BX215" s="59"/>
      <c r="BY215" s="59"/>
      <c r="BZ215" s="59"/>
      <c r="CA215" s="59"/>
      <c r="CB215" s="59"/>
      <c r="CC215" s="59"/>
      <c r="CD215" s="59"/>
      <c r="CE215" s="59"/>
      <c r="CF215" s="59"/>
      <c r="CG215" s="59"/>
      <c r="CH215" s="59"/>
      <c r="CI215" s="59"/>
      <c r="CJ215" s="59"/>
      <c r="CK215" s="59"/>
      <c r="CL215" s="59"/>
      <c r="CM215" s="59"/>
      <c r="CN215" s="59"/>
      <c r="CO215" s="59"/>
      <c r="CP215" s="59"/>
      <c r="CQ215" s="59"/>
      <c r="CR215" s="59"/>
      <c r="CS215" s="59"/>
      <c r="CT215" s="59"/>
      <c r="CU215" s="59"/>
      <c r="CV215" s="59"/>
      <c r="CW215" s="59"/>
      <c r="CX215" s="59"/>
      <c r="CY215" s="59"/>
      <c r="CZ215" s="59"/>
      <c r="DA215" s="59"/>
      <c r="DB215" s="59"/>
      <c r="DC215" s="59"/>
      <c r="DD215" s="59"/>
      <c r="DE215" s="59"/>
      <c r="DF215" s="59"/>
      <c r="DG215" s="59"/>
      <c r="DH215" s="59"/>
      <c r="DI215" s="59"/>
      <c r="DJ215" s="59"/>
      <c r="DK215" s="59"/>
      <c r="DL215" s="59"/>
      <c r="DM215" s="59"/>
      <c r="DN215" s="59"/>
      <c r="DO215" s="59"/>
      <c r="DP215" s="59"/>
      <c r="DQ215" s="59"/>
      <c r="DR215" s="59"/>
      <c r="DS215" s="59"/>
      <c r="DT215" s="59"/>
      <c r="DU215" s="59"/>
      <c r="DV215" s="59"/>
      <c r="DW215" s="59"/>
      <c r="DX215" s="59"/>
      <c r="DY215" s="59"/>
      <c r="DZ215" s="59"/>
      <c r="EA215" s="59"/>
      <c r="EB215" s="59"/>
      <c r="EC215" s="59"/>
      <c r="ED215" s="59"/>
      <c r="EE215" s="59"/>
      <c r="EF215" s="59"/>
      <c r="EG215" s="59"/>
      <c r="EH215" s="59"/>
      <c r="EI215" s="59"/>
      <c r="EJ215" s="59"/>
      <c r="EK215" s="59"/>
      <c r="EL215" s="59"/>
      <c r="EM215" s="59"/>
      <c r="EN215" s="59"/>
      <c r="EO215" s="59"/>
      <c r="EP215" s="59"/>
      <c r="EQ215" s="59"/>
      <c r="ER215" s="59"/>
      <c r="ES215" s="59"/>
      <c r="ET215" s="59"/>
      <c r="EU215" s="59"/>
      <c r="EV215" s="59"/>
      <c r="EW215" s="59"/>
      <c r="EX215" s="59"/>
      <c r="EY215" s="59"/>
      <c r="EZ215" s="59"/>
      <c r="FA215" s="59"/>
      <c r="FB215" s="59"/>
      <c r="FC215" s="59"/>
      <c r="FD215" s="59"/>
      <c r="FE215" s="59"/>
      <c r="FF215" s="59"/>
      <c r="FG215" s="59"/>
      <c r="FH215" s="59"/>
      <c r="FI215" s="59"/>
      <c r="FJ215" s="59"/>
      <c r="FK215" s="59"/>
      <c r="FL215" s="59"/>
      <c r="FM215" s="59"/>
      <c r="FN215" s="59"/>
      <c r="FO215" s="59"/>
      <c r="FP215" s="59"/>
      <c r="FQ215" s="59"/>
      <c r="FR215" s="59"/>
      <c r="FS215" s="59"/>
      <c r="FT215" s="59"/>
      <c r="FU215" s="59"/>
      <c r="FV215" s="59"/>
      <c r="FW215" s="59"/>
      <c r="FX215" s="59"/>
      <c r="FY215" s="59"/>
      <c r="FZ215" s="59"/>
      <c r="GA215" s="59"/>
      <c r="GB215" s="59"/>
      <c r="GC215" s="59"/>
      <c r="GD215" s="59"/>
      <c r="GE215" s="59"/>
      <c r="GF215" s="59"/>
      <c r="GG215" s="59"/>
      <c r="GH215" s="59"/>
      <c r="GI215" s="59"/>
      <c r="GJ215" s="59"/>
      <c r="GK215" s="59"/>
      <c r="GL215" s="59"/>
      <c r="GM215" s="59"/>
      <c r="GN215" s="59"/>
    </row>
    <row r="216" spans="1:196" x14ac:dyDescent="0.3">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c r="BU216" s="59"/>
      <c r="BV216" s="59"/>
      <c r="BW216" s="59"/>
      <c r="BX216" s="59"/>
      <c r="BY216" s="59"/>
      <c r="BZ216" s="59"/>
      <c r="CA216" s="59"/>
      <c r="CB216" s="59"/>
      <c r="CC216" s="59"/>
      <c r="CD216" s="59"/>
      <c r="CE216" s="59"/>
      <c r="CF216" s="59"/>
      <c r="CG216" s="59"/>
      <c r="CH216" s="59"/>
      <c r="CI216" s="59"/>
      <c r="CJ216" s="59"/>
      <c r="CK216" s="59"/>
      <c r="CL216" s="59"/>
      <c r="CM216" s="59"/>
      <c r="CN216" s="59"/>
      <c r="CO216" s="59"/>
      <c r="CP216" s="59"/>
      <c r="CQ216" s="59"/>
      <c r="CR216" s="59"/>
      <c r="CS216" s="59"/>
      <c r="CT216" s="59"/>
      <c r="CU216" s="59"/>
      <c r="CV216" s="59"/>
      <c r="CW216" s="59"/>
      <c r="CX216" s="59"/>
      <c r="CY216" s="59"/>
      <c r="CZ216" s="59"/>
      <c r="DA216" s="59"/>
      <c r="DB216" s="59"/>
      <c r="DC216" s="59"/>
      <c r="DD216" s="59"/>
      <c r="DE216" s="59"/>
      <c r="DF216" s="59"/>
      <c r="DG216" s="59"/>
      <c r="DH216" s="59"/>
      <c r="DI216" s="59"/>
      <c r="DJ216" s="59"/>
      <c r="DK216" s="59"/>
      <c r="DL216" s="59"/>
      <c r="DM216" s="59"/>
      <c r="DN216" s="59"/>
      <c r="DO216" s="59"/>
      <c r="DP216" s="59"/>
      <c r="DQ216" s="59"/>
      <c r="DR216" s="59"/>
      <c r="DS216" s="59"/>
      <c r="DT216" s="59"/>
      <c r="DU216" s="59"/>
      <c r="DV216" s="59"/>
      <c r="DW216" s="59"/>
      <c r="DX216" s="59"/>
      <c r="DY216" s="59"/>
      <c r="DZ216" s="59"/>
      <c r="EA216" s="59"/>
      <c r="EB216" s="59"/>
      <c r="EC216" s="59"/>
      <c r="ED216" s="59"/>
      <c r="EE216" s="59"/>
      <c r="EF216" s="59"/>
      <c r="EG216" s="59"/>
      <c r="EH216" s="59"/>
      <c r="EI216" s="59"/>
      <c r="EJ216" s="59"/>
      <c r="EK216" s="59"/>
      <c r="EL216" s="59"/>
      <c r="EM216" s="59"/>
      <c r="EN216" s="59"/>
      <c r="EO216" s="59"/>
      <c r="EP216" s="59"/>
      <c r="EQ216" s="59"/>
      <c r="ER216" s="59"/>
      <c r="ES216" s="59"/>
      <c r="ET216" s="59"/>
      <c r="EU216" s="59"/>
      <c r="EV216" s="59"/>
      <c r="EW216" s="59"/>
      <c r="EX216" s="59"/>
      <c r="EY216" s="59"/>
      <c r="EZ216" s="59"/>
      <c r="FA216" s="59"/>
      <c r="FB216" s="59"/>
      <c r="FC216" s="59"/>
      <c r="FD216" s="59"/>
      <c r="FE216" s="59"/>
      <c r="FF216" s="59"/>
      <c r="FG216" s="59"/>
      <c r="FH216" s="59"/>
      <c r="FI216" s="59"/>
      <c r="FJ216" s="59"/>
      <c r="FK216" s="59"/>
      <c r="FL216" s="59"/>
      <c r="FM216" s="59"/>
      <c r="FN216" s="59"/>
      <c r="FO216" s="59"/>
      <c r="FP216" s="59"/>
      <c r="FQ216" s="59"/>
      <c r="FR216" s="59"/>
      <c r="FS216" s="59"/>
      <c r="FT216" s="59"/>
      <c r="FU216" s="59"/>
      <c r="FV216" s="59"/>
      <c r="FW216" s="59"/>
      <c r="FX216" s="59"/>
      <c r="FY216" s="59"/>
      <c r="FZ216" s="59"/>
      <c r="GA216" s="59"/>
      <c r="GB216" s="59"/>
      <c r="GC216" s="59"/>
      <c r="GD216" s="59"/>
      <c r="GE216" s="59"/>
      <c r="GF216" s="59"/>
      <c r="GG216" s="59"/>
      <c r="GH216" s="59"/>
      <c r="GI216" s="59"/>
      <c r="GJ216" s="59"/>
      <c r="GK216" s="59"/>
      <c r="GL216" s="59"/>
      <c r="GM216" s="59"/>
      <c r="GN216" s="59"/>
    </row>
    <row r="217" spans="1:196" x14ac:dyDescent="0.3">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c r="BU217" s="59"/>
      <c r="BV217" s="59"/>
      <c r="BW217" s="59"/>
      <c r="BX217" s="59"/>
      <c r="BY217" s="59"/>
      <c r="BZ217" s="59"/>
      <c r="CA217" s="59"/>
      <c r="CB217" s="59"/>
      <c r="CC217" s="59"/>
      <c r="CD217" s="59"/>
      <c r="CE217" s="59"/>
      <c r="CF217" s="59"/>
      <c r="CG217" s="59"/>
      <c r="CH217" s="59"/>
      <c r="CI217" s="59"/>
      <c r="CJ217" s="59"/>
      <c r="CK217" s="59"/>
      <c r="CL217" s="59"/>
      <c r="CM217" s="59"/>
      <c r="CN217" s="59"/>
      <c r="CO217" s="59"/>
      <c r="CP217" s="59"/>
      <c r="CQ217" s="59"/>
      <c r="CR217" s="59"/>
      <c r="CS217" s="59"/>
      <c r="CT217" s="59"/>
      <c r="CU217" s="59"/>
      <c r="CV217" s="59"/>
      <c r="CW217" s="59"/>
      <c r="CX217" s="59"/>
      <c r="CY217" s="59"/>
      <c r="CZ217" s="59"/>
      <c r="DA217" s="59"/>
      <c r="DB217" s="59"/>
      <c r="DC217" s="59"/>
      <c r="DD217" s="59"/>
      <c r="DE217" s="59"/>
      <c r="DF217" s="59"/>
      <c r="DG217" s="59"/>
      <c r="DH217" s="59"/>
      <c r="DI217" s="59"/>
      <c r="DJ217" s="59"/>
      <c r="DK217" s="59"/>
      <c r="DL217" s="59"/>
      <c r="DM217" s="59"/>
      <c r="DN217" s="59"/>
      <c r="DO217" s="59"/>
      <c r="DP217" s="59"/>
      <c r="DQ217" s="59"/>
      <c r="DR217" s="59"/>
      <c r="DS217" s="59"/>
      <c r="DT217" s="59"/>
      <c r="DU217" s="59"/>
      <c r="DV217" s="59"/>
      <c r="DW217" s="59"/>
      <c r="DX217" s="59"/>
      <c r="DY217" s="59"/>
      <c r="DZ217" s="59"/>
      <c r="EA217" s="59"/>
      <c r="EB217" s="59"/>
      <c r="EC217" s="59"/>
      <c r="ED217" s="59"/>
      <c r="EE217" s="59"/>
      <c r="EF217" s="59"/>
      <c r="EG217" s="59"/>
      <c r="EH217" s="59"/>
      <c r="EI217" s="59"/>
      <c r="EJ217" s="59"/>
      <c r="EK217" s="59"/>
      <c r="EL217" s="59"/>
      <c r="EM217" s="59"/>
      <c r="EN217" s="59"/>
      <c r="EO217" s="59"/>
      <c r="EP217" s="59"/>
      <c r="EQ217" s="59"/>
      <c r="ER217" s="59"/>
      <c r="ES217" s="59"/>
      <c r="ET217" s="59"/>
      <c r="EU217" s="59"/>
      <c r="EV217" s="59"/>
      <c r="EW217" s="59"/>
      <c r="EX217" s="59"/>
      <c r="EY217" s="59"/>
      <c r="EZ217" s="59"/>
      <c r="FA217" s="59"/>
      <c r="FB217" s="59"/>
      <c r="FC217" s="59"/>
      <c r="FD217" s="59"/>
      <c r="FE217" s="59"/>
      <c r="FF217" s="59"/>
      <c r="FG217" s="59"/>
      <c r="FH217" s="59"/>
      <c r="FI217" s="59"/>
      <c r="FJ217" s="59"/>
      <c r="FK217" s="59"/>
      <c r="FL217" s="59"/>
      <c r="FM217" s="59"/>
      <c r="FN217" s="59"/>
      <c r="FO217" s="59"/>
      <c r="FP217" s="59"/>
      <c r="FQ217" s="59"/>
      <c r="FR217" s="59"/>
      <c r="FS217" s="59"/>
      <c r="FT217" s="59"/>
      <c r="FU217" s="59"/>
      <c r="FV217" s="59"/>
      <c r="FW217" s="59"/>
      <c r="FX217" s="59"/>
      <c r="FY217" s="59"/>
      <c r="FZ217" s="59"/>
      <c r="GA217" s="59"/>
      <c r="GB217" s="59"/>
      <c r="GC217" s="59"/>
      <c r="GD217" s="59"/>
      <c r="GE217" s="59"/>
      <c r="GF217" s="59"/>
      <c r="GG217" s="59"/>
      <c r="GH217" s="59"/>
      <c r="GI217" s="59"/>
      <c r="GJ217" s="59"/>
      <c r="GK217" s="59"/>
      <c r="GL217" s="59"/>
      <c r="GM217" s="59"/>
      <c r="GN217" s="59"/>
    </row>
    <row r="218" spans="1:196" x14ac:dyDescent="0.3">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c r="BU218" s="59"/>
      <c r="BV218" s="59"/>
      <c r="BW218" s="59"/>
      <c r="BX218" s="59"/>
      <c r="BY218" s="59"/>
      <c r="BZ218" s="59"/>
      <c r="CA218" s="59"/>
      <c r="CB218" s="59"/>
      <c r="CC218" s="59"/>
      <c r="CD218" s="59"/>
      <c r="CE218" s="59"/>
      <c r="CF218" s="59"/>
      <c r="CG218" s="59"/>
      <c r="CH218" s="59"/>
      <c r="CI218" s="59"/>
      <c r="CJ218" s="59"/>
      <c r="CK218" s="59"/>
      <c r="CL218" s="59"/>
      <c r="CM218" s="59"/>
      <c r="CN218" s="59"/>
      <c r="CO218" s="59"/>
      <c r="CP218" s="59"/>
      <c r="CQ218" s="59"/>
      <c r="CR218" s="59"/>
      <c r="CS218" s="59"/>
      <c r="CT218" s="59"/>
      <c r="CU218" s="59"/>
      <c r="CV218" s="59"/>
      <c r="CW218" s="59"/>
      <c r="CX218" s="59"/>
      <c r="CY218" s="59"/>
      <c r="CZ218" s="59"/>
      <c r="DA218" s="59"/>
      <c r="DB218" s="59"/>
      <c r="DC218" s="59"/>
      <c r="DD218" s="59"/>
      <c r="DE218" s="59"/>
      <c r="DF218" s="59"/>
      <c r="DG218" s="59"/>
      <c r="DH218" s="59"/>
      <c r="DI218" s="59"/>
      <c r="DJ218" s="59"/>
      <c r="DK218" s="59"/>
      <c r="DL218" s="59"/>
      <c r="DM218" s="59"/>
      <c r="DN218" s="59"/>
      <c r="DO218" s="59"/>
      <c r="DP218" s="59"/>
      <c r="DQ218" s="59"/>
      <c r="DR218" s="59"/>
      <c r="DS218" s="59"/>
      <c r="DT218" s="59"/>
      <c r="DU218" s="59"/>
      <c r="DV218" s="59"/>
      <c r="DW218" s="59"/>
      <c r="DX218" s="59"/>
      <c r="DY218" s="59"/>
      <c r="DZ218" s="59"/>
      <c r="EA218" s="59"/>
      <c r="EB218" s="59"/>
      <c r="EC218" s="59"/>
      <c r="ED218" s="59"/>
      <c r="EE218" s="59"/>
      <c r="EF218" s="59"/>
      <c r="EG218" s="59"/>
      <c r="EH218" s="59"/>
      <c r="EI218" s="59"/>
      <c r="EJ218" s="59"/>
      <c r="EK218" s="59"/>
      <c r="EL218" s="59"/>
      <c r="EM218" s="59"/>
      <c r="EN218" s="59"/>
      <c r="EO218" s="59"/>
      <c r="EP218" s="59"/>
      <c r="EQ218" s="59"/>
      <c r="ER218" s="59"/>
      <c r="ES218" s="59"/>
      <c r="ET218" s="59"/>
      <c r="EU218" s="59"/>
      <c r="EV218" s="59"/>
      <c r="EW218" s="59"/>
      <c r="EX218" s="59"/>
      <c r="EY218" s="59"/>
      <c r="EZ218" s="59"/>
      <c r="FA218" s="59"/>
      <c r="FB218" s="59"/>
      <c r="FC218" s="59"/>
      <c r="FD218" s="59"/>
      <c r="FE218" s="59"/>
      <c r="FF218" s="59"/>
      <c r="FG218" s="59"/>
      <c r="FH218" s="59"/>
      <c r="FI218" s="59"/>
      <c r="FJ218" s="59"/>
      <c r="FK218" s="59"/>
      <c r="FL218" s="59"/>
      <c r="FM218" s="59"/>
      <c r="FN218" s="59"/>
      <c r="FO218" s="59"/>
      <c r="FP218" s="59"/>
      <c r="FQ218" s="59"/>
      <c r="FR218" s="59"/>
      <c r="FS218" s="59"/>
      <c r="FT218" s="59"/>
      <c r="FU218" s="59"/>
      <c r="FV218" s="59"/>
      <c r="FW218" s="59"/>
      <c r="FX218" s="59"/>
      <c r="FY218" s="59"/>
      <c r="FZ218" s="59"/>
      <c r="GA218" s="59"/>
      <c r="GB218" s="59"/>
      <c r="GC218" s="59"/>
      <c r="GD218" s="59"/>
      <c r="GE218" s="59"/>
      <c r="GF218" s="59"/>
      <c r="GG218" s="59"/>
      <c r="GH218" s="59"/>
      <c r="GI218" s="59"/>
      <c r="GJ218" s="59"/>
      <c r="GK218" s="59"/>
      <c r="GL218" s="59"/>
      <c r="GM218" s="59"/>
      <c r="GN218" s="59"/>
    </row>
    <row r="219" spans="1:196" x14ac:dyDescent="0.3">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c r="BU219" s="59"/>
      <c r="BV219" s="59"/>
      <c r="BW219" s="59"/>
      <c r="BX219" s="59"/>
      <c r="BY219" s="59"/>
      <c r="BZ219" s="59"/>
      <c r="CA219" s="59"/>
      <c r="CB219" s="59"/>
      <c r="CC219" s="59"/>
      <c r="CD219" s="59"/>
      <c r="CE219" s="59"/>
      <c r="CF219" s="59"/>
      <c r="CG219" s="59"/>
      <c r="CH219" s="59"/>
      <c r="CI219" s="59"/>
      <c r="CJ219" s="59"/>
      <c r="CK219" s="59"/>
      <c r="CL219" s="59"/>
      <c r="CM219" s="59"/>
      <c r="CN219" s="59"/>
      <c r="CO219" s="59"/>
      <c r="CP219" s="59"/>
      <c r="CQ219" s="59"/>
      <c r="CR219" s="59"/>
      <c r="CS219" s="59"/>
      <c r="CT219" s="59"/>
      <c r="CU219" s="59"/>
      <c r="CV219" s="59"/>
      <c r="CW219" s="59"/>
      <c r="CX219" s="59"/>
      <c r="CY219" s="59"/>
      <c r="CZ219" s="59"/>
      <c r="DA219" s="59"/>
      <c r="DB219" s="59"/>
      <c r="DC219" s="59"/>
      <c r="DD219" s="59"/>
      <c r="DE219" s="59"/>
      <c r="DF219" s="59"/>
      <c r="DG219" s="59"/>
      <c r="DH219" s="59"/>
      <c r="DI219" s="59"/>
      <c r="DJ219" s="59"/>
      <c r="DK219" s="59"/>
      <c r="DL219" s="59"/>
      <c r="DM219" s="59"/>
      <c r="DN219" s="59"/>
      <c r="DO219" s="59"/>
      <c r="DP219" s="59"/>
      <c r="DQ219" s="59"/>
      <c r="DR219" s="59"/>
      <c r="DS219" s="59"/>
      <c r="DT219" s="59"/>
      <c r="DU219" s="59"/>
      <c r="DV219" s="59"/>
      <c r="DW219" s="59"/>
      <c r="DX219" s="59"/>
      <c r="DY219" s="59"/>
      <c r="DZ219" s="59"/>
      <c r="EA219" s="59"/>
      <c r="EB219" s="59"/>
      <c r="EC219" s="59"/>
      <c r="ED219" s="59"/>
      <c r="EE219" s="59"/>
      <c r="EF219" s="59"/>
      <c r="EG219" s="59"/>
      <c r="EH219" s="59"/>
      <c r="EI219" s="59"/>
      <c r="EJ219" s="59"/>
      <c r="EK219" s="59"/>
      <c r="EL219" s="59"/>
      <c r="EM219" s="59"/>
      <c r="EN219" s="59"/>
      <c r="EO219" s="59"/>
      <c r="EP219" s="59"/>
      <c r="EQ219" s="59"/>
      <c r="ER219" s="59"/>
      <c r="ES219" s="59"/>
      <c r="ET219" s="59"/>
      <c r="EU219" s="59"/>
      <c r="EV219" s="59"/>
      <c r="EW219" s="59"/>
      <c r="EX219" s="59"/>
      <c r="EY219" s="59"/>
      <c r="EZ219" s="59"/>
      <c r="FA219" s="59"/>
      <c r="FB219" s="59"/>
      <c r="FC219" s="59"/>
      <c r="FD219" s="59"/>
      <c r="FE219" s="59"/>
      <c r="FF219" s="59"/>
      <c r="FG219" s="59"/>
      <c r="FH219" s="59"/>
      <c r="FI219" s="59"/>
      <c r="FJ219" s="59"/>
      <c r="FK219" s="59"/>
      <c r="FL219" s="59"/>
      <c r="FM219" s="59"/>
      <c r="FN219" s="59"/>
      <c r="FO219" s="59"/>
      <c r="FP219" s="59"/>
      <c r="FQ219" s="59"/>
      <c r="FR219" s="59"/>
      <c r="FS219" s="59"/>
      <c r="FT219" s="59"/>
      <c r="FU219" s="59"/>
      <c r="FV219" s="59"/>
      <c r="FW219" s="59"/>
      <c r="FX219" s="59"/>
      <c r="FY219" s="59"/>
      <c r="FZ219" s="59"/>
      <c r="GA219" s="59"/>
      <c r="GB219" s="59"/>
      <c r="GC219" s="59"/>
      <c r="GD219" s="59"/>
      <c r="GE219" s="59"/>
      <c r="GF219" s="59"/>
      <c r="GG219" s="59"/>
      <c r="GH219" s="59"/>
      <c r="GI219" s="59"/>
      <c r="GJ219" s="59"/>
      <c r="GK219" s="59"/>
      <c r="GL219" s="59"/>
      <c r="GM219" s="59"/>
      <c r="GN219" s="59"/>
    </row>
    <row r="220" spans="1:196" x14ac:dyDescent="0.3">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c r="BU220" s="59"/>
      <c r="BV220" s="59"/>
      <c r="BW220" s="59"/>
      <c r="BX220" s="59"/>
      <c r="BY220" s="59"/>
      <c r="BZ220" s="59"/>
      <c r="CA220" s="59"/>
      <c r="CB220" s="59"/>
      <c r="CC220" s="59"/>
      <c r="CD220" s="59"/>
      <c r="CE220" s="59"/>
      <c r="CF220" s="59"/>
      <c r="CG220" s="59"/>
      <c r="CH220" s="59"/>
      <c r="CI220" s="59"/>
      <c r="CJ220" s="59"/>
      <c r="CK220" s="59"/>
      <c r="CL220" s="59"/>
      <c r="CM220" s="59"/>
      <c r="CN220" s="59"/>
      <c r="CO220" s="59"/>
      <c r="CP220" s="59"/>
      <c r="CQ220" s="59"/>
      <c r="CR220" s="59"/>
      <c r="CS220" s="59"/>
      <c r="CT220" s="59"/>
      <c r="CU220" s="59"/>
      <c r="CV220" s="59"/>
      <c r="CW220" s="59"/>
      <c r="CX220" s="59"/>
      <c r="CY220" s="59"/>
      <c r="CZ220" s="59"/>
      <c r="DA220" s="59"/>
      <c r="DB220" s="59"/>
      <c r="DC220" s="59"/>
      <c r="DD220" s="59"/>
      <c r="DE220" s="59"/>
      <c r="DF220" s="59"/>
      <c r="DG220" s="59"/>
      <c r="DH220" s="59"/>
      <c r="DI220" s="59"/>
      <c r="DJ220" s="59"/>
      <c r="DK220" s="59"/>
      <c r="DL220" s="59"/>
      <c r="DM220" s="59"/>
      <c r="DN220" s="59"/>
      <c r="DO220" s="59"/>
      <c r="DP220" s="59"/>
      <c r="DQ220" s="59"/>
      <c r="DR220" s="59"/>
      <c r="DS220" s="59"/>
      <c r="DT220" s="59"/>
      <c r="DU220" s="59"/>
      <c r="DV220" s="59"/>
      <c r="DW220" s="59"/>
      <c r="DX220" s="59"/>
      <c r="DY220" s="59"/>
      <c r="DZ220" s="59"/>
      <c r="EA220" s="59"/>
      <c r="EB220" s="59"/>
      <c r="EC220" s="59"/>
      <c r="ED220" s="59"/>
      <c r="EE220" s="59"/>
      <c r="EF220" s="59"/>
      <c r="EG220" s="59"/>
      <c r="EH220" s="59"/>
      <c r="EI220" s="59"/>
      <c r="EJ220" s="59"/>
      <c r="EK220" s="59"/>
      <c r="EL220" s="59"/>
      <c r="EM220" s="59"/>
      <c r="EN220" s="59"/>
      <c r="EO220" s="59"/>
      <c r="EP220" s="59"/>
      <c r="EQ220" s="59"/>
      <c r="ER220" s="59"/>
      <c r="ES220" s="59"/>
      <c r="ET220" s="59"/>
      <c r="EU220" s="59"/>
      <c r="EV220" s="59"/>
      <c r="EW220" s="59"/>
      <c r="EX220" s="59"/>
      <c r="EY220" s="59"/>
      <c r="EZ220" s="59"/>
      <c r="FA220" s="59"/>
      <c r="FB220" s="59"/>
      <c r="FC220" s="59"/>
      <c r="FD220" s="59"/>
      <c r="FE220" s="59"/>
      <c r="FF220" s="59"/>
      <c r="FG220" s="59"/>
      <c r="FH220" s="59"/>
      <c r="FI220" s="59"/>
      <c r="FJ220" s="59"/>
      <c r="FK220" s="59"/>
      <c r="FL220" s="59"/>
      <c r="FM220" s="59"/>
      <c r="FN220" s="59"/>
      <c r="FO220" s="59"/>
      <c r="FP220" s="59"/>
      <c r="FQ220" s="59"/>
      <c r="FR220" s="59"/>
      <c r="FS220" s="59"/>
      <c r="FT220" s="59"/>
      <c r="FU220" s="59"/>
      <c r="FV220" s="59"/>
      <c r="FW220" s="59"/>
      <c r="FX220" s="59"/>
      <c r="FY220" s="59"/>
      <c r="FZ220" s="59"/>
      <c r="GA220" s="59"/>
      <c r="GB220" s="59"/>
      <c r="GC220" s="59"/>
      <c r="GD220" s="59"/>
      <c r="GE220" s="59"/>
      <c r="GF220" s="59"/>
      <c r="GG220" s="59"/>
      <c r="GH220" s="59"/>
      <c r="GI220" s="59"/>
      <c r="GJ220" s="59"/>
      <c r="GK220" s="59"/>
      <c r="GL220" s="59"/>
      <c r="GM220" s="59"/>
      <c r="GN220" s="59"/>
    </row>
    <row r="221" spans="1:196" x14ac:dyDescent="0.3">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c r="BU221" s="59"/>
      <c r="BV221" s="59"/>
      <c r="BW221" s="59"/>
      <c r="BX221" s="59"/>
      <c r="BY221" s="59"/>
      <c r="BZ221" s="59"/>
      <c r="CA221" s="59"/>
      <c r="CB221" s="59"/>
      <c r="CC221" s="59"/>
      <c r="CD221" s="59"/>
      <c r="CE221" s="59"/>
      <c r="CF221" s="59"/>
      <c r="CG221" s="59"/>
      <c r="CH221" s="59"/>
      <c r="CI221" s="59"/>
      <c r="CJ221" s="59"/>
      <c r="CK221" s="59"/>
      <c r="CL221" s="59"/>
      <c r="CM221" s="59"/>
      <c r="CN221" s="59"/>
      <c r="CO221" s="59"/>
      <c r="CP221" s="59"/>
      <c r="CQ221" s="59"/>
      <c r="CR221" s="59"/>
      <c r="CS221" s="59"/>
      <c r="CT221" s="59"/>
      <c r="CU221" s="59"/>
      <c r="CV221" s="59"/>
      <c r="CW221" s="59"/>
      <c r="CX221" s="59"/>
      <c r="CY221" s="59"/>
      <c r="CZ221" s="59"/>
      <c r="DA221" s="59"/>
      <c r="DB221" s="59"/>
      <c r="DC221" s="59"/>
      <c r="DD221" s="59"/>
      <c r="DE221" s="59"/>
      <c r="DF221" s="59"/>
      <c r="DG221" s="59"/>
      <c r="DH221" s="59"/>
      <c r="DI221" s="59"/>
      <c r="DJ221" s="59"/>
      <c r="DK221" s="59"/>
      <c r="DL221" s="59"/>
      <c r="DM221" s="59"/>
      <c r="DN221" s="59"/>
      <c r="DO221" s="59"/>
      <c r="DP221" s="59"/>
      <c r="DQ221" s="59"/>
      <c r="DR221" s="59"/>
      <c r="DS221" s="59"/>
      <c r="DT221" s="59"/>
      <c r="DU221" s="59"/>
      <c r="DV221" s="59"/>
      <c r="DW221" s="59"/>
      <c r="DX221" s="59"/>
      <c r="DY221" s="59"/>
      <c r="DZ221" s="59"/>
      <c r="EA221" s="59"/>
      <c r="EB221" s="59"/>
      <c r="EC221" s="59"/>
      <c r="ED221" s="59"/>
      <c r="EE221" s="59"/>
      <c r="EF221" s="59"/>
      <c r="EG221" s="59"/>
      <c r="EH221" s="59"/>
      <c r="EI221" s="59"/>
      <c r="EJ221" s="59"/>
      <c r="EK221" s="59"/>
      <c r="EL221" s="59"/>
      <c r="EM221" s="59"/>
      <c r="EN221" s="59"/>
      <c r="EO221" s="59"/>
      <c r="EP221" s="59"/>
      <c r="EQ221" s="59"/>
      <c r="ER221" s="59"/>
      <c r="ES221" s="59"/>
      <c r="ET221" s="59"/>
      <c r="EU221" s="59"/>
      <c r="EV221" s="59"/>
      <c r="EW221" s="59"/>
      <c r="EX221" s="59"/>
      <c r="EY221" s="59"/>
      <c r="EZ221" s="59"/>
      <c r="FA221" s="59"/>
      <c r="FB221" s="59"/>
      <c r="FC221" s="59"/>
      <c r="FD221" s="59"/>
      <c r="FE221" s="59"/>
      <c r="FF221" s="59"/>
      <c r="FG221" s="59"/>
      <c r="FH221" s="59"/>
      <c r="FI221" s="59"/>
      <c r="FJ221" s="59"/>
      <c r="FK221" s="59"/>
      <c r="FL221" s="59"/>
      <c r="FM221" s="59"/>
      <c r="FN221" s="59"/>
      <c r="FO221" s="59"/>
      <c r="FP221" s="59"/>
      <c r="FQ221" s="59"/>
      <c r="FR221" s="59"/>
      <c r="FS221" s="59"/>
      <c r="FT221" s="59"/>
      <c r="FU221" s="59"/>
      <c r="FV221" s="59"/>
      <c r="FW221" s="59"/>
      <c r="FX221" s="59"/>
      <c r="FY221" s="59"/>
      <c r="FZ221" s="59"/>
      <c r="GA221" s="59"/>
      <c r="GB221" s="59"/>
      <c r="GC221" s="59"/>
      <c r="GD221" s="59"/>
      <c r="GE221" s="59"/>
      <c r="GF221" s="59"/>
      <c r="GG221" s="59"/>
      <c r="GH221" s="59"/>
      <c r="GI221" s="59"/>
      <c r="GJ221" s="59"/>
      <c r="GK221" s="59"/>
      <c r="GL221" s="59"/>
      <c r="GM221" s="59"/>
      <c r="GN221" s="59"/>
    </row>
    <row r="222" spans="1:196" x14ac:dyDescent="0.3">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c r="BU222" s="59"/>
      <c r="BV222" s="59"/>
      <c r="BW222" s="59"/>
      <c r="BX222" s="59"/>
      <c r="BY222" s="59"/>
      <c r="BZ222" s="59"/>
      <c r="CA222" s="59"/>
      <c r="CB222" s="59"/>
      <c r="CC222" s="59"/>
      <c r="CD222" s="59"/>
      <c r="CE222" s="59"/>
      <c r="CF222" s="59"/>
      <c r="CG222" s="59"/>
      <c r="CH222" s="59"/>
      <c r="CI222" s="59"/>
      <c r="CJ222" s="59"/>
      <c r="CK222" s="59"/>
      <c r="CL222" s="59"/>
      <c r="CM222" s="59"/>
      <c r="CN222" s="59"/>
      <c r="CO222" s="59"/>
      <c r="CP222" s="59"/>
      <c r="CQ222" s="59"/>
      <c r="CR222" s="59"/>
      <c r="CS222" s="59"/>
      <c r="CT222" s="59"/>
      <c r="CU222" s="59"/>
      <c r="CV222" s="59"/>
      <c r="CW222" s="59"/>
      <c r="CX222" s="59"/>
      <c r="CY222" s="59"/>
      <c r="CZ222" s="59"/>
      <c r="DA222" s="59"/>
      <c r="DB222" s="59"/>
      <c r="DC222" s="59"/>
      <c r="DD222" s="59"/>
      <c r="DE222" s="59"/>
      <c r="DF222" s="59"/>
      <c r="DG222" s="59"/>
      <c r="DH222" s="59"/>
      <c r="DI222" s="59"/>
      <c r="DJ222" s="59"/>
      <c r="DK222" s="59"/>
      <c r="DL222" s="59"/>
      <c r="DM222" s="59"/>
      <c r="DN222" s="59"/>
      <c r="DO222" s="59"/>
      <c r="DP222" s="59"/>
      <c r="DQ222" s="59"/>
      <c r="DR222" s="59"/>
      <c r="DS222" s="59"/>
      <c r="DT222" s="59"/>
      <c r="DU222" s="59"/>
      <c r="DV222" s="59"/>
      <c r="DW222" s="59"/>
      <c r="DX222" s="59"/>
      <c r="DY222" s="59"/>
      <c r="DZ222" s="59"/>
      <c r="EA222" s="59"/>
      <c r="EB222" s="59"/>
      <c r="EC222" s="59"/>
      <c r="ED222" s="59"/>
      <c r="EE222" s="59"/>
      <c r="EF222" s="59"/>
      <c r="EG222" s="59"/>
      <c r="EH222" s="59"/>
      <c r="EI222" s="59"/>
      <c r="EJ222" s="59"/>
      <c r="EK222" s="59"/>
      <c r="EL222" s="59"/>
      <c r="EM222" s="59"/>
      <c r="EN222" s="59"/>
      <c r="EO222" s="59"/>
      <c r="EP222" s="59"/>
      <c r="EQ222" s="59"/>
      <c r="ER222" s="59"/>
      <c r="ES222" s="59"/>
      <c r="ET222" s="59"/>
      <c r="EU222" s="59"/>
      <c r="EV222" s="59"/>
      <c r="EW222" s="59"/>
      <c r="EX222" s="59"/>
      <c r="EY222" s="59"/>
      <c r="EZ222" s="59"/>
      <c r="FA222" s="59"/>
      <c r="FB222" s="59"/>
      <c r="FC222" s="59"/>
      <c r="FD222" s="59"/>
      <c r="FE222" s="59"/>
      <c r="FF222" s="59"/>
      <c r="FG222" s="59"/>
      <c r="FH222" s="59"/>
      <c r="FI222" s="59"/>
      <c r="FJ222" s="59"/>
      <c r="FK222" s="59"/>
      <c r="FL222" s="59"/>
      <c r="FM222" s="59"/>
      <c r="FN222" s="59"/>
      <c r="FO222" s="59"/>
      <c r="FP222" s="59"/>
      <c r="FQ222" s="59"/>
      <c r="FR222" s="59"/>
      <c r="FS222" s="59"/>
      <c r="FT222" s="59"/>
      <c r="FU222" s="59"/>
      <c r="FV222" s="59"/>
      <c r="FW222" s="59"/>
      <c r="FX222" s="59"/>
      <c r="FY222" s="59"/>
      <c r="FZ222" s="59"/>
      <c r="GA222" s="59"/>
      <c r="GB222" s="59"/>
      <c r="GC222" s="59"/>
      <c r="GD222" s="59"/>
      <c r="GE222" s="59"/>
      <c r="GF222" s="59"/>
      <c r="GG222" s="59"/>
      <c r="GH222" s="59"/>
      <c r="GI222" s="59"/>
      <c r="GJ222" s="59"/>
      <c r="GK222" s="59"/>
      <c r="GL222" s="59"/>
      <c r="GM222" s="59"/>
      <c r="GN222" s="59"/>
    </row>
    <row r="223" spans="1:196" x14ac:dyDescent="0.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c r="BU223" s="59"/>
      <c r="BV223" s="59"/>
      <c r="BW223" s="59"/>
      <c r="BX223" s="59"/>
      <c r="BY223" s="59"/>
      <c r="BZ223" s="59"/>
      <c r="CA223" s="59"/>
      <c r="CB223" s="59"/>
      <c r="CC223" s="59"/>
      <c r="CD223" s="59"/>
      <c r="CE223" s="59"/>
      <c r="CF223" s="59"/>
      <c r="CG223" s="59"/>
      <c r="CH223" s="59"/>
      <c r="CI223" s="59"/>
      <c r="CJ223" s="59"/>
      <c r="CK223" s="59"/>
      <c r="CL223" s="59"/>
      <c r="CM223" s="59"/>
      <c r="CN223" s="59"/>
      <c r="CO223" s="59"/>
      <c r="CP223" s="59"/>
      <c r="CQ223" s="59"/>
      <c r="CR223" s="59"/>
      <c r="CS223" s="59"/>
      <c r="CT223" s="59"/>
      <c r="CU223" s="59"/>
      <c r="CV223" s="59"/>
      <c r="CW223" s="59"/>
      <c r="CX223" s="59"/>
      <c r="CY223" s="59"/>
      <c r="CZ223" s="59"/>
      <c r="DA223" s="59"/>
      <c r="DB223" s="59"/>
      <c r="DC223" s="59"/>
      <c r="DD223" s="59"/>
      <c r="DE223" s="59"/>
      <c r="DF223" s="59"/>
      <c r="DG223" s="59"/>
      <c r="DH223" s="59"/>
      <c r="DI223" s="59"/>
      <c r="DJ223" s="59"/>
      <c r="DK223" s="59"/>
      <c r="DL223" s="59"/>
      <c r="DM223" s="59"/>
      <c r="DN223" s="59"/>
      <c r="DO223" s="59"/>
      <c r="DP223" s="59"/>
      <c r="DQ223" s="59"/>
      <c r="DR223" s="59"/>
      <c r="DS223" s="59"/>
      <c r="DT223" s="59"/>
      <c r="DU223" s="59"/>
      <c r="DV223" s="59"/>
      <c r="DW223" s="59"/>
      <c r="DX223" s="59"/>
      <c r="DY223" s="59"/>
      <c r="DZ223" s="59"/>
      <c r="EA223" s="59"/>
      <c r="EB223" s="59"/>
      <c r="EC223" s="59"/>
      <c r="ED223" s="59"/>
      <c r="EE223" s="59"/>
      <c r="EF223" s="59"/>
      <c r="EG223" s="59"/>
      <c r="EH223" s="59"/>
      <c r="EI223" s="59"/>
      <c r="EJ223" s="59"/>
      <c r="EK223" s="59"/>
      <c r="EL223" s="59"/>
      <c r="EM223" s="59"/>
      <c r="EN223" s="59"/>
      <c r="EO223" s="59"/>
      <c r="EP223" s="59"/>
      <c r="EQ223" s="59"/>
      <c r="ER223" s="59"/>
      <c r="ES223" s="59"/>
      <c r="ET223" s="59"/>
      <c r="EU223" s="59"/>
      <c r="EV223" s="59"/>
      <c r="EW223" s="59"/>
      <c r="EX223" s="59"/>
      <c r="EY223" s="59"/>
      <c r="EZ223" s="59"/>
      <c r="FA223" s="59"/>
      <c r="FB223" s="59"/>
      <c r="FC223" s="59"/>
      <c r="FD223" s="59"/>
      <c r="FE223" s="59"/>
      <c r="FF223" s="59"/>
      <c r="FG223" s="59"/>
      <c r="FH223" s="59"/>
      <c r="FI223" s="59"/>
      <c r="FJ223" s="59"/>
      <c r="FK223" s="59"/>
      <c r="FL223" s="59"/>
      <c r="FM223" s="59"/>
      <c r="FN223" s="59"/>
      <c r="FO223" s="59"/>
      <c r="FP223" s="59"/>
      <c r="FQ223" s="59"/>
      <c r="FR223" s="59"/>
      <c r="FS223" s="59"/>
      <c r="FT223" s="59"/>
      <c r="FU223" s="59"/>
      <c r="FV223" s="59"/>
      <c r="FW223" s="59"/>
      <c r="FX223" s="59"/>
      <c r="FY223" s="59"/>
      <c r="FZ223" s="59"/>
      <c r="GA223" s="59"/>
      <c r="GB223" s="59"/>
      <c r="GC223" s="59"/>
      <c r="GD223" s="59"/>
      <c r="GE223" s="59"/>
      <c r="GF223" s="59"/>
      <c r="GG223" s="59"/>
      <c r="GH223" s="59"/>
      <c r="GI223" s="59"/>
      <c r="GJ223" s="59"/>
      <c r="GK223" s="59"/>
      <c r="GL223" s="59"/>
      <c r="GM223" s="59"/>
      <c r="GN223" s="59"/>
    </row>
    <row r="224" spans="1:196" x14ac:dyDescent="0.3">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c r="BU224" s="59"/>
      <c r="BV224" s="59"/>
      <c r="BW224" s="59"/>
      <c r="BX224" s="59"/>
      <c r="BY224" s="59"/>
      <c r="BZ224" s="59"/>
      <c r="CA224" s="59"/>
      <c r="CB224" s="59"/>
      <c r="CC224" s="59"/>
      <c r="CD224" s="59"/>
      <c r="CE224" s="59"/>
      <c r="CF224" s="59"/>
      <c r="CG224" s="59"/>
      <c r="CH224" s="59"/>
      <c r="CI224" s="59"/>
      <c r="CJ224" s="59"/>
      <c r="CK224" s="59"/>
      <c r="CL224" s="59"/>
      <c r="CM224" s="59"/>
      <c r="CN224" s="59"/>
      <c r="CO224" s="59"/>
      <c r="CP224" s="59"/>
      <c r="CQ224" s="59"/>
      <c r="CR224" s="59"/>
      <c r="CS224" s="59"/>
      <c r="CT224" s="59"/>
      <c r="CU224" s="59"/>
      <c r="CV224" s="59"/>
      <c r="CW224" s="59"/>
      <c r="CX224" s="59"/>
      <c r="CY224" s="59"/>
      <c r="CZ224" s="59"/>
      <c r="DA224" s="59"/>
      <c r="DB224" s="59"/>
      <c r="DC224" s="59"/>
      <c r="DD224" s="59"/>
      <c r="DE224" s="59"/>
      <c r="DF224" s="59"/>
      <c r="DG224" s="59"/>
      <c r="DH224" s="59"/>
      <c r="DI224" s="59"/>
      <c r="DJ224" s="59"/>
      <c r="DK224" s="59"/>
      <c r="DL224" s="59"/>
      <c r="DM224" s="59"/>
      <c r="DN224" s="59"/>
      <c r="DO224" s="59"/>
      <c r="DP224" s="59"/>
      <c r="DQ224" s="59"/>
      <c r="DR224" s="59"/>
      <c r="DS224" s="59"/>
      <c r="DT224" s="59"/>
      <c r="DU224" s="59"/>
      <c r="DV224" s="59"/>
      <c r="DW224" s="59"/>
      <c r="DX224" s="59"/>
      <c r="DY224" s="59"/>
      <c r="DZ224" s="59"/>
      <c r="EA224" s="59"/>
      <c r="EB224" s="59"/>
      <c r="EC224" s="59"/>
      <c r="ED224" s="59"/>
      <c r="EE224" s="59"/>
      <c r="EF224" s="59"/>
      <c r="EG224" s="59"/>
      <c r="EH224" s="59"/>
      <c r="EI224" s="59"/>
      <c r="EJ224" s="59"/>
      <c r="EK224" s="59"/>
      <c r="EL224" s="59"/>
      <c r="EM224" s="59"/>
      <c r="EN224" s="59"/>
      <c r="EO224" s="59"/>
      <c r="EP224" s="59"/>
      <c r="EQ224" s="59"/>
      <c r="ER224" s="59"/>
      <c r="ES224" s="59"/>
      <c r="ET224" s="59"/>
      <c r="EU224" s="59"/>
      <c r="EV224" s="59"/>
      <c r="EW224" s="59"/>
      <c r="EX224" s="59"/>
      <c r="EY224" s="59"/>
      <c r="EZ224" s="59"/>
      <c r="FA224" s="59"/>
      <c r="FB224" s="59"/>
      <c r="FC224" s="59"/>
      <c r="FD224" s="59"/>
      <c r="FE224" s="59"/>
      <c r="FF224" s="59"/>
      <c r="FG224" s="59"/>
      <c r="FH224" s="59"/>
      <c r="FI224" s="59"/>
      <c r="FJ224" s="59"/>
      <c r="FK224" s="59"/>
      <c r="FL224" s="59"/>
      <c r="FM224" s="59"/>
      <c r="FN224" s="59"/>
      <c r="FO224" s="59"/>
      <c r="FP224" s="59"/>
      <c r="FQ224" s="59"/>
      <c r="FR224" s="59"/>
      <c r="FS224" s="59"/>
      <c r="FT224" s="59"/>
      <c r="FU224" s="59"/>
      <c r="FV224" s="59"/>
      <c r="FW224" s="59"/>
      <c r="FX224" s="59"/>
      <c r="FY224" s="59"/>
      <c r="FZ224" s="59"/>
      <c r="GA224" s="59"/>
      <c r="GB224" s="59"/>
      <c r="GC224" s="59"/>
      <c r="GD224" s="59"/>
      <c r="GE224" s="59"/>
      <c r="GF224" s="59"/>
      <c r="GG224" s="59"/>
      <c r="GH224" s="59"/>
      <c r="GI224" s="59"/>
      <c r="GJ224" s="59"/>
      <c r="GK224" s="59"/>
      <c r="GL224" s="59"/>
      <c r="GM224" s="59"/>
      <c r="GN224" s="59"/>
    </row>
    <row r="225" spans="1:197" x14ac:dyDescent="0.3">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c r="BU225" s="59"/>
      <c r="BV225" s="59"/>
      <c r="BW225" s="59"/>
      <c r="BX225" s="59"/>
      <c r="BY225" s="59"/>
      <c r="BZ225" s="59"/>
      <c r="CA225" s="59"/>
      <c r="CB225" s="59"/>
      <c r="CC225" s="59"/>
      <c r="CD225" s="59"/>
      <c r="CE225" s="59"/>
      <c r="CF225" s="59"/>
      <c r="CG225" s="59"/>
      <c r="CH225" s="59"/>
      <c r="CI225" s="59"/>
      <c r="CJ225" s="59"/>
      <c r="CK225" s="59"/>
      <c r="CL225" s="59"/>
      <c r="CM225" s="59"/>
      <c r="CN225" s="59"/>
      <c r="CO225" s="59"/>
      <c r="CP225" s="59"/>
      <c r="CQ225" s="59"/>
      <c r="CR225" s="59"/>
      <c r="CS225" s="59"/>
      <c r="CT225" s="59"/>
      <c r="CU225" s="59"/>
      <c r="CV225" s="59"/>
      <c r="CW225" s="59"/>
      <c r="CX225" s="59"/>
      <c r="CY225" s="59"/>
      <c r="CZ225" s="59"/>
      <c r="DA225" s="59"/>
      <c r="DB225" s="59"/>
      <c r="DC225" s="59"/>
      <c r="DD225" s="59"/>
      <c r="DE225" s="59"/>
      <c r="DF225" s="59"/>
      <c r="DG225" s="59"/>
      <c r="DH225" s="59"/>
      <c r="DI225" s="59"/>
      <c r="DJ225" s="59"/>
      <c r="DK225" s="59"/>
      <c r="DL225" s="59"/>
      <c r="DM225" s="59"/>
      <c r="DN225" s="59"/>
      <c r="DO225" s="59"/>
      <c r="DP225" s="59"/>
      <c r="DQ225" s="59"/>
      <c r="DR225" s="59"/>
      <c r="DS225" s="59"/>
      <c r="DT225" s="59"/>
      <c r="DU225" s="59"/>
      <c r="DV225" s="59"/>
      <c r="DW225" s="59"/>
      <c r="DX225" s="59"/>
      <c r="DY225" s="59"/>
      <c r="DZ225" s="59"/>
      <c r="EA225" s="59"/>
      <c r="EB225" s="59"/>
      <c r="EC225" s="59"/>
      <c r="ED225" s="59"/>
      <c r="EE225" s="59"/>
      <c r="EF225" s="59"/>
      <c r="EG225" s="59"/>
      <c r="EH225" s="59"/>
      <c r="EI225" s="59"/>
      <c r="EJ225" s="59"/>
      <c r="EK225" s="59"/>
      <c r="EL225" s="59"/>
      <c r="EM225" s="59"/>
      <c r="EN225" s="59"/>
      <c r="EO225" s="59"/>
      <c r="EP225" s="59"/>
      <c r="EQ225" s="59"/>
      <c r="ER225" s="59"/>
      <c r="ES225" s="59"/>
      <c r="ET225" s="59"/>
      <c r="EU225" s="59"/>
      <c r="EV225" s="59"/>
      <c r="EW225" s="59"/>
      <c r="EX225" s="59"/>
      <c r="EY225" s="59"/>
      <c r="EZ225" s="59"/>
      <c r="FA225" s="59"/>
      <c r="FB225" s="59"/>
      <c r="FC225" s="59"/>
      <c r="FD225" s="59"/>
      <c r="FE225" s="59"/>
      <c r="FF225" s="59"/>
      <c r="FG225" s="59"/>
      <c r="FH225" s="59"/>
      <c r="FI225" s="59"/>
      <c r="FJ225" s="59"/>
      <c r="FK225" s="59"/>
      <c r="FL225" s="59"/>
      <c r="FM225" s="59"/>
      <c r="FN225" s="59"/>
      <c r="FO225" s="59"/>
      <c r="FP225" s="59"/>
      <c r="FQ225" s="59"/>
      <c r="FR225" s="59"/>
      <c r="FS225" s="59"/>
      <c r="FT225" s="59"/>
      <c r="FU225" s="59"/>
      <c r="FV225" s="59"/>
      <c r="FW225" s="59"/>
      <c r="FX225" s="59"/>
      <c r="FY225" s="59"/>
      <c r="FZ225" s="59"/>
      <c r="GA225" s="59"/>
      <c r="GB225" s="59"/>
      <c r="GC225" s="59"/>
      <c r="GD225" s="59"/>
      <c r="GE225" s="59"/>
      <c r="GF225" s="59"/>
      <c r="GG225" s="59"/>
      <c r="GH225" s="59"/>
      <c r="GI225" s="59"/>
      <c r="GJ225" s="59"/>
      <c r="GK225" s="59"/>
      <c r="GL225" s="59"/>
      <c r="GM225" s="59"/>
      <c r="GN225" s="59"/>
    </row>
    <row r="226" spans="1:197" x14ac:dyDescent="0.3">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c r="BU226" s="59"/>
      <c r="BV226" s="59"/>
      <c r="BW226" s="59"/>
      <c r="BX226" s="59"/>
      <c r="BY226" s="59"/>
      <c r="BZ226" s="59"/>
      <c r="CA226" s="59"/>
      <c r="CB226" s="59"/>
      <c r="CC226" s="59"/>
      <c r="CD226" s="59"/>
      <c r="CE226" s="59"/>
      <c r="CF226" s="59"/>
      <c r="CG226" s="59"/>
      <c r="CH226" s="59"/>
      <c r="CI226" s="59"/>
      <c r="CJ226" s="59"/>
      <c r="CK226" s="59"/>
      <c r="CL226" s="59"/>
      <c r="CM226" s="59"/>
      <c r="CN226" s="59"/>
      <c r="CO226" s="59"/>
      <c r="CP226" s="59"/>
      <c r="CQ226" s="59"/>
      <c r="CR226" s="59"/>
      <c r="CS226" s="59"/>
      <c r="CT226" s="59"/>
      <c r="CU226" s="59"/>
      <c r="CV226" s="59"/>
      <c r="CW226" s="59"/>
      <c r="CX226" s="59"/>
      <c r="CY226" s="59"/>
      <c r="CZ226" s="59"/>
      <c r="DA226" s="59"/>
      <c r="DB226" s="59"/>
      <c r="DC226" s="59"/>
      <c r="DD226" s="59"/>
      <c r="DE226" s="59"/>
      <c r="DF226" s="59"/>
      <c r="DG226" s="59"/>
      <c r="DH226" s="59"/>
      <c r="DI226" s="59"/>
      <c r="DJ226" s="59"/>
      <c r="DK226" s="59"/>
      <c r="DL226" s="59"/>
      <c r="DM226" s="59"/>
      <c r="DN226" s="59"/>
      <c r="DO226" s="59"/>
      <c r="DP226" s="59"/>
      <c r="DQ226" s="59"/>
      <c r="DR226" s="59"/>
      <c r="DS226" s="59"/>
      <c r="DT226" s="59"/>
      <c r="DU226" s="59"/>
      <c r="DV226" s="59"/>
      <c r="DW226" s="59"/>
      <c r="DX226" s="59"/>
      <c r="DY226" s="59"/>
      <c r="DZ226" s="59"/>
      <c r="EA226" s="59"/>
      <c r="EB226" s="59"/>
      <c r="EC226" s="59"/>
      <c r="ED226" s="59"/>
      <c r="EE226" s="59"/>
      <c r="EF226" s="59"/>
      <c r="EG226" s="59"/>
      <c r="EH226" s="59"/>
      <c r="EI226" s="59"/>
      <c r="EJ226" s="59"/>
      <c r="EK226" s="59"/>
      <c r="EL226" s="59"/>
      <c r="EM226" s="59"/>
      <c r="EN226" s="59"/>
      <c r="EO226" s="59"/>
      <c r="EP226" s="59"/>
      <c r="EQ226" s="59"/>
      <c r="ER226" s="59"/>
      <c r="ES226" s="59"/>
      <c r="ET226" s="59"/>
      <c r="EU226" s="59"/>
      <c r="EV226" s="59"/>
      <c r="EW226" s="59"/>
      <c r="EX226" s="59"/>
      <c r="EY226" s="59"/>
      <c r="EZ226" s="59"/>
      <c r="FA226" s="59"/>
      <c r="FB226" s="59"/>
      <c r="FC226" s="59"/>
      <c r="FD226" s="59"/>
      <c r="FE226" s="59"/>
      <c r="FF226" s="59"/>
      <c r="FG226" s="59"/>
      <c r="FH226" s="59"/>
      <c r="FI226" s="59"/>
      <c r="FJ226" s="59"/>
      <c r="FK226" s="59"/>
      <c r="FL226" s="59"/>
      <c r="FM226" s="59"/>
      <c r="FN226" s="59"/>
      <c r="FO226" s="59"/>
      <c r="FP226" s="59"/>
      <c r="FQ226" s="59"/>
      <c r="FR226" s="59"/>
      <c r="FS226" s="59"/>
      <c r="FT226" s="59"/>
      <c r="FU226" s="59"/>
      <c r="FV226" s="59"/>
      <c r="FW226" s="59"/>
      <c r="FX226" s="59"/>
      <c r="FY226" s="59"/>
      <c r="FZ226" s="59"/>
      <c r="GA226" s="59"/>
      <c r="GB226" s="59"/>
      <c r="GC226" s="59"/>
      <c r="GD226" s="59"/>
      <c r="GE226" s="59"/>
      <c r="GF226" s="59"/>
      <c r="GG226" s="59"/>
      <c r="GH226" s="59"/>
      <c r="GI226" s="59"/>
      <c r="GJ226" s="59"/>
      <c r="GK226" s="59"/>
      <c r="GL226" s="59"/>
      <c r="GM226" s="59"/>
      <c r="GN226" s="59"/>
    </row>
    <row r="227" spans="1:197" x14ac:dyDescent="0.3">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c r="BU227" s="59"/>
      <c r="BV227" s="59"/>
      <c r="BW227" s="59"/>
      <c r="BX227" s="59"/>
      <c r="BY227" s="59"/>
      <c r="BZ227" s="59"/>
      <c r="CA227" s="59"/>
      <c r="CB227" s="59"/>
      <c r="CC227" s="59"/>
      <c r="CD227" s="59"/>
      <c r="CE227" s="59"/>
      <c r="CF227" s="59"/>
      <c r="CG227" s="59"/>
      <c r="CH227" s="59"/>
      <c r="CI227" s="59"/>
      <c r="CJ227" s="59"/>
      <c r="CK227" s="59"/>
      <c r="CL227" s="59"/>
      <c r="CM227" s="59"/>
      <c r="CN227" s="59"/>
      <c r="CO227" s="59"/>
      <c r="CP227" s="59"/>
      <c r="CQ227" s="59"/>
      <c r="CR227" s="59"/>
      <c r="CS227" s="59"/>
      <c r="CT227" s="59"/>
      <c r="CU227" s="59"/>
      <c r="CV227" s="59"/>
      <c r="CW227" s="59"/>
      <c r="CX227" s="59"/>
      <c r="CY227" s="59"/>
      <c r="CZ227" s="59"/>
      <c r="DA227" s="59"/>
      <c r="DB227" s="59"/>
      <c r="DC227" s="59"/>
      <c r="DD227" s="59"/>
      <c r="DE227" s="59"/>
      <c r="DF227" s="59"/>
      <c r="DG227" s="59"/>
      <c r="DH227" s="59"/>
      <c r="DI227" s="59"/>
      <c r="DJ227" s="59"/>
      <c r="DK227" s="59"/>
      <c r="DL227" s="59"/>
      <c r="DM227" s="59"/>
      <c r="DN227" s="59"/>
      <c r="DO227" s="59"/>
      <c r="DP227" s="59"/>
      <c r="DQ227" s="59"/>
      <c r="DR227" s="59"/>
      <c r="DS227" s="59"/>
      <c r="DT227" s="59"/>
      <c r="DU227" s="59"/>
      <c r="DV227" s="59"/>
      <c r="DW227" s="59"/>
      <c r="DX227" s="59"/>
      <c r="DY227" s="59"/>
      <c r="DZ227" s="59"/>
      <c r="EA227" s="59"/>
      <c r="EB227" s="59"/>
      <c r="EC227" s="59"/>
      <c r="ED227" s="59"/>
      <c r="EE227" s="59"/>
      <c r="EF227" s="59"/>
      <c r="EG227" s="59"/>
      <c r="EH227" s="59"/>
      <c r="EI227" s="59"/>
      <c r="EJ227" s="59"/>
      <c r="EK227" s="59"/>
      <c r="EL227" s="59"/>
      <c r="EM227" s="59"/>
      <c r="EN227" s="59"/>
      <c r="EO227" s="59"/>
      <c r="EP227" s="59"/>
      <c r="EQ227" s="59"/>
      <c r="ER227" s="59"/>
      <c r="ES227" s="59"/>
      <c r="ET227" s="59"/>
      <c r="EU227" s="59"/>
      <c r="EV227" s="59"/>
      <c r="EW227" s="59"/>
      <c r="EX227" s="59"/>
      <c r="EY227" s="59"/>
      <c r="EZ227" s="59"/>
      <c r="FA227" s="59"/>
      <c r="FB227" s="59"/>
      <c r="FC227" s="59"/>
      <c r="FD227" s="59"/>
      <c r="FE227" s="59"/>
      <c r="FF227" s="59"/>
      <c r="FG227" s="59"/>
      <c r="FH227" s="59"/>
      <c r="FI227" s="59"/>
      <c r="FJ227" s="59"/>
      <c r="FK227" s="59"/>
      <c r="FL227" s="59"/>
      <c r="FM227" s="59"/>
      <c r="FN227" s="59"/>
      <c r="FO227" s="59"/>
      <c r="FP227" s="59"/>
      <c r="FQ227" s="59"/>
      <c r="FR227" s="59"/>
      <c r="FS227" s="59"/>
      <c r="FT227" s="59"/>
      <c r="FU227" s="59"/>
      <c r="FV227" s="59"/>
      <c r="FW227" s="59"/>
      <c r="FX227" s="59"/>
      <c r="FY227" s="59"/>
      <c r="FZ227" s="59"/>
      <c r="GA227" s="59"/>
      <c r="GB227" s="59"/>
      <c r="GC227" s="59"/>
      <c r="GD227" s="59"/>
      <c r="GE227" s="59"/>
      <c r="GF227" s="59"/>
      <c r="GG227" s="59"/>
      <c r="GH227" s="59"/>
      <c r="GI227" s="59"/>
      <c r="GJ227" s="59"/>
      <c r="GK227" s="59"/>
      <c r="GL227" s="59"/>
      <c r="GM227" s="59"/>
      <c r="GN227" s="59"/>
    </row>
    <row r="228" spans="1:197" x14ac:dyDescent="0.3">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c r="BU228" s="59"/>
      <c r="BV228" s="59"/>
      <c r="BW228" s="59"/>
      <c r="BX228" s="59"/>
      <c r="BY228" s="59"/>
      <c r="BZ228" s="59"/>
      <c r="CA228" s="59"/>
      <c r="CB228" s="59"/>
      <c r="CC228" s="59"/>
      <c r="CD228" s="59"/>
      <c r="CE228" s="59"/>
      <c r="CF228" s="59"/>
      <c r="CG228" s="59"/>
      <c r="CH228" s="59"/>
      <c r="CI228" s="59"/>
      <c r="CJ228" s="59"/>
      <c r="CK228" s="59"/>
      <c r="CL228" s="59"/>
      <c r="CM228" s="59"/>
      <c r="CN228" s="59"/>
      <c r="CO228" s="59"/>
      <c r="CP228" s="59"/>
      <c r="CQ228" s="59"/>
      <c r="CR228" s="59"/>
      <c r="CS228" s="59"/>
      <c r="CT228" s="59"/>
      <c r="CU228" s="59"/>
      <c r="CV228" s="59"/>
      <c r="CW228" s="59"/>
      <c r="CX228" s="59"/>
      <c r="CY228" s="59"/>
      <c r="CZ228" s="59"/>
      <c r="DA228" s="59"/>
      <c r="DB228" s="59"/>
      <c r="DC228" s="59"/>
      <c r="DD228" s="59"/>
      <c r="DE228" s="59"/>
      <c r="DF228" s="59"/>
      <c r="DG228" s="59"/>
      <c r="DH228" s="59"/>
      <c r="DI228" s="59"/>
      <c r="DJ228" s="59"/>
      <c r="DK228" s="59"/>
      <c r="DL228" s="59"/>
      <c r="DM228" s="59"/>
      <c r="DN228" s="59"/>
      <c r="DO228" s="59"/>
      <c r="DP228" s="59"/>
      <c r="DQ228" s="59"/>
      <c r="DR228" s="59"/>
      <c r="DS228" s="59"/>
      <c r="DT228" s="59"/>
      <c r="DU228" s="59"/>
      <c r="DV228" s="59"/>
      <c r="DW228" s="59"/>
      <c r="DX228" s="59"/>
      <c r="DY228" s="59"/>
      <c r="DZ228" s="59"/>
      <c r="EA228" s="59"/>
      <c r="EB228" s="59"/>
      <c r="EC228" s="59"/>
      <c r="ED228" s="59"/>
      <c r="EE228" s="59"/>
      <c r="EF228" s="59"/>
      <c r="EG228" s="59"/>
      <c r="EH228" s="59"/>
      <c r="EI228" s="59"/>
      <c r="EJ228" s="59"/>
      <c r="EK228" s="59"/>
      <c r="EL228" s="59"/>
      <c r="EM228" s="59"/>
      <c r="EN228" s="59"/>
      <c r="EO228" s="59"/>
      <c r="EP228" s="59"/>
      <c r="EQ228" s="59"/>
      <c r="ER228" s="59"/>
      <c r="ES228" s="59"/>
      <c r="ET228" s="59"/>
      <c r="EU228" s="59"/>
      <c r="EV228" s="59"/>
      <c r="EW228" s="59"/>
      <c r="EX228" s="59"/>
      <c r="EY228" s="59"/>
      <c r="EZ228" s="59"/>
      <c r="FA228" s="59"/>
      <c r="FB228" s="59"/>
      <c r="FC228" s="59"/>
      <c r="FD228" s="59"/>
      <c r="FE228" s="59"/>
      <c r="FF228" s="59"/>
      <c r="FG228" s="59"/>
      <c r="FH228" s="59"/>
      <c r="FI228" s="59"/>
      <c r="FJ228" s="59"/>
      <c r="FK228" s="59"/>
      <c r="FL228" s="59"/>
      <c r="FM228" s="59"/>
      <c r="FN228" s="59"/>
      <c r="FO228" s="59"/>
      <c r="FP228" s="59"/>
      <c r="FQ228" s="59"/>
      <c r="FR228" s="59"/>
      <c r="FS228" s="59"/>
      <c r="FT228" s="59"/>
      <c r="FU228" s="59"/>
      <c r="FV228" s="59"/>
      <c r="FW228" s="59"/>
      <c r="FX228" s="59"/>
      <c r="FY228" s="59"/>
      <c r="FZ228" s="59"/>
      <c r="GA228" s="59"/>
      <c r="GB228" s="59"/>
      <c r="GC228" s="59"/>
      <c r="GD228" s="59"/>
      <c r="GE228" s="59"/>
      <c r="GF228" s="59"/>
      <c r="GG228" s="59"/>
      <c r="GH228" s="59"/>
      <c r="GI228" s="59"/>
      <c r="GJ228" s="59"/>
      <c r="GK228" s="59"/>
      <c r="GL228" s="59"/>
      <c r="GM228" s="59"/>
      <c r="GN228" s="59"/>
    </row>
    <row r="229" spans="1:197" x14ac:dyDescent="0.3">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c r="BU229" s="59"/>
      <c r="BV229" s="59"/>
      <c r="BW229" s="59"/>
      <c r="BX229" s="59"/>
      <c r="BY229" s="59"/>
      <c r="BZ229" s="59"/>
      <c r="CA229" s="59"/>
      <c r="CB229" s="59"/>
      <c r="CC229" s="59"/>
      <c r="CD229" s="59"/>
      <c r="CE229" s="59"/>
      <c r="CF229" s="59"/>
      <c r="CG229" s="59"/>
      <c r="CH229" s="59"/>
      <c r="CI229" s="59"/>
      <c r="CJ229" s="59"/>
      <c r="CK229" s="59"/>
      <c r="CL229" s="59"/>
      <c r="CM229" s="59"/>
      <c r="CN229" s="59"/>
      <c r="CO229" s="59"/>
      <c r="CP229" s="59"/>
      <c r="CQ229" s="59"/>
      <c r="CR229" s="59"/>
      <c r="CS229" s="59"/>
      <c r="CT229" s="59"/>
      <c r="CU229" s="59"/>
      <c r="CV229" s="59"/>
      <c r="CW229" s="59"/>
      <c r="CX229" s="59"/>
      <c r="CY229" s="59"/>
      <c r="CZ229" s="59"/>
      <c r="DA229" s="59"/>
      <c r="DB229" s="59"/>
      <c r="DC229" s="59"/>
      <c r="DD229" s="59"/>
      <c r="DE229" s="59"/>
      <c r="DF229" s="59"/>
      <c r="DG229" s="59"/>
      <c r="DH229" s="59"/>
      <c r="DI229" s="59"/>
      <c r="DJ229" s="59"/>
      <c r="DK229" s="59"/>
      <c r="DL229" s="59"/>
      <c r="DM229" s="59"/>
      <c r="DN229" s="59"/>
      <c r="DO229" s="59"/>
      <c r="DP229" s="59"/>
      <c r="DQ229" s="59"/>
      <c r="DR229" s="59"/>
      <c r="DS229" s="59"/>
      <c r="DT229" s="59"/>
      <c r="DU229" s="59"/>
      <c r="DV229" s="59"/>
      <c r="DW229" s="59"/>
      <c r="DX229" s="59"/>
      <c r="DY229" s="59"/>
      <c r="DZ229" s="59"/>
      <c r="EA229" s="59"/>
      <c r="EB229" s="59"/>
      <c r="EC229" s="59"/>
      <c r="ED229" s="59"/>
      <c r="EE229" s="59"/>
      <c r="EF229" s="59"/>
      <c r="EG229" s="59"/>
      <c r="EH229" s="59"/>
      <c r="EI229" s="59"/>
      <c r="EJ229" s="59"/>
      <c r="EK229" s="59"/>
      <c r="EL229" s="59"/>
      <c r="EM229" s="59"/>
      <c r="EN229" s="59"/>
      <c r="EO229" s="59"/>
      <c r="EP229" s="59"/>
      <c r="EQ229" s="59"/>
      <c r="ER229" s="59"/>
      <c r="ES229" s="59"/>
      <c r="ET229" s="59"/>
      <c r="EU229" s="59"/>
      <c r="EV229" s="59"/>
      <c r="EW229" s="59"/>
      <c r="EX229" s="59"/>
      <c r="EY229" s="59"/>
      <c r="EZ229" s="59"/>
      <c r="FA229" s="59"/>
      <c r="FB229" s="59"/>
      <c r="FC229" s="59"/>
      <c r="FD229" s="59"/>
      <c r="FE229" s="59"/>
      <c r="FF229" s="59"/>
      <c r="FG229" s="59"/>
      <c r="FH229" s="59"/>
      <c r="FI229" s="59"/>
      <c r="FJ229" s="59"/>
      <c r="FK229" s="59"/>
      <c r="FL229" s="59"/>
      <c r="FM229" s="59"/>
      <c r="FN229" s="59"/>
      <c r="FO229" s="59"/>
      <c r="FP229" s="59"/>
      <c r="FQ229" s="59"/>
      <c r="FR229" s="59"/>
      <c r="FS229" s="59"/>
      <c r="FT229" s="59"/>
      <c r="FU229" s="59"/>
      <c r="FV229" s="59"/>
      <c r="FW229" s="59"/>
      <c r="FX229" s="59"/>
      <c r="FY229" s="59"/>
      <c r="FZ229" s="59"/>
      <c r="GA229" s="59"/>
      <c r="GB229" s="59"/>
      <c r="GC229" s="59"/>
      <c r="GD229" s="59"/>
      <c r="GE229" s="59"/>
      <c r="GF229" s="59"/>
      <c r="GG229" s="59"/>
      <c r="GH229" s="59"/>
      <c r="GI229" s="59"/>
      <c r="GJ229" s="59"/>
      <c r="GK229" s="59"/>
      <c r="GL229" s="59"/>
      <c r="GM229" s="59"/>
      <c r="GN229" s="59"/>
    </row>
    <row r="230" spans="1:197" x14ac:dyDescent="0.3">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c r="BU230" s="59"/>
      <c r="BV230" s="59"/>
      <c r="BW230" s="59"/>
      <c r="BX230" s="59"/>
      <c r="BY230" s="59"/>
      <c r="BZ230" s="59"/>
      <c r="CA230" s="59"/>
      <c r="CB230" s="59"/>
      <c r="CC230" s="59"/>
      <c r="CD230" s="59"/>
      <c r="CE230" s="59"/>
      <c r="CF230" s="59"/>
      <c r="CG230" s="59"/>
      <c r="CH230" s="59"/>
      <c r="CI230" s="59"/>
      <c r="CJ230" s="59"/>
      <c r="CK230" s="59"/>
      <c r="CL230" s="59"/>
      <c r="CM230" s="59"/>
      <c r="CN230" s="59"/>
      <c r="CO230" s="59"/>
      <c r="CP230" s="59"/>
      <c r="CQ230" s="59"/>
      <c r="CR230" s="59"/>
      <c r="CS230" s="59"/>
      <c r="CT230" s="59"/>
      <c r="CU230" s="59"/>
      <c r="CV230" s="59"/>
      <c r="CW230" s="59"/>
      <c r="CX230" s="59"/>
      <c r="CY230" s="59"/>
      <c r="CZ230" s="59"/>
      <c r="DA230" s="59"/>
      <c r="DB230" s="59"/>
      <c r="DC230" s="59"/>
      <c r="DD230" s="59"/>
      <c r="DE230" s="59"/>
      <c r="DF230" s="59"/>
      <c r="DG230" s="59"/>
      <c r="DH230" s="59"/>
      <c r="DI230" s="59"/>
      <c r="DJ230" s="59"/>
      <c r="DK230" s="59"/>
      <c r="DL230" s="59"/>
      <c r="DM230" s="59"/>
      <c r="DN230" s="59"/>
      <c r="DO230" s="59"/>
      <c r="DP230" s="59"/>
      <c r="DQ230" s="59"/>
      <c r="DR230" s="59"/>
      <c r="DS230" s="59"/>
      <c r="DT230" s="59"/>
      <c r="DU230" s="59"/>
      <c r="DV230" s="59"/>
      <c r="DW230" s="59"/>
      <c r="DX230" s="59"/>
      <c r="DY230" s="59"/>
      <c r="DZ230" s="59"/>
      <c r="EA230" s="59"/>
      <c r="EB230" s="59"/>
      <c r="EC230" s="59"/>
      <c r="ED230" s="59"/>
      <c r="EE230" s="59"/>
      <c r="EF230" s="59"/>
      <c r="EG230" s="59"/>
      <c r="EH230" s="59"/>
      <c r="EI230" s="59"/>
      <c r="EJ230" s="59"/>
      <c r="EK230" s="59"/>
      <c r="EL230" s="59"/>
      <c r="EM230" s="59"/>
      <c r="EN230" s="59"/>
      <c r="EO230" s="59"/>
      <c r="EP230" s="59"/>
      <c r="EQ230" s="59"/>
      <c r="ER230" s="59"/>
      <c r="ES230" s="59"/>
      <c r="ET230" s="59"/>
      <c r="EU230" s="59"/>
      <c r="EV230" s="59"/>
      <c r="EW230" s="59"/>
      <c r="EX230" s="59"/>
      <c r="EY230" s="59"/>
      <c r="EZ230" s="59"/>
      <c r="FA230" s="59"/>
      <c r="FB230" s="59"/>
      <c r="FC230" s="59"/>
      <c r="FD230" s="59"/>
      <c r="FE230" s="59"/>
      <c r="FF230" s="59"/>
      <c r="FG230" s="59"/>
      <c r="FH230" s="59"/>
      <c r="FI230" s="59"/>
      <c r="FJ230" s="59"/>
      <c r="FK230" s="59"/>
      <c r="FL230" s="59"/>
      <c r="FM230" s="59"/>
      <c r="FN230" s="59"/>
      <c r="FO230" s="59"/>
      <c r="FP230" s="59"/>
      <c r="FQ230" s="59"/>
      <c r="FR230" s="59"/>
      <c r="FS230" s="59"/>
      <c r="FT230" s="59"/>
      <c r="FU230" s="59"/>
      <c r="FV230" s="59"/>
      <c r="FW230" s="59"/>
      <c r="FX230" s="59"/>
      <c r="FY230" s="59"/>
      <c r="FZ230" s="59"/>
      <c r="GA230" s="59"/>
      <c r="GB230" s="59"/>
      <c r="GC230" s="59"/>
      <c r="GD230" s="59"/>
      <c r="GE230" s="59"/>
      <c r="GF230" s="59"/>
      <c r="GG230" s="59"/>
      <c r="GH230" s="59"/>
      <c r="GI230" s="59"/>
      <c r="GJ230" s="59"/>
      <c r="GK230" s="59"/>
      <c r="GL230" s="59"/>
      <c r="GM230" s="59"/>
      <c r="GN230" s="59"/>
    </row>
    <row r="231" spans="1:197" x14ac:dyDescent="0.3">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c r="BU231" s="59"/>
      <c r="BV231" s="59"/>
      <c r="BW231" s="59"/>
      <c r="BX231" s="59"/>
      <c r="BY231" s="59"/>
      <c r="BZ231" s="59"/>
      <c r="CA231" s="59"/>
      <c r="CB231" s="59"/>
      <c r="CC231" s="59"/>
      <c r="CD231" s="59"/>
      <c r="CE231" s="59"/>
      <c r="CF231" s="59"/>
      <c r="CG231" s="59"/>
      <c r="CH231" s="59"/>
      <c r="CI231" s="59"/>
      <c r="CJ231" s="59"/>
      <c r="CK231" s="59"/>
      <c r="CL231" s="59"/>
      <c r="CM231" s="59"/>
      <c r="CN231" s="59"/>
      <c r="CO231" s="59"/>
      <c r="CP231" s="59"/>
      <c r="CQ231" s="59"/>
      <c r="CR231" s="59"/>
      <c r="CS231" s="59"/>
      <c r="CT231" s="59"/>
      <c r="CU231" s="59"/>
      <c r="CV231" s="59"/>
      <c r="CW231" s="59"/>
      <c r="CX231" s="59"/>
      <c r="CY231" s="59"/>
      <c r="CZ231" s="59"/>
      <c r="DA231" s="59"/>
      <c r="DB231" s="59"/>
      <c r="DC231" s="59"/>
      <c r="DD231" s="59"/>
      <c r="DE231" s="59"/>
      <c r="DF231" s="59"/>
      <c r="DG231" s="59"/>
      <c r="DH231" s="59"/>
      <c r="DI231" s="59"/>
      <c r="DJ231" s="59"/>
      <c r="DK231" s="59"/>
      <c r="DL231" s="59"/>
      <c r="DM231" s="59"/>
      <c r="DN231" s="59"/>
      <c r="DO231" s="59"/>
      <c r="DP231" s="59"/>
      <c r="DQ231" s="59"/>
      <c r="DR231" s="59"/>
      <c r="DS231" s="59"/>
      <c r="DT231" s="59"/>
      <c r="DU231" s="59"/>
      <c r="DV231" s="59"/>
      <c r="DW231" s="59"/>
      <c r="DX231" s="59"/>
      <c r="DY231" s="59"/>
      <c r="DZ231" s="59"/>
      <c r="EA231" s="59"/>
      <c r="EB231" s="59"/>
      <c r="EC231" s="59"/>
      <c r="ED231" s="59"/>
      <c r="EE231" s="59"/>
      <c r="EF231" s="59"/>
      <c r="EG231" s="59"/>
      <c r="EH231" s="59"/>
      <c r="EI231" s="59"/>
      <c r="EJ231" s="59"/>
      <c r="EK231" s="59"/>
      <c r="EL231" s="59"/>
      <c r="EM231" s="59"/>
      <c r="EN231" s="59"/>
      <c r="EO231" s="59"/>
      <c r="EP231" s="59"/>
      <c r="EQ231" s="59"/>
      <c r="ER231" s="59"/>
      <c r="ES231" s="59"/>
      <c r="ET231" s="59"/>
      <c r="EU231" s="59"/>
      <c r="EV231" s="59"/>
      <c r="EW231" s="59"/>
      <c r="EX231" s="59"/>
      <c r="EY231" s="59"/>
      <c r="EZ231" s="59"/>
      <c r="FA231" s="59"/>
      <c r="FB231" s="59"/>
      <c r="FC231" s="59"/>
      <c r="FD231" s="59"/>
      <c r="FE231" s="59"/>
      <c r="FF231" s="59"/>
      <c r="FG231" s="59"/>
      <c r="FH231" s="59"/>
      <c r="FI231" s="59"/>
      <c r="FJ231" s="59"/>
      <c r="FK231" s="59"/>
      <c r="FL231" s="59"/>
      <c r="FM231" s="59"/>
      <c r="FN231" s="59"/>
      <c r="FO231" s="59"/>
      <c r="FP231" s="59"/>
      <c r="FQ231" s="59"/>
      <c r="FR231" s="59"/>
      <c r="FS231" s="59"/>
      <c r="FT231" s="59"/>
      <c r="FU231" s="59"/>
      <c r="FV231" s="59"/>
      <c r="FW231" s="59"/>
      <c r="FX231" s="59"/>
      <c r="FY231" s="59"/>
      <c r="FZ231" s="59"/>
      <c r="GA231" s="59"/>
      <c r="GB231" s="59"/>
      <c r="GC231" s="59"/>
      <c r="GD231" s="59"/>
      <c r="GE231" s="59"/>
      <c r="GF231" s="59"/>
      <c r="GG231" s="59"/>
      <c r="GH231" s="59"/>
      <c r="GI231" s="59"/>
      <c r="GJ231" s="59"/>
      <c r="GK231" s="59"/>
      <c r="GL231" s="59"/>
      <c r="GM231" s="59"/>
      <c r="GN231" s="59"/>
    </row>
    <row r="232" spans="1:197" x14ac:dyDescent="0.3">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c r="BU232" s="59"/>
      <c r="BV232" s="59"/>
      <c r="BW232" s="59"/>
      <c r="BX232" s="59"/>
      <c r="BY232" s="59"/>
      <c r="BZ232" s="59"/>
      <c r="CA232" s="59"/>
      <c r="CB232" s="59"/>
      <c r="CC232" s="59"/>
      <c r="CD232" s="59"/>
      <c r="CE232" s="59"/>
      <c r="CF232" s="59"/>
      <c r="CG232" s="59"/>
      <c r="CH232" s="59"/>
      <c r="CI232" s="59"/>
      <c r="CJ232" s="59"/>
      <c r="CK232" s="59"/>
      <c r="CL232" s="59"/>
      <c r="CM232" s="59"/>
      <c r="CN232" s="59"/>
      <c r="CO232" s="59"/>
      <c r="CP232" s="59"/>
      <c r="CQ232" s="59"/>
      <c r="CR232" s="59"/>
      <c r="CS232" s="59"/>
      <c r="CT232" s="59"/>
      <c r="CU232" s="59"/>
      <c r="CV232" s="59"/>
      <c r="CW232" s="59"/>
      <c r="CX232" s="59"/>
      <c r="CY232" s="59"/>
      <c r="CZ232" s="59"/>
      <c r="DA232" s="59"/>
      <c r="DB232" s="59"/>
      <c r="DC232" s="59"/>
      <c r="DD232" s="59"/>
      <c r="DE232" s="59"/>
      <c r="DF232" s="59"/>
      <c r="DG232" s="59"/>
      <c r="DH232" s="59"/>
      <c r="DI232" s="59"/>
      <c r="DJ232" s="59"/>
      <c r="DK232" s="59"/>
      <c r="DL232" s="59"/>
      <c r="DM232" s="59"/>
      <c r="DN232" s="59"/>
      <c r="DO232" s="59"/>
      <c r="DP232" s="59"/>
      <c r="DQ232" s="59"/>
      <c r="DR232" s="59"/>
      <c r="DS232" s="59"/>
      <c r="DT232" s="59"/>
      <c r="DU232" s="59"/>
      <c r="DV232" s="59"/>
      <c r="DW232" s="59"/>
      <c r="DX232" s="59"/>
      <c r="DY232" s="59"/>
      <c r="DZ232" s="59"/>
      <c r="EA232" s="59"/>
      <c r="EB232" s="59"/>
      <c r="EC232" s="59"/>
      <c r="ED232" s="59"/>
      <c r="EE232" s="59"/>
      <c r="EF232" s="59"/>
      <c r="EG232" s="59"/>
      <c r="EH232" s="59"/>
      <c r="EI232" s="59"/>
      <c r="EJ232" s="59"/>
      <c r="EK232" s="59"/>
      <c r="EL232" s="59"/>
      <c r="EM232" s="59"/>
      <c r="EN232" s="59"/>
      <c r="EO232" s="59"/>
      <c r="EP232" s="59"/>
      <c r="EQ232" s="59"/>
      <c r="ER232" s="59"/>
      <c r="ES232" s="59"/>
      <c r="ET232" s="59"/>
      <c r="EU232" s="59"/>
      <c r="EV232" s="59"/>
      <c r="EW232" s="59"/>
      <c r="EX232" s="59"/>
      <c r="EY232" s="59"/>
      <c r="EZ232" s="59"/>
      <c r="FA232" s="59"/>
      <c r="FB232" s="59"/>
      <c r="FC232" s="59"/>
      <c r="FD232" s="59"/>
      <c r="FE232" s="59"/>
      <c r="FF232" s="59"/>
      <c r="FG232" s="59"/>
      <c r="FH232" s="59"/>
      <c r="FI232" s="59"/>
      <c r="FJ232" s="59"/>
      <c r="FK232" s="59"/>
      <c r="FL232" s="59"/>
      <c r="FM232" s="59"/>
      <c r="FN232" s="59"/>
      <c r="FO232" s="59"/>
      <c r="FP232" s="59"/>
      <c r="FQ232" s="59"/>
      <c r="FR232" s="59"/>
      <c r="FS232" s="59"/>
      <c r="FT232" s="59"/>
      <c r="FU232" s="59"/>
      <c r="FV232" s="59"/>
      <c r="FW232" s="59"/>
      <c r="FX232" s="59"/>
      <c r="FY232" s="59"/>
      <c r="FZ232" s="59"/>
      <c r="GA232" s="59"/>
      <c r="GB232" s="59"/>
      <c r="GC232" s="59"/>
      <c r="GD232" s="59"/>
      <c r="GE232" s="59"/>
      <c r="GF232" s="59"/>
      <c r="GG232" s="59"/>
      <c r="GH232" s="59"/>
      <c r="GI232" s="59"/>
      <c r="GJ232" s="59"/>
      <c r="GK232" s="59"/>
      <c r="GL232" s="59"/>
      <c r="GM232" s="59"/>
      <c r="GN232" s="59"/>
    </row>
    <row r="233" spans="1:197" x14ac:dyDescent="0.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c r="BU233" s="59"/>
      <c r="BV233" s="59"/>
      <c r="BW233" s="59"/>
      <c r="BX233" s="59"/>
      <c r="BY233" s="59"/>
      <c r="BZ233" s="59"/>
      <c r="CA233" s="59"/>
      <c r="CB233" s="59"/>
      <c r="CC233" s="59"/>
      <c r="CD233" s="59"/>
      <c r="CE233" s="59"/>
      <c r="CF233" s="59"/>
      <c r="CG233" s="59"/>
      <c r="CH233" s="59"/>
      <c r="CI233" s="59"/>
      <c r="CJ233" s="59"/>
      <c r="CK233" s="59"/>
      <c r="CL233" s="59"/>
      <c r="CM233" s="59"/>
      <c r="CN233" s="59"/>
      <c r="CO233" s="59"/>
      <c r="CP233" s="59"/>
      <c r="CQ233" s="59"/>
      <c r="CR233" s="59"/>
      <c r="CS233" s="59"/>
      <c r="CT233" s="59"/>
      <c r="CU233" s="59"/>
      <c r="CV233" s="59"/>
      <c r="CW233" s="59"/>
      <c r="CX233" s="59"/>
      <c r="CY233" s="59"/>
      <c r="CZ233" s="59"/>
      <c r="DA233" s="59"/>
      <c r="DB233" s="59"/>
      <c r="DC233" s="59"/>
      <c r="DD233" s="59"/>
      <c r="DE233" s="59"/>
      <c r="DF233" s="59"/>
      <c r="DG233" s="59"/>
      <c r="DH233" s="59"/>
      <c r="DI233" s="59"/>
      <c r="DJ233" s="59"/>
      <c r="DK233" s="59"/>
      <c r="DL233" s="59"/>
      <c r="DM233" s="59"/>
      <c r="DN233" s="59"/>
      <c r="DO233" s="59"/>
      <c r="DP233" s="59"/>
      <c r="DQ233" s="59"/>
      <c r="DR233" s="59"/>
      <c r="DS233" s="59"/>
      <c r="DT233" s="59"/>
      <c r="DU233" s="59"/>
      <c r="DV233" s="59"/>
      <c r="DW233" s="59"/>
      <c r="DX233" s="59"/>
      <c r="DY233" s="59"/>
      <c r="DZ233" s="59"/>
      <c r="EA233" s="59"/>
      <c r="EB233" s="59"/>
      <c r="EC233" s="59"/>
      <c r="ED233" s="59"/>
      <c r="EE233" s="59"/>
      <c r="EF233" s="59"/>
      <c r="EG233" s="59"/>
      <c r="EH233" s="59"/>
      <c r="EI233" s="59"/>
      <c r="EJ233" s="59"/>
      <c r="EK233" s="59"/>
      <c r="EL233" s="59"/>
      <c r="EM233" s="59"/>
      <c r="EN233" s="59"/>
      <c r="EO233" s="59"/>
      <c r="EP233" s="59"/>
      <c r="EQ233" s="59"/>
      <c r="ER233" s="59"/>
      <c r="ES233" s="59"/>
      <c r="ET233" s="59"/>
      <c r="EU233" s="59"/>
      <c r="EV233" s="59"/>
      <c r="EW233" s="59"/>
      <c r="EX233" s="59"/>
      <c r="EY233" s="59"/>
      <c r="EZ233" s="59"/>
      <c r="FA233" s="59"/>
      <c r="FB233" s="59"/>
      <c r="FC233" s="59"/>
      <c r="FD233" s="59"/>
      <c r="FE233" s="59"/>
      <c r="FF233" s="59"/>
      <c r="FG233" s="59"/>
      <c r="FH233" s="59"/>
      <c r="FI233" s="59"/>
      <c r="FJ233" s="59"/>
      <c r="FK233" s="59"/>
      <c r="FL233" s="59"/>
      <c r="FM233" s="59"/>
      <c r="FN233" s="59"/>
      <c r="FO233" s="59"/>
      <c r="FP233" s="59"/>
      <c r="FQ233" s="59"/>
      <c r="FR233" s="59"/>
      <c r="FS233" s="59"/>
      <c r="FT233" s="59"/>
      <c r="FU233" s="59"/>
      <c r="FV233" s="59"/>
      <c r="FW233" s="59"/>
      <c r="FX233" s="59"/>
      <c r="FY233" s="59"/>
      <c r="FZ233" s="59"/>
      <c r="GA233" s="59"/>
      <c r="GB233" s="59"/>
      <c r="GC233" s="59"/>
      <c r="GD233" s="59"/>
      <c r="GE233" s="59"/>
      <c r="GF233" s="59"/>
      <c r="GG233" s="59"/>
      <c r="GH233" s="59"/>
      <c r="GI233" s="59"/>
      <c r="GJ233" s="59"/>
      <c r="GK233" s="59"/>
      <c r="GL233" s="59"/>
      <c r="GM233" s="59"/>
      <c r="GN233" s="59"/>
    </row>
    <row r="234" spans="1:197" x14ac:dyDescent="0.3">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c r="BU234" s="59"/>
      <c r="BV234" s="59"/>
      <c r="BW234" s="59"/>
      <c r="BX234" s="59"/>
      <c r="BY234" s="59"/>
      <c r="BZ234" s="59"/>
      <c r="CA234" s="59"/>
      <c r="CB234" s="59"/>
      <c r="CC234" s="59"/>
      <c r="CD234" s="59"/>
      <c r="CE234" s="59"/>
      <c r="CF234" s="59"/>
      <c r="CG234" s="59"/>
      <c r="CH234" s="59"/>
      <c r="CI234" s="59"/>
      <c r="CJ234" s="59"/>
      <c r="CK234" s="59"/>
      <c r="CL234" s="59"/>
      <c r="CM234" s="59"/>
      <c r="CN234" s="59"/>
      <c r="CO234" s="59"/>
      <c r="CP234" s="59"/>
      <c r="CQ234" s="59"/>
      <c r="CR234" s="59"/>
      <c r="CS234" s="59"/>
      <c r="CT234" s="59"/>
      <c r="CU234" s="59"/>
      <c r="CV234" s="59"/>
      <c r="CW234" s="59"/>
      <c r="CX234" s="59"/>
      <c r="CY234" s="59"/>
      <c r="CZ234" s="59"/>
      <c r="DA234" s="59"/>
      <c r="DB234" s="59"/>
      <c r="DC234" s="59"/>
      <c r="DD234" s="59"/>
      <c r="DE234" s="59"/>
      <c r="DF234" s="59"/>
      <c r="DG234" s="59"/>
      <c r="DH234" s="59"/>
      <c r="DI234" s="59"/>
      <c r="DJ234" s="59"/>
      <c r="DK234" s="59"/>
      <c r="DL234" s="59"/>
      <c r="DM234" s="59"/>
      <c r="DN234" s="59"/>
      <c r="DO234" s="59"/>
      <c r="DP234" s="59"/>
      <c r="DQ234" s="59"/>
      <c r="DR234" s="59"/>
      <c r="DS234" s="59"/>
      <c r="DT234" s="59"/>
      <c r="DU234" s="59"/>
      <c r="DV234" s="59"/>
      <c r="DW234" s="59"/>
      <c r="DX234" s="59"/>
      <c r="DY234" s="59"/>
      <c r="DZ234" s="59"/>
      <c r="EA234" s="59"/>
      <c r="EB234" s="59"/>
      <c r="EC234" s="59"/>
      <c r="ED234" s="59"/>
      <c r="EE234" s="59"/>
      <c r="EF234" s="59"/>
      <c r="EG234" s="59"/>
      <c r="EH234" s="59"/>
      <c r="EI234" s="59"/>
      <c r="EJ234" s="59"/>
      <c r="EK234" s="59"/>
      <c r="EL234" s="59"/>
      <c r="EM234" s="59"/>
      <c r="EN234" s="59"/>
      <c r="EO234" s="59"/>
      <c r="EP234" s="59"/>
      <c r="EQ234" s="59"/>
      <c r="ER234" s="59"/>
      <c r="ES234" s="59"/>
      <c r="ET234" s="59"/>
      <c r="EU234" s="59"/>
      <c r="EV234" s="59"/>
      <c r="EW234" s="59"/>
      <c r="EX234" s="59"/>
      <c r="EY234" s="59"/>
      <c r="EZ234" s="59"/>
      <c r="FA234" s="59"/>
      <c r="FB234" s="59"/>
      <c r="FC234" s="59"/>
      <c r="FD234" s="59"/>
      <c r="FE234" s="59"/>
      <c r="FF234" s="59"/>
      <c r="FG234" s="59"/>
      <c r="FH234" s="59"/>
      <c r="FI234" s="59"/>
      <c r="FJ234" s="59"/>
      <c r="FK234" s="59"/>
      <c r="FL234" s="59"/>
      <c r="FM234" s="59"/>
      <c r="FN234" s="59"/>
      <c r="FO234" s="59"/>
      <c r="FP234" s="59"/>
      <c r="FQ234" s="59"/>
      <c r="FR234" s="59"/>
      <c r="FS234" s="59"/>
      <c r="FT234" s="59"/>
      <c r="FU234" s="59"/>
      <c r="FV234" s="59"/>
      <c r="FW234" s="59"/>
      <c r="FX234" s="59"/>
      <c r="FY234" s="59"/>
      <c r="FZ234" s="59"/>
      <c r="GA234" s="59"/>
      <c r="GB234" s="59"/>
      <c r="GC234" s="59"/>
      <c r="GD234" s="59"/>
      <c r="GE234" s="59"/>
      <c r="GF234" s="59"/>
      <c r="GG234" s="59"/>
      <c r="GH234" s="59"/>
      <c r="GI234" s="59"/>
      <c r="GJ234" s="59"/>
      <c r="GK234" s="59"/>
      <c r="GL234" s="59"/>
      <c r="GM234" s="59"/>
      <c r="GN234" s="59"/>
      <c r="GO234" s="59"/>
    </row>
    <row r="235" spans="1:197" x14ac:dyDescent="0.3">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c r="BU235" s="59"/>
      <c r="BV235" s="59"/>
      <c r="BW235" s="59"/>
      <c r="BX235" s="59"/>
      <c r="BY235" s="59"/>
      <c r="BZ235" s="59"/>
      <c r="CA235" s="59"/>
      <c r="CB235" s="59"/>
      <c r="CC235" s="59"/>
      <c r="CD235" s="59"/>
      <c r="CE235" s="59"/>
      <c r="CF235" s="59"/>
      <c r="CG235" s="59"/>
      <c r="CH235" s="59"/>
      <c r="CI235" s="59"/>
      <c r="CJ235" s="59"/>
      <c r="CK235" s="59"/>
      <c r="CL235" s="59"/>
      <c r="CM235" s="59"/>
      <c r="CN235" s="59"/>
      <c r="CO235" s="59"/>
      <c r="CP235" s="59"/>
      <c r="CQ235" s="59"/>
      <c r="CR235" s="59"/>
      <c r="CS235" s="59"/>
      <c r="CT235" s="59"/>
      <c r="CU235" s="59"/>
      <c r="CV235" s="59"/>
      <c r="CW235" s="59"/>
      <c r="CX235" s="59"/>
      <c r="CY235" s="59"/>
      <c r="CZ235" s="59"/>
      <c r="DA235" s="59"/>
      <c r="DB235" s="59"/>
      <c r="DC235" s="59"/>
      <c r="DD235" s="59"/>
      <c r="DE235" s="59"/>
      <c r="DF235" s="59"/>
      <c r="DG235" s="59"/>
      <c r="DH235" s="59"/>
      <c r="DI235" s="59"/>
      <c r="DJ235" s="59"/>
      <c r="DK235" s="59"/>
      <c r="DL235" s="59"/>
      <c r="DM235" s="59"/>
      <c r="DN235" s="59"/>
      <c r="DO235" s="59"/>
      <c r="DP235" s="59"/>
      <c r="DQ235" s="59"/>
      <c r="DR235" s="59"/>
      <c r="DS235" s="59"/>
      <c r="DT235" s="59"/>
      <c r="DU235" s="59"/>
      <c r="DV235" s="59"/>
      <c r="DW235" s="59"/>
      <c r="DX235" s="59"/>
      <c r="DY235" s="59"/>
      <c r="DZ235" s="59"/>
      <c r="EA235" s="59"/>
      <c r="EB235" s="59"/>
      <c r="EC235" s="59"/>
      <c r="ED235" s="59"/>
      <c r="EE235" s="59"/>
      <c r="EF235" s="59"/>
      <c r="EG235" s="59"/>
      <c r="EH235" s="59"/>
      <c r="EI235" s="59"/>
      <c r="EJ235" s="59"/>
      <c r="EK235" s="59"/>
      <c r="EL235" s="59"/>
      <c r="EM235" s="59"/>
      <c r="EN235" s="59"/>
      <c r="EO235" s="59"/>
      <c r="EP235" s="59"/>
      <c r="EQ235" s="59"/>
      <c r="ER235" s="59"/>
      <c r="ES235" s="59"/>
      <c r="ET235" s="59"/>
      <c r="EU235" s="59"/>
      <c r="EV235" s="59"/>
      <c r="EW235" s="59"/>
      <c r="EX235" s="59"/>
      <c r="EY235" s="59"/>
      <c r="EZ235" s="59"/>
      <c r="FA235" s="59"/>
      <c r="FB235" s="59"/>
      <c r="FC235" s="59"/>
      <c r="FD235" s="59"/>
      <c r="FE235" s="59"/>
      <c r="FF235" s="59"/>
      <c r="FG235" s="59"/>
      <c r="FH235" s="59"/>
      <c r="FI235" s="59"/>
      <c r="FJ235" s="59"/>
      <c r="FK235" s="59"/>
      <c r="FL235" s="59"/>
      <c r="FM235" s="59"/>
      <c r="FN235" s="59"/>
      <c r="FO235" s="59"/>
      <c r="FP235" s="59"/>
      <c r="FQ235" s="59"/>
      <c r="FR235" s="59"/>
      <c r="FS235" s="59"/>
      <c r="FT235" s="59"/>
      <c r="FU235" s="59"/>
      <c r="FV235" s="59"/>
      <c r="FW235" s="59"/>
      <c r="FX235" s="59"/>
      <c r="FY235" s="59"/>
      <c r="FZ235" s="59"/>
      <c r="GA235" s="59"/>
      <c r="GB235" s="59"/>
      <c r="GC235" s="59"/>
      <c r="GD235" s="59"/>
      <c r="GE235" s="59"/>
      <c r="GF235" s="59"/>
      <c r="GG235" s="59"/>
      <c r="GH235" s="59"/>
      <c r="GI235" s="59"/>
      <c r="GJ235" s="59"/>
      <c r="GK235" s="59"/>
      <c r="GL235" s="59"/>
      <c r="GM235" s="59"/>
      <c r="GN235" s="59"/>
    </row>
    <row r="236" spans="1:197" x14ac:dyDescent="0.3">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c r="BU236" s="59"/>
      <c r="BV236" s="59"/>
      <c r="BW236" s="59"/>
      <c r="BX236" s="59"/>
      <c r="BY236" s="59"/>
      <c r="BZ236" s="59"/>
      <c r="CA236" s="59"/>
      <c r="CB236" s="59"/>
      <c r="CC236" s="59"/>
      <c r="CD236" s="59"/>
      <c r="CE236" s="59"/>
      <c r="CF236" s="59"/>
      <c r="CG236" s="59"/>
      <c r="CH236" s="59"/>
      <c r="CI236" s="59"/>
      <c r="CJ236" s="59"/>
      <c r="CK236" s="59"/>
      <c r="CL236" s="59"/>
      <c r="CM236" s="59"/>
      <c r="CN236" s="59"/>
      <c r="CO236" s="59"/>
      <c r="CP236" s="59"/>
      <c r="CQ236" s="59"/>
      <c r="CR236" s="59"/>
      <c r="CS236" s="59"/>
      <c r="CT236" s="59"/>
      <c r="CU236" s="59"/>
      <c r="CV236" s="59"/>
      <c r="CW236" s="59"/>
      <c r="CX236" s="59"/>
      <c r="CY236" s="59"/>
      <c r="CZ236" s="59"/>
      <c r="DA236" s="59"/>
      <c r="DB236" s="59"/>
      <c r="DC236" s="59"/>
      <c r="DD236" s="59"/>
      <c r="DE236" s="59"/>
      <c r="DF236" s="59"/>
      <c r="DG236" s="59"/>
      <c r="DH236" s="59"/>
      <c r="DI236" s="59"/>
      <c r="DJ236" s="59"/>
      <c r="DK236" s="59"/>
      <c r="DL236" s="59"/>
      <c r="DM236" s="59"/>
      <c r="DN236" s="59"/>
      <c r="DO236" s="59"/>
      <c r="DP236" s="59"/>
      <c r="DQ236" s="59"/>
      <c r="DR236" s="59"/>
      <c r="DS236" s="59"/>
      <c r="DT236" s="59"/>
      <c r="DU236" s="59"/>
      <c r="DV236" s="59"/>
      <c r="DW236" s="59"/>
      <c r="DX236" s="59"/>
      <c r="DY236" s="59"/>
      <c r="DZ236" s="59"/>
      <c r="EA236" s="59"/>
      <c r="EB236" s="59"/>
      <c r="EC236" s="59"/>
      <c r="ED236" s="59"/>
      <c r="EE236" s="59"/>
      <c r="EF236" s="59"/>
      <c r="EG236" s="59"/>
      <c r="EH236" s="59"/>
      <c r="EI236" s="59"/>
      <c r="EJ236" s="59"/>
      <c r="EK236" s="59"/>
      <c r="EL236" s="59"/>
      <c r="EM236" s="59"/>
      <c r="EN236" s="59"/>
      <c r="EO236" s="59"/>
      <c r="EP236" s="59"/>
      <c r="EQ236" s="59"/>
      <c r="ER236" s="59"/>
      <c r="ES236" s="59"/>
      <c r="ET236" s="59"/>
      <c r="EU236" s="59"/>
      <c r="EV236" s="59"/>
      <c r="EW236" s="59"/>
      <c r="EX236" s="59"/>
      <c r="EY236" s="59"/>
      <c r="EZ236" s="59"/>
      <c r="FA236" s="59"/>
      <c r="FB236" s="59"/>
      <c r="FC236" s="59"/>
      <c r="FD236" s="59"/>
      <c r="FE236" s="59"/>
      <c r="FF236" s="59"/>
      <c r="FG236" s="59"/>
      <c r="FH236" s="59"/>
      <c r="FI236" s="59"/>
      <c r="FJ236" s="59"/>
      <c r="FK236" s="59"/>
      <c r="FL236" s="59"/>
      <c r="FM236" s="59"/>
      <c r="FN236" s="59"/>
      <c r="FO236" s="59"/>
      <c r="FP236" s="59"/>
      <c r="FQ236" s="59"/>
      <c r="FR236" s="59"/>
      <c r="FS236" s="59"/>
      <c r="FT236" s="59"/>
      <c r="FU236" s="59"/>
      <c r="FV236" s="59"/>
      <c r="FW236" s="59"/>
      <c r="FX236" s="59"/>
      <c r="FY236" s="59"/>
      <c r="FZ236" s="59"/>
      <c r="GA236" s="59"/>
      <c r="GB236" s="59"/>
      <c r="GC236" s="59"/>
      <c r="GD236" s="59"/>
      <c r="GE236" s="59"/>
      <c r="GF236" s="59"/>
      <c r="GG236" s="59"/>
      <c r="GH236" s="59"/>
      <c r="GI236" s="59"/>
      <c r="GJ236" s="59"/>
      <c r="GK236" s="59"/>
      <c r="GL236" s="59"/>
      <c r="GM236" s="59"/>
      <c r="GN236" s="59"/>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1D7D2-E18F-46C8-86F3-86082391B4DD}">
  <dimension ref="A1:D77"/>
  <sheetViews>
    <sheetView workbookViewId="0">
      <selection activeCell="F4" sqref="F4"/>
    </sheetView>
  </sheetViews>
  <sheetFormatPr defaultRowHeight="14.4" x14ac:dyDescent="0.3"/>
  <cols>
    <col min="1" max="1" width="22.33203125" customWidth="1"/>
    <col min="2" max="2" width="35.33203125" customWidth="1"/>
    <col min="3" max="3" width="31.5546875" customWidth="1"/>
    <col min="4" max="4" width="22.21875" customWidth="1"/>
  </cols>
  <sheetData>
    <row r="1" spans="1:4" ht="22.8" x14ac:dyDescent="0.3">
      <c r="A1" s="82" t="s">
        <v>571</v>
      </c>
      <c r="B1" s="82"/>
      <c r="C1" s="82"/>
      <c r="D1" s="82"/>
    </row>
    <row r="2" spans="1:4" x14ac:dyDescent="0.3">
      <c r="A2" s="83" t="s">
        <v>604</v>
      </c>
      <c r="B2" s="83"/>
      <c r="C2" s="83"/>
      <c r="D2" s="83"/>
    </row>
    <row r="3" spans="1:4" x14ac:dyDescent="0.3">
      <c r="A3" s="83" t="s">
        <v>605</v>
      </c>
      <c r="B3" s="83"/>
      <c r="C3" s="83"/>
      <c r="D3" s="83"/>
    </row>
    <row r="4" spans="1:4" x14ac:dyDescent="0.3">
      <c r="A4" s="65"/>
      <c r="B4" s="65"/>
      <c r="C4" s="65"/>
      <c r="D4" s="65"/>
    </row>
    <row r="5" spans="1:4" ht="18" thickBot="1" x14ac:dyDescent="0.35">
      <c r="A5" s="84" t="s">
        <v>572</v>
      </c>
      <c r="B5" s="84"/>
      <c r="C5" s="84"/>
      <c r="D5" s="84"/>
    </row>
    <row r="6" spans="1:4" x14ac:dyDescent="0.3">
      <c r="A6" s="85" t="s">
        <v>573</v>
      </c>
      <c r="B6" s="85"/>
      <c r="C6" s="85"/>
      <c r="D6" s="85"/>
    </row>
    <row r="7" spans="1:4" x14ac:dyDescent="0.3">
      <c r="A7" s="65"/>
      <c r="B7" s="65"/>
      <c r="C7" s="65"/>
      <c r="D7" s="65"/>
    </row>
    <row r="8" spans="1:4" ht="17.399999999999999" thickBot="1" x14ac:dyDescent="0.35">
      <c r="A8" s="86" t="s">
        <v>574</v>
      </c>
      <c r="B8" s="86"/>
      <c r="C8" s="86"/>
      <c r="D8" s="86"/>
    </row>
    <row r="9" spans="1:4" x14ac:dyDescent="0.3">
      <c r="A9" s="87" t="s">
        <v>575</v>
      </c>
      <c r="B9" s="87"/>
      <c r="C9" s="87"/>
      <c r="D9" s="87"/>
    </row>
    <row r="10" spans="1:4" x14ac:dyDescent="0.3">
      <c r="A10" s="88" t="s">
        <v>606</v>
      </c>
      <c r="B10" s="88"/>
      <c r="C10" s="88"/>
      <c r="D10" s="88"/>
    </row>
    <row r="11" spans="1:4" x14ac:dyDescent="0.3">
      <c r="A11" s="88" t="s">
        <v>607</v>
      </c>
      <c r="B11" s="88"/>
      <c r="C11" s="88"/>
      <c r="D11" s="88"/>
    </row>
    <row r="12" spans="1:4" x14ac:dyDescent="0.3">
      <c r="A12" s="88" t="s">
        <v>608</v>
      </c>
      <c r="B12" s="88"/>
      <c r="C12" s="88"/>
      <c r="D12" s="88"/>
    </row>
    <row r="13" spans="1:4" x14ac:dyDescent="0.3">
      <c r="A13" s="88" t="s">
        <v>609</v>
      </c>
      <c r="B13" s="88"/>
      <c r="C13" s="88"/>
      <c r="D13" s="88"/>
    </row>
    <row r="14" spans="1:4" x14ac:dyDescent="0.3">
      <c r="A14" s="87" t="s">
        <v>576</v>
      </c>
      <c r="B14" s="87"/>
      <c r="C14" s="87"/>
      <c r="D14" s="87"/>
    </row>
    <row r="15" spans="1:4" x14ac:dyDescent="0.3">
      <c r="A15" s="85" t="s">
        <v>577</v>
      </c>
      <c r="B15" s="85"/>
      <c r="C15" s="85"/>
      <c r="D15" s="85"/>
    </row>
    <row r="16" spans="1:4" x14ac:dyDescent="0.3">
      <c r="A16" s="66" t="s">
        <v>578</v>
      </c>
      <c r="B16" s="66" t="s">
        <v>579</v>
      </c>
      <c r="C16" s="66" t="s">
        <v>580</v>
      </c>
      <c r="D16" s="66" t="s">
        <v>581</v>
      </c>
    </row>
    <row r="17" spans="1:4" x14ac:dyDescent="0.3">
      <c r="A17" s="67" t="s">
        <v>506</v>
      </c>
      <c r="B17" s="68">
        <v>20734000</v>
      </c>
      <c r="C17" s="68">
        <v>4387565</v>
      </c>
      <c r="D17" s="69">
        <v>0.21161208642808912</v>
      </c>
    </row>
    <row r="18" spans="1:4" x14ac:dyDescent="0.3">
      <c r="A18" s="67" t="s">
        <v>507</v>
      </c>
      <c r="B18" s="68">
        <v>21663000</v>
      </c>
      <c r="C18" s="68">
        <v>3784489</v>
      </c>
      <c r="D18" s="69">
        <v>0.1746982874024835</v>
      </c>
    </row>
    <row r="19" spans="1:4" x14ac:dyDescent="0.3">
      <c r="A19" s="67" t="s">
        <v>508</v>
      </c>
      <c r="B19" s="68">
        <v>21818000</v>
      </c>
      <c r="C19" s="68">
        <v>2519338</v>
      </c>
      <c r="D19" s="69">
        <v>0.11547062058850491</v>
      </c>
    </row>
    <row r="20" spans="1:4" x14ac:dyDescent="0.3">
      <c r="A20" s="67" t="s">
        <v>509</v>
      </c>
      <c r="B20" s="68">
        <v>20642000</v>
      </c>
      <c r="C20" s="68">
        <v>1670725</v>
      </c>
      <c r="D20" s="69">
        <v>8.0938135839550437E-2</v>
      </c>
    </row>
    <row r="21" spans="1:4" x14ac:dyDescent="0.3">
      <c r="A21" s="67" t="s">
        <v>510</v>
      </c>
      <c r="B21" s="68">
        <v>13097000</v>
      </c>
      <c r="C21" s="68">
        <v>906181</v>
      </c>
      <c r="D21" s="69">
        <v>6.9189967168053756E-2</v>
      </c>
    </row>
    <row r="22" spans="1:4" x14ac:dyDescent="0.3">
      <c r="A22" s="67" t="s">
        <v>511</v>
      </c>
      <c r="B22" s="68">
        <v>11421000</v>
      </c>
      <c r="C22" s="68">
        <v>433928</v>
      </c>
      <c r="D22" s="69">
        <v>3.7993870939497416E-2</v>
      </c>
    </row>
    <row r="23" spans="1:4" x14ac:dyDescent="0.3">
      <c r="A23" s="70" t="s">
        <v>582</v>
      </c>
      <c r="B23" s="71">
        <v>109375000</v>
      </c>
      <c r="C23" s="71">
        <v>13702226</v>
      </c>
      <c r="D23" s="72">
        <v>0.12527749485714285</v>
      </c>
    </row>
    <row r="24" spans="1:4" x14ac:dyDescent="0.3">
      <c r="A24" s="65"/>
      <c r="B24" s="65"/>
      <c r="C24" s="65"/>
      <c r="D24" s="65"/>
    </row>
    <row r="25" spans="1:4" x14ac:dyDescent="0.3">
      <c r="A25" s="88" t="s">
        <v>610</v>
      </c>
      <c r="B25" s="88"/>
      <c r="C25" s="88"/>
      <c r="D25" s="88"/>
    </row>
    <row r="26" spans="1:4" x14ac:dyDescent="0.3">
      <c r="A26" s="88" t="s">
        <v>611</v>
      </c>
      <c r="B26" s="88"/>
      <c r="C26" s="88"/>
      <c r="D26" s="88"/>
    </row>
    <row r="27" spans="1:4" x14ac:dyDescent="0.3">
      <c r="A27" s="87" t="s">
        <v>583</v>
      </c>
      <c r="B27" s="87"/>
      <c r="C27" s="87"/>
      <c r="D27" s="87"/>
    </row>
    <row r="28" spans="1:4" x14ac:dyDescent="0.3">
      <c r="A28" s="88" t="s">
        <v>612</v>
      </c>
      <c r="B28" s="88"/>
      <c r="C28" s="88"/>
      <c r="D28" s="88"/>
    </row>
    <row r="29" spans="1:4" x14ac:dyDescent="0.3">
      <c r="A29" s="88" t="s">
        <v>613</v>
      </c>
      <c r="B29" s="88"/>
      <c r="C29" s="88"/>
      <c r="D29" s="88"/>
    </row>
    <row r="30" spans="1:4" x14ac:dyDescent="0.3">
      <c r="A30" s="87" t="s">
        <v>584</v>
      </c>
      <c r="B30" s="87"/>
      <c r="C30" s="87"/>
      <c r="D30" s="87"/>
    </row>
    <row r="31" spans="1:4" x14ac:dyDescent="0.3">
      <c r="A31" s="88" t="s">
        <v>614</v>
      </c>
      <c r="B31" s="88"/>
      <c r="C31" s="88"/>
      <c r="D31" s="88"/>
    </row>
    <row r="32" spans="1:4" x14ac:dyDescent="0.3">
      <c r="A32" s="88" t="s">
        <v>615</v>
      </c>
      <c r="B32" s="88"/>
      <c r="C32" s="88"/>
      <c r="D32" s="88"/>
    </row>
    <row r="33" spans="1:4" x14ac:dyDescent="0.3">
      <c r="A33" s="88" t="s">
        <v>616</v>
      </c>
      <c r="B33" s="88"/>
      <c r="C33" s="88"/>
      <c r="D33" s="88"/>
    </row>
    <row r="34" spans="1:4" x14ac:dyDescent="0.3">
      <c r="A34" s="87" t="s">
        <v>585</v>
      </c>
      <c r="B34" s="87"/>
      <c r="C34" s="87"/>
      <c r="D34" s="87"/>
    </row>
    <row r="35" spans="1:4" x14ac:dyDescent="0.3">
      <c r="A35" s="88" t="s">
        <v>617</v>
      </c>
      <c r="B35" s="88"/>
      <c r="C35" s="88"/>
      <c r="D35" s="88"/>
    </row>
    <row r="36" spans="1:4" x14ac:dyDescent="0.3">
      <c r="A36" s="88" t="s">
        <v>618</v>
      </c>
      <c r="B36" s="88"/>
      <c r="C36" s="88"/>
      <c r="D36" s="88"/>
    </row>
    <row r="37" spans="1:4" x14ac:dyDescent="0.3">
      <c r="A37" s="88" t="s">
        <v>619</v>
      </c>
      <c r="B37" s="88"/>
      <c r="C37" s="88"/>
      <c r="D37" s="88"/>
    </row>
    <row r="38" spans="1:4" x14ac:dyDescent="0.3">
      <c r="A38" s="87" t="s">
        <v>586</v>
      </c>
      <c r="B38" s="87"/>
      <c r="C38" s="87"/>
      <c r="D38" s="87"/>
    </row>
    <row r="39" spans="1:4" x14ac:dyDescent="0.3">
      <c r="A39" s="85" t="s">
        <v>587</v>
      </c>
      <c r="B39" s="85"/>
      <c r="C39" s="85"/>
      <c r="D39" s="85"/>
    </row>
    <row r="40" spans="1:4" x14ac:dyDescent="0.3">
      <c r="A40" s="66" t="s">
        <v>550</v>
      </c>
      <c r="B40" s="66" t="s">
        <v>588</v>
      </c>
      <c r="C40" s="66" t="s">
        <v>589</v>
      </c>
      <c r="D40" s="66" t="s">
        <v>590</v>
      </c>
    </row>
    <row r="41" spans="1:4" x14ac:dyDescent="0.3">
      <c r="A41" s="67" t="s">
        <v>591</v>
      </c>
      <c r="B41" s="68">
        <v>570012</v>
      </c>
      <c r="C41" s="69">
        <v>7.3999999999999996E-2</v>
      </c>
      <c r="D41" s="73">
        <v>4</v>
      </c>
    </row>
    <row r="42" spans="1:4" x14ac:dyDescent="0.3">
      <c r="A42" s="67" t="s">
        <v>592</v>
      </c>
      <c r="B42" s="68">
        <v>559662</v>
      </c>
      <c r="C42" s="69">
        <v>0.04</v>
      </c>
      <c r="D42" s="73">
        <v>6</v>
      </c>
    </row>
    <row r="43" spans="1:4" x14ac:dyDescent="0.3">
      <c r="A43" s="67" t="s">
        <v>593</v>
      </c>
      <c r="B43" s="68">
        <v>509710</v>
      </c>
      <c r="C43" s="69">
        <v>6.5000000000000002E-2</v>
      </c>
      <c r="D43" s="73">
        <v>5</v>
      </c>
    </row>
    <row r="44" spans="1:4" x14ac:dyDescent="0.3">
      <c r="A44" s="67" t="s">
        <v>594</v>
      </c>
      <c r="B44" s="68">
        <v>437013</v>
      </c>
      <c r="C44" s="69">
        <v>9.5000000000000001E-2</v>
      </c>
      <c r="D44" s="73">
        <v>5</v>
      </c>
    </row>
    <row r="45" spans="1:4" x14ac:dyDescent="0.3">
      <c r="A45" s="67" t="s">
        <v>595</v>
      </c>
      <c r="B45" s="68">
        <v>421154</v>
      </c>
      <c r="C45" s="69">
        <v>8.3000000000000004E-2</v>
      </c>
      <c r="D45" s="73">
        <v>3</v>
      </c>
    </row>
    <row r="46" spans="1:4" x14ac:dyDescent="0.3">
      <c r="A46" s="67" t="s">
        <v>596</v>
      </c>
      <c r="B46" s="68">
        <v>385297</v>
      </c>
      <c r="C46" s="69">
        <v>8.3000000000000004E-2</v>
      </c>
      <c r="D46" s="73">
        <v>5</v>
      </c>
    </row>
    <row r="47" spans="1:4" x14ac:dyDescent="0.3">
      <c r="A47" s="67" t="s">
        <v>597</v>
      </c>
      <c r="B47" s="68">
        <v>381305</v>
      </c>
      <c r="C47" s="69">
        <v>0.1</v>
      </c>
      <c r="D47" s="73">
        <v>4</v>
      </c>
    </row>
    <row r="48" spans="1:4" x14ac:dyDescent="0.3">
      <c r="A48" s="67" t="s">
        <v>598</v>
      </c>
      <c r="B48" s="68">
        <v>364603</v>
      </c>
      <c r="C48" s="69">
        <v>0.107</v>
      </c>
      <c r="D48" s="73">
        <v>5</v>
      </c>
    </row>
    <row r="49" spans="1:4" x14ac:dyDescent="0.3">
      <c r="A49" s="65"/>
      <c r="B49" s="65"/>
      <c r="C49" s="65"/>
      <c r="D49" s="65"/>
    </row>
    <row r="50" spans="1:4" x14ac:dyDescent="0.3">
      <c r="A50" s="88" t="s">
        <v>620</v>
      </c>
      <c r="B50" s="88"/>
      <c r="C50" s="88"/>
      <c r="D50" s="88"/>
    </row>
    <row r="51" spans="1:4" x14ac:dyDescent="0.3">
      <c r="A51" s="88" t="s">
        <v>621</v>
      </c>
      <c r="B51" s="88"/>
      <c r="C51" s="88"/>
      <c r="D51" s="88"/>
    </row>
    <row r="52" spans="1:4" x14ac:dyDescent="0.3">
      <c r="A52" s="88" t="s">
        <v>622</v>
      </c>
      <c r="B52" s="88"/>
      <c r="C52" s="88"/>
      <c r="D52" s="88"/>
    </row>
    <row r="53" spans="1:4" x14ac:dyDescent="0.3">
      <c r="A53" s="87" t="s">
        <v>599</v>
      </c>
      <c r="B53" s="87"/>
      <c r="C53" s="87"/>
      <c r="D53" s="87"/>
    </row>
    <row r="54" spans="1:4" x14ac:dyDescent="0.3">
      <c r="A54" s="88" t="s">
        <v>623</v>
      </c>
      <c r="B54" s="88"/>
      <c r="C54" s="88"/>
      <c r="D54" s="88"/>
    </row>
    <row r="55" spans="1:4" x14ac:dyDescent="0.3">
      <c r="A55" s="88" t="s">
        <v>624</v>
      </c>
      <c r="B55" s="88"/>
      <c r="C55" s="88"/>
      <c r="D55" s="88"/>
    </row>
    <row r="56" spans="1:4" x14ac:dyDescent="0.3">
      <c r="A56" s="65"/>
      <c r="B56" s="65"/>
      <c r="C56" s="65"/>
      <c r="D56" s="65"/>
    </row>
    <row r="57" spans="1:4" ht="17.399999999999999" thickBot="1" x14ac:dyDescent="0.35">
      <c r="A57" s="86" t="s">
        <v>600</v>
      </c>
      <c r="B57" s="86"/>
      <c r="C57" s="86"/>
      <c r="D57" s="86"/>
    </row>
    <row r="58" spans="1:4" x14ac:dyDescent="0.3">
      <c r="A58" s="88" t="s">
        <v>625</v>
      </c>
      <c r="B58" s="88"/>
      <c r="C58" s="88"/>
      <c r="D58" s="88"/>
    </row>
    <row r="59" spans="1:4" x14ac:dyDescent="0.3">
      <c r="A59" s="88" t="s">
        <v>626</v>
      </c>
      <c r="B59" s="88"/>
      <c r="C59" s="88"/>
      <c r="D59" s="88"/>
    </row>
    <row r="60" spans="1:4" x14ac:dyDescent="0.3">
      <c r="A60" s="88" t="s">
        <v>627</v>
      </c>
      <c r="B60" s="88"/>
      <c r="C60" s="88"/>
      <c r="D60" s="88"/>
    </row>
    <row r="61" spans="1:4" x14ac:dyDescent="0.3">
      <c r="A61" s="65"/>
      <c r="B61" s="65"/>
      <c r="C61" s="65"/>
      <c r="D61" s="65"/>
    </row>
    <row r="62" spans="1:4" ht="17.399999999999999" thickBot="1" x14ac:dyDescent="0.35">
      <c r="A62" s="86" t="s">
        <v>601</v>
      </c>
      <c r="B62" s="86"/>
      <c r="C62" s="86"/>
      <c r="D62" s="86"/>
    </row>
    <row r="63" spans="1:4" x14ac:dyDescent="0.3">
      <c r="A63" s="88" t="s">
        <v>628</v>
      </c>
      <c r="B63" s="88"/>
      <c r="C63" s="88"/>
      <c r="D63" s="88"/>
    </row>
    <row r="64" spans="1:4" x14ac:dyDescent="0.3">
      <c r="A64" s="88" t="s">
        <v>629</v>
      </c>
      <c r="B64" s="88"/>
      <c r="C64" s="88"/>
      <c r="D64" s="88"/>
    </row>
    <row r="65" spans="1:4" x14ac:dyDescent="0.3">
      <c r="A65" s="88" t="s">
        <v>630</v>
      </c>
      <c r="B65" s="88"/>
      <c r="C65" s="88"/>
      <c r="D65" s="88"/>
    </row>
    <row r="66" spans="1:4" x14ac:dyDescent="0.3">
      <c r="A66" s="65"/>
      <c r="B66" s="65"/>
      <c r="C66" s="65"/>
      <c r="D66" s="65"/>
    </row>
    <row r="67" spans="1:4" ht="17.399999999999999" thickBot="1" x14ac:dyDescent="0.35">
      <c r="A67" s="86" t="s">
        <v>602</v>
      </c>
      <c r="B67" s="86"/>
      <c r="C67" s="86"/>
      <c r="D67" s="86"/>
    </row>
    <row r="68" spans="1:4" x14ac:dyDescent="0.3">
      <c r="A68" s="88" t="s">
        <v>631</v>
      </c>
      <c r="B68" s="88"/>
      <c r="C68" s="88"/>
      <c r="D68" s="88"/>
    </row>
    <row r="69" spans="1:4" x14ac:dyDescent="0.3">
      <c r="A69" s="88" t="s">
        <v>632</v>
      </c>
      <c r="B69" s="88"/>
      <c r="C69" s="88"/>
      <c r="D69" s="88"/>
    </row>
    <row r="70" spans="1:4" x14ac:dyDescent="0.3">
      <c r="A70" s="88" t="s">
        <v>633</v>
      </c>
      <c r="B70" s="88"/>
      <c r="C70" s="88"/>
      <c r="D70" s="88"/>
    </row>
    <row r="71" spans="1:4" x14ac:dyDescent="0.3">
      <c r="A71" s="88" t="s">
        <v>634</v>
      </c>
      <c r="B71" s="88"/>
      <c r="C71" s="88"/>
      <c r="D71" s="88"/>
    </row>
    <row r="72" spans="1:4" x14ac:dyDescent="0.3">
      <c r="A72" s="88" t="s">
        <v>635</v>
      </c>
      <c r="B72" s="88"/>
      <c r="C72" s="88"/>
      <c r="D72" s="88"/>
    </row>
    <row r="73" spans="1:4" x14ac:dyDescent="0.3">
      <c r="A73" s="65"/>
      <c r="B73" s="65"/>
      <c r="C73" s="65"/>
      <c r="D73" s="65"/>
    </row>
    <row r="74" spans="1:4" ht="17.399999999999999" thickBot="1" x14ac:dyDescent="0.35">
      <c r="A74" s="86" t="s">
        <v>603</v>
      </c>
      <c r="B74" s="86"/>
      <c r="C74" s="86"/>
      <c r="D74" s="86"/>
    </row>
    <row r="75" spans="1:4" x14ac:dyDescent="0.3">
      <c r="A75" s="88" t="s">
        <v>636</v>
      </c>
      <c r="B75" s="88"/>
      <c r="C75" s="88"/>
      <c r="D75" s="88"/>
    </row>
    <row r="76" spans="1:4" x14ac:dyDescent="0.3">
      <c r="A76" s="88" t="s">
        <v>637</v>
      </c>
      <c r="B76" s="88"/>
      <c r="C76" s="88"/>
      <c r="D76" s="88"/>
    </row>
    <row r="77" spans="1:4" x14ac:dyDescent="0.3">
      <c r="A77" s="88" t="s">
        <v>638</v>
      </c>
      <c r="B77" s="88"/>
      <c r="C77" s="88"/>
      <c r="D77" s="88"/>
    </row>
  </sheetData>
  <mergeCells count="52">
    <mergeCell ref="A76:D76"/>
    <mergeCell ref="A77:D77"/>
    <mergeCell ref="A70:D70"/>
    <mergeCell ref="A71:D71"/>
    <mergeCell ref="A72:D72"/>
    <mergeCell ref="A74:D74"/>
    <mergeCell ref="A75:D75"/>
    <mergeCell ref="A64:D64"/>
    <mergeCell ref="A65:D65"/>
    <mergeCell ref="A67:D67"/>
    <mergeCell ref="A68:D68"/>
    <mergeCell ref="A69:D69"/>
    <mergeCell ref="A58:D58"/>
    <mergeCell ref="A59:D59"/>
    <mergeCell ref="A60:D60"/>
    <mergeCell ref="A62:D62"/>
    <mergeCell ref="A63:D63"/>
    <mergeCell ref="A52:D52"/>
    <mergeCell ref="A53:D53"/>
    <mergeCell ref="A54:D54"/>
    <mergeCell ref="A55:D55"/>
    <mergeCell ref="A57:D57"/>
    <mergeCell ref="A37:D37"/>
    <mergeCell ref="A38:D38"/>
    <mergeCell ref="A39:D39"/>
    <mergeCell ref="A50:D50"/>
    <mergeCell ref="A51:D51"/>
    <mergeCell ref="A32:D32"/>
    <mergeCell ref="A33:D33"/>
    <mergeCell ref="A34:D34"/>
    <mergeCell ref="A35:D35"/>
    <mergeCell ref="A36:D36"/>
    <mergeCell ref="A27:D27"/>
    <mergeCell ref="A28:D28"/>
    <mergeCell ref="A29:D29"/>
    <mergeCell ref="A30:D30"/>
    <mergeCell ref="A31:D31"/>
    <mergeCell ref="A13:D13"/>
    <mergeCell ref="A14:D14"/>
    <mergeCell ref="A15:D15"/>
    <mergeCell ref="A25:D25"/>
    <mergeCell ref="A26:D26"/>
    <mergeCell ref="A8:D8"/>
    <mergeCell ref="A9:D9"/>
    <mergeCell ref="A10:D10"/>
    <mergeCell ref="A11:D11"/>
    <mergeCell ref="A12:D12"/>
    <mergeCell ref="A1:D1"/>
    <mergeCell ref="A2:D2"/>
    <mergeCell ref="A3:D3"/>
    <mergeCell ref="A5:D5"/>
    <mergeCell ref="A6:D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FieldDetails</vt:lpstr>
      <vt:lpstr>Detail1</vt:lpstr>
      <vt:lpstr>LoanData</vt:lpstr>
      <vt:lpstr>PivotProblems</vt:lpstr>
      <vt:lpstr>PIVOT TABLES</vt:lpstr>
      <vt:lpstr>MAIN DASHBOARD PIVOTS</vt:lpstr>
      <vt:lpstr>RISK ANALYSE DASHBOARD</vt:lpstr>
      <vt:lpstr>SUVIDHA FINANCE  DASHBOARD</vt:lpstr>
      <vt:lpstr>DASHBOARD 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Kiran Balakrishnan</dc:creator>
  <cp:lastModifiedBy>ASWANTH AGS21ABCA050</cp:lastModifiedBy>
  <cp:lastPrinted>2026-10-03T12:30:39Z</cp:lastPrinted>
  <dcterms:created xsi:type="dcterms:W3CDTF">2026-09-17T05:48:01Z</dcterms:created>
  <dcterms:modified xsi:type="dcterms:W3CDTF">2026-10-11T11:06:48Z</dcterms:modified>
</cp:coreProperties>
</file>